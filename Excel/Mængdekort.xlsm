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360" yWindow="45" windowWidth="23040" windowHeight="11820" firstSheet="1" activeTab="1"/>
  </bookViews>
  <sheets>
    <sheet name="område" sheetId="1" state="hidden" r:id="rId1"/>
    <sheet name="områdevalg" sheetId="2" r:id="rId2"/>
    <sheet name="mængdekort" sheetId="4" r:id="rId3"/>
  </sheets>
  <definedNames>
    <definedName name="_xlnm._FilterDatabase" localSheetId="1" hidden="1">områdevalg!$S$10:$W$100551</definedName>
    <definedName name="Forespørgsel_fra_groenreg" localSheetId="0" hidden="1">område!$A$1:$D$250</definedName>
    <definedName name="Forespørgsel_fra_groenreg" localSheetId="1" hidden="1">områdevalg!$K$10:$Q$4777</definedName>
    <definedName name="Forespørgsel_fra_groenreg_1" localSheetId="1" hidden="1">områdevalg!$S$10:$W$952</definedName>
    <definedName name="Forespørgsel_fra_groenreg_2" localSheetId="1" hidden="1">områdevalg!#REF!</definedName>
    <definedName name="_xlnm.Extract" localSheetId="2">mængdekort!$I$7:$M$7</definedName>
  </definedNames>
  <calcPr calcId="145621"/>
</workbook>
</file>

<file path=xl/calcChain.xml><?xml version="1.0" encoding="utf-8"?>
<calcChain xmlns="http://schemas.openxmlformats.org/spreadsheetml/2006/main">
  <c r="B2" i="4" l="1"/>
  <c r="J3" i="4" s="1"/>
  <c r="J2" i="4" s="1"/>
  <c r="C4" i="4" l="1"/>
  <c r="B4" i="4" s="1"/>
  <c r="C3" i="4"/>
</calcChain>
</file>

<file path=xl/connections.xml><?xml version="1.0" encoding="utf-8"?>
<connections xmlns="http://schemas.openxmlformats.org/spreadsheetml/2006/main">
  <connection id="1" name="Litra" type="1" refreshedVersion="4" savePassword="1" background="1" refreshOnLoad="1" saveData="1">
    <dbPr connection="DRIVER={PostgreSQL ODBC Driver(UNICODE)};DATABASE=groenreg;SERVER=f-pgsql01.ad.frederikssund.dk;PORT=5432;UID=qgis_reader;PWD=qgis%5freader;SSLmode=disable;ReadOnly=0;Protocol=7.4;FakeOidIndex=0;ShowOidColumn=0;RowVersioning=0;ShowSystemTables=0;ConnSettings=;Fetch=100;UnknownSizes=0;MaxVarcharSize=255;MaxLongVarcharSize=8190;Debug=0;CommLog=0;UseDeclareFetch=0;TextAsLongVarchar=1;UnknownsAsLongVarchar=0;BoolsAsChar=1;Parse=0;ExtraSysTablePrefixes=dd_;LFConversion=1;UpdatableCursors=1;TrueIsMinus1=0;BI=0;ByteaAsLongVarBinary=0;UseServerSidePrepare=1;LowerCaseIdentifier=0;GssAuthUseGSS=0;XaOpt=1" command="SELECT v_oversigt_litra.omraade, v_oversigt_litra.underelement_kode, v_oversigt_litra.underelement_tekst, v_oversigt_litra.litra, v_oversigt_litra.hoejde_x000d__x000a_FROM greg.v_oversigt_litra v_oversigt_litra"/>
  </connection>
  <connection id="2" name="Mængder" type="1" refreshedVersion="4" savePassword="1" background="1" refreshOnLoad="1" saveData="1">
    <dbPr connection="DRIVER={PostgreSQL ODBC Driver(UNICODE)};DATABASE=groenreg;SERVER=f-pgsql01.ad.frederikssund.dk;PORT=5432;UID=qgis_reader;PWD=qgis%5freader;SSLmode=disable;ReadOnly=0;Protocol=7.4;FakeOidIndex=0;ShowOidColumn=0;RowVersioning=0;ShowSystemTables=0;ConnSettings=;Fetch=100;UnknownSizes=0;MaxVarcharSize=255;MaxLongVarcharSize=8190;Debug=0;CommLog=0;UseDeclareFetch=0;TextAsLongVarchar=1;UnknownsAsLongVarchar=0;BoolsAsChar=1;Parse=0;ExtraSysTablePrefixes=dd_;LFConversion=1;UpdatableCursors=1;TrueIsMinus1=0;BI=0;ByteaAsLongVarBinary=0;UseServerSidePrepare=1;LowerCaseIdentifier=0;GssAuthUseGSS=0;XaOpt=1" command="SELECT v_maengder_underelementer_omraader.omraade, v_maengder_underelementer_omraader.underelement_kode, v_maengder_underelementer_omraader.underelement, v_maengder_underelementer_omraader.antal, v_maengder_underelementer_omraader.laengde, v_maengder_underelementer_omraader.areal, v_maengder_underelementer_omraader.klippeflade_x000d__x000a_FROM greg.v_maengder_underelementer_omraader v_maengder_underelementer_omraader"/>
  </connection>
  <connection id="3" name="Område" type="1" refreshedVersion="4" savePassword="1" background="1" refreshOnLoad="1" saveData="1">
    <dbPr connection="DRIVER={PostgreSQL ODBC Driver(UNICODE)};DATABASE=groenreg;SERVER=f-pgsql01.ad.frederikssund.dk;PORT=5432;UID=qgis_reader;PWD=qgis%5freader;SSLmode=disable;ReadOnly=0;Protocol=7.4;FakeOidIndex=0;ShowOidColumn=0;RowVersioning=0;ShowSystemTables=0;ConnSettings=;Fetch=100;UnknownSizes=0;MaxVarcharSize=255;MaxLongVarcharSize=8190;Debug=0;CommLog=0;UseDeclareFetch=0;TextAsLongVarchar=1;UnknownsAsLongVarchar=0;BoolsAsChar=1;Parse=0;ExtraSysTablePrefixes=dd_;LFConversion=1;UpdatableCursors=1;TrueIsMinus1=0;BI=0;ByteaAsLongVarBinary=0;UseServerSidePrepare=1;LowerCaseIdentifier=0;GssAuthUseGSS=0;XaOpt=1" command="SELECT v_oversigt_omraade.omraade, v_oversigt_omraade.arealtype, v_oversigt_omraade.adresse, v_oversigt_omraade.areal_x000d__x000a_FROM greg.v_oversigt_omraade v_oversigt_omraade"/>
  </connection>
</connections>
</file>

<file path=xl/sharedStrings.xml><?xml version="1.0" encoding="utf-8"?>
<sst xmlns="http://schemas.openxmlformats.org/spreadsheetml/2006/main" count="18858" uniqueCount="642">
  <si>
    <t>omraade</t>
  </si>
  <si>
    <t>arealtype</t>
  </si>
  <si>
    <t>adresse</t>
  </si>
  <si>
    <t>areal</t>
  </si>
  <si>
    <t>1101 Slangerupgårds Bakken</t>
  </si>
  <si>
    <t>Grønne områder</t>
  </si>
  <si>
    <t>3550 Slangerup</t>
  </si>
  <si>
    <t>1102 Fredensgade Sportsplads</t>
  </si>
  <si>
    <t>1103 Hans Atkes Mose</t>
  </si>
  <si>
    <t>1104 Hørup Gadekær</t>
  </si>
  <si>
    <t>1105 Jørlunde Gadejord</t>
  </si>
  <si>
    <t>1106 Kirkeengen</t>
  </si>
  <si>
    <t>1107 Kongshøjparken</t>
  </si>
  <si>
    <t>1108 Kvinderup Gadekær</t>
  </si>
  <si>
    <t>1109 Rotteskoven</t>
  </si>
  <si>
    <t>1110 Slotsmosen</t>
  </si>
  <si>
    <t>1113 Øvejens legeplads</t>
  </si>
  <si>
    <t>1114 Industri Vest/Kolonihaver</t>
  </si>
  <si>
    <t>1115 Parkvejens legeplads</t>
  </si>
  <si>
    <t>1116 Ny Øvej/Spejder hytte</t>
  </si>
  <si>
    <t>1117 Møllevangen</t>
  </si>
  <si>
    <t>1201 Strandvej/Asgård</t>
  </si>
  <si>
    <t>3600 Frederikssund</t>
  </si>
  <si>
    <t>1202 Hjemmeværnsgården</t>
  </si>
  <si>
    <t>1203 Klinten</t>
  </si>
  <si>
    <t>1204 Hofvej</t>
  </si>
  <si>
    <t>1205 Skov sydøst for S-banen</t>
  </si>
  <si>
    <t>1206 Eng Græse Strandvej</t>
  </si>
  <si>
    <t>1207 Kalvøen Nord</t>
  </si>
  <si>
    <t>1208 Kalvøen Syd</t>
  </si>
  <si>
    <t>1209 Landart</t>
  </si>
  <si>
    <t>1210 Linderupvej</t>
  </si>
  <si>
    <t>1211 Bløden</t>
  </si>
  <si>
    <t>1212 Slåenbakken</t>
  </si>
  <si>
    <t>1213 Lille Rørbæk Gadekær</t>
  </si>
  <si>
    <t>1214 Ådalen vest for Ådalsvej</t>
  </si>
  <si>
    <t>1215 Ådalen øst for Ådalsvej</t>
  </si>
  <si>
    <t>1216 Muldager</t>
  </si>
  <si>
    <t>1217 Oppe Sundby Gadekær</t>
  </si>
  <si>
    <t>1218 St. Rørbæk Gadekær</t>
  </si>
  <si>
    <t>1219 Gyldensten Skov og Sø</t>
  </si>
  <si>
    <t>1221 Krat mellem Toftelund og Højvang</t>
  </si>
  <si>
    <t>1222 Græse ådal mv</t>
  </si>
  <si>
    <t>1223 Strandparken</t>
  </si>
  <si>
    <t>1224 Bag HT garage</t>
  </si>
  <si>
    <t>1225 Grønlien Grusgrav</t>
  </si>
  <si>
    <t>1226 Græse Gadekær</t>
  </si>
  <si>
    <t>1227 Ådalsvej 89</t>
  </si>
  <si>
    <t>1228 Æbleplantagen JF Willumsensvej</t>
  </si>
  <si>
    <t>1229 Busterminal og banesti</t>
  </si>
  <si>
    <t>1230 Skov øst for kolonihaverne på Bjergvej</t>
  </si>
  <si>
    <t>1231 Shellgrunden</t>
  </si>
  <si>
    <t>1232 Borgmestervænget</t>
  </si>
  <si>
    <t>1233 Ved Toiletbygningen Havnen</t>
  </si>
  <si>
    <t>1234 Banegraven</t>
  </si>
  <si>
    <t>1237 Tippen</t>
  </si>
  <si>
    <t>1238 Græse Bakkeby Nord / Bakkekammen</t>
  </si>
  <si>
    <t>1239 Dyrlægegårds Alle</t>
  </si>
  <si>
    <t>1242 Strandgårds Alle</t>
  </si>
  <si>
    <t>1243 Vangede / boldbaner</t>
  </si>
  <si>
    <t>1244 Græse Bakkeby Nord / boldbaner</t>
  </si>
  <si>
    <t>1245 Stenager</t>
  </si>
  <si>
    <t>1248 Gammel Baneareal</t>
  </si>
  <si>
    <t>1301 Dalby Gadekær</t>
  </si>
  <si>
    <t>3630 Jægerspris</t>
  </si>
  <si>
    <t>1302 Duemosevej branddam</t>
  </si>
  <si>
    <t>1303 Gerlev Gadekær</t>
  </si>
  <si>
    <t>1304 Krogstrup Gadekær</t>
  </si>
  <si>
    <t>1305 Kyndby Gadekær</t>
  </si>
  <si>
    <t>1306 Landerslev Gadekær</t>
  </si>
  <si>
    <t>1307 Lyngerup Gadekær</t>
  </si>
  <si>
    <t>1308 Overdråby Gadekær</t>
  </si>
  <si>
    <t>1309 Tørslev Gadekær</t>
  </si>
  <si>
    <t>1311 Legeplads Ahornvej</t>
  </si>
  <si>
    <t>1312 Legeplads Enghavevej</t>
  </si>
  <si>
    <t>1313 Legeplads Hybenvej</t>
  </si>
  <si>
    <t>1314 Legeplads Tyrasvej</t>
  </si>
  <si>
    <t>1315 Legeplads Urtehaven</t>
  </si>
  <si>
    <t>1316 Legeplads Kyndby</t>
  </si>
  <si>
    <t>1317 Dalbyhuse Strand</t>
  </si>
  <si>
    <t>1318 Kulhuse Strand</t>
  </si>
  <si>
    <t>1322 Losseplads Kulhuse</t>
  </si>
  <si>
    <t>1323 Skansen/Kulhuse</t>
  </si>
  <si>
    <t>1324 Thyrashøj</t>
  </si>
  <si>
    <t>1325 Solhøj</t>
  </si>
  <si>
    <t>1326 Larsens Plads</t>
  </si>
  <si>
    <t>1327 Magnoliavej 4 steder</t>
  </si>
  <si>
    <t>1328 Merendalen</t>
  </si>
  <si>
    <t>1329 Møllehøj</t>
  </si>
  <si>
    <t>1331 Jægerspris Mølle</t>
  </si>
  <si>
    <t>1332 Kulhusgården</t>
  </si>
  <si>
    <t>1333 Vestre Strand</t>
  </si>
  <si>
    <t>1401 Ved Sølvkærvej</t>
  </si>
  <si>
    <t>4050 Skibby</t>
  </si>
  <si>
    <t>1402 Skuldelev Strand</t>
  </si>
  <si>
    <t>1403 Skibby Gadekær</t>
  </si>
  <si>
    <t>1404 Sønderby Gadekær</t>
  </si>
  <si>
    <t>1405 Hammer Bakke</t>
  </si>
  <si>
    <t>1406 Østby Gadekær</t>
  </si>
  <si>
    <t>1407 Vellerup Gadekær</t>
  </si>
  <si>
    <t>1408 Ferslev Gadekær</t>
  </si>
  <si>
    <t>1409 Venslev Gadekær</t>
  </si>
  <si>
    <t>1410 Vejleby Gadekær</t>
  </si>
  <si>
    <t>1411 Skuldelev Gadekær</t>
  </si>
  <si>
    <t>1412 Ved Junker Gadekær</t>
  </si>
  <si>
    <t>1413 Legeplads v. Irisvej</t>
  </si>
  <si>
    <t>1414 Kildeskåret</t>
  </si>
  <si>
    <t>1415 Ved Brandbjerggård</t>
  </si>
  <si>
    <t>1417 Skov mellem Dådyrvej og Hjortevænget</t>
  </si>
  <si>
    <t>1421 Skov for enden af Marbækvej</t>
  </si>
  <si>
    <t>1422 Kærstrædet</t>
  </si>
  <si>
    <t>1423 Nordmannsmosen</t>
  </si>
  <si>
    <t>1426 Støjvold Øst for Skibbyvej</t>
  </si>
  <si>
    <t>1428 Ferslev gammel gadekær</t>
  </si>
  <si>
    <t>1429 Onsved Gadekær</t>
  </si>
  <si>
    <t>10101 Administrationscenteret Slangerup</t>
  </si>
  <si>
    <t>Administrative ejendomme</t>
  </si>
  <si>
    <t>Kongensgade 18-20 - 3550 Slangerup</t>
  </si>
  <si>
    <t>10201 Rådhuset</t>
  </si>
  <si>
    <t>Torvet 2 - 3600 Frederikssund</t>
  </si>
  <si>
    <t>10202 Adm. byg. Torvet 5</t>
  </si>
  <si>
    <t>Torvet 5 - 3600 Frederikssund</t>
  </si>
  <si>
    <t>10203 Adm. Byg. Lundevej 7</t>
  </si>
  <si>
    <t>Lundevej 7 - 3600 Frederikssund</t>
  </si>
  <si>
    <t>10204 Adm. byg. Lundevej 9</t>
  </si>
  <si>
    <t>Lundevej 9 - 3600 Frederikssund</t>
  </si>
  <si>
    <t>10205 Adm. Byg. Lundevej 11 B</t>
  </si>
  <si>
    <t>Lundevej 11 - 3600 Frederikssund</t>
  </si>
  <si>
    <t>10206 Adm.Byg. Lundevej 13</t>
  </si>
  <si>
    <t>Lundevej 13 - 3600 Frederikssund</t>
  </si>
  <si>
    <t>10301 Administrationscenter Jægerspris</t>
  </si>
  <si>
    <t>Parkvej 1 - 3630 Jægerspris</t>
  </si>
  <si>
    <t>20101 SIK</t>
  </si>
  <si>
    <t>Boldbaner</t>
  </si>
  <si>
    <t>Idrætsvej 5 - 3630 Jægerspris</t>
  </si>
  <si>
    <t>20201 FIK</t>
  </si>
  <si>
    <t>Kalvøvej 9 - 3600 Frederikssund</t>
  </si>
  <si>
    <t>Bjergvejen 7 - 3600 Frederikssund</t>
  </si>
  <si>
    <t>Roskildevej 157A - 3600 Frederikssund</t>
  </si>
  <si>
    <t>20301 Femhøj Stadion</t>
  </si>
  <si>
    <t>Femhøj Stationsvej 19-21 - 3630 Jægerspris</t>
  </si>
  <si>
    <t>20302 Kulhus Sportsplads</t>
  </si>
  <si>
    <t>Bautahøjvej 2C - 3630 Jægerspris</t>
  </si>
  <si>
    <t>20401 Skibby Idrætsanlæg</t>
  </si>
  <si>
    <t>Hovedgaden 96 - 4050 Skibby</t>
  </si>
  <si>
    <t>20402 Ferslev Idrætsanlæg</t>
  </si>
  <si>
    <t>Mejerivej 5 - 4050 Skibby</t>
  </si>
  <si>
    <t>21201 Falkenborgskolens Idrætsanlæg</t>
  </si>
  <si>
    <t>Ved Kirken 1 - 3600 Frederikssund</t>
  </si>
  <si>
    <t>21202 Ådalskolen Syds Idrætsanlæg</t>
  </si>
  <si>
    <t>Roskildevej 160D - 3600 Frederikssund</t>
  </si>
  <si>
    <t>21203 Ådalskolens boldbaner</t>
  </si>
  <si>
    <t>Kornvænget 4 - 3600 Frederikssund</t>
  </si>
  <si>
    <t>21301 Jægerprisskolernes Idrætsanlæg</t>
  </si>
  <si>
    <t>Møllevej 90-100 - 3630 Jægerspris</t>
  </si>
  <si>
    <t>21302 Dalby Idrætsanlæg</t>
  </si>
  <si>
    <t>Solbakkevej 28 - 3630 Jægerspris</t>
  </si>
  <si>
    <t>Selsøvej 16 - 4050 Skibby</t>
  </si>
  <si>
    <t>21402 Skuldelev Idrætsanlæg</t>
  </si>
  <si>
    <t>Sølvkærvej 8 - 4050 Skibby</t>
  </si>
  <si>
    <t>21500 Gymnasiets Idrætsanlæg</t>
  </si>
  <si>
    <t>Odinsvej 6 - 3600 Frederikssund</t>
  </si>
  <si>
    <t>22201 Frederikssund Svømmehal</t>
  </si>
  <si>
    <t>Idræt</t>
  </si>
  <si>
    <t>Odinsvej 2 - 3600 Frederikssund</t>
  </si>
  <si>
    <t>22301 Kignæshallen</t>
  </si>
  <si>
    <t>Smedeengen 5 - 3630 Jægerspris</t>
  </si>
  <si>
    <t>23102 Biografen i Slangerup</t>
  </si>
  <si>
    <t>Kultur og fritid</t>
  </si>
  <si>
    <t>Brobæksgade 6 - 3550 Slangerup</t>
  </si>
  <si>
    <t>23103 Rutebilstationen - musikskolen</t>
  </si>
  <si>
    <t>Stationsvej 2 - 3550 Slangerup</t>
  </si>
  <si>
    <t>23201 Frederikssund Bibliotek</t>
  </si>
  <si>
    <t>Jernbanegade 24 - 3600 Frederikssund</t>
  </si>
  <si>
    <t>23203 JF Willumsens Museum</t>
  </si>
  <si>
    <t>Jenriksvej 4 - 3600 Frederikssund</t>
  </si>
  <si>
    <t>23204 Foreningscenteret Pedersholm</t>
  </si>
  <si>
    <t>Roskildevej 161 - 3600 Frederikssund</t>
  </si>
  <si>
    <t>23205 Rytterskolen i Store Rørbæk</t>
  </si>
  <si>
    <t>Skolelodden 1A-B - 3600 Frederikssund</t>
  </si>
  <si>
    <t>23207 Valhal</t>
  </si>
  <si>
    <t>Kalvøvej 26 - 3600 Frederikssund</t>
  </si>
  <si>
    <t>23208 Græse Gamle Skole</t>
  </si>
  <si>
    <t>Græse Skolevej - 3600 Frederikssund</t>
  </si>
  <si>
    <t>23301 Jægerpris Bibliotek</t>
  </si>
  <si>
    <t>Møllevej 25 - 3630 Jægerspris</t>
  </si>
  <si>
    <t>23303 Kulturhuset Rejsestalden</t>
  </si>
  <si>
    <t>Hovedgaden 29A - 3630 Jægerspris</t>
  </si>
  <si>
    <t>23305 Kulhuse Kultur- og Medborgerhuset</t>
  </si>
  <si>
    <t>Gammel Kulhusvej 149 - 3630 Jægerspris</t>
  </si>
  <si>
    <t>23307 Spejderhytten Femhøj</t>
  </si>
  <si>
    <t>Femhøjvej - 3630 Jægerspris</t>
  </si>
  <si>
    <t>23401 Skibby Fritidscenter</t>
  </si>
  <si>
    <t>Nyvej 7B - 4050 Skibby</t>
  </si>
  <si>
    <t>30101 Slangerup skole afd. Kingo</t>
  </si>
  <si>
    <t>Skoler</t>
  </si>
  <si>
    <t>Strandstræde 28A - 3550 Slangerup</t>
  </si>
  <si>
    <t>30102 Slangerup skole afd. Byvang</t>
  </si>
  <si>
    <t>Strandstræde 24 - 3550 Slangerup</t>
  </si>
  <si>
    <t>30103 Slangerup skole afd. Lindegård</t>
  </si>
  <si>
    <t>Lindegårds Alle 18 - 3550 Slangerup</t>
  </si>
  <si>
    <t>30201 Trekløverskolen afd. Falkenborg</t>
  </si>
  <si>
    <t>30202 Trekløverskolen afd. Græse Bakkeby</t>
  </si>
  <si>
    <t>Højvangen 8-10 - 3600 Frederikssund</t>
  </si>
  <si>
    <t>30203 Trekløverskolen afd. Marienlyst</t>
  </si>
  <si>
    <t>Odinsvej 4 - 3600 Frederikssund</t>
  </si>
  <si>
    <t>30205 Ådalens skole</t>
  </si>
  <si>
    <t>30301 Jægerprisskolen 90</t>
  </si>
  <si>
    <t>Møllevej 90 - 3630 Jægerspris</t>
  </si>
  <si>
    <t>30302 Jægerprisskolen 100</t>
  </si>
  <si>
    <t>Møllevej 100 - 3630 Jægerspris</t>
  </si>
  <si>
    <t>30303 Fjordlandskolen Dalby</t>
  </si>
  <si>
    <t>Baygårdsvej 5 - 4050 Skibby</t>
  </si>
  <si>
    <t>Marbækvej 43 - 3600 Frederikssund</t>
  </si>
  <si>
    <t>31202 Gyldenstenskolen afd. Bakketoppen</t>
  </si>
  <si>
    <t>Odinsvej 2A - 3600 Frederikssund</t>
  </si>
  <si>
    <t>31203 Kærholm afd. Kæret</t>
  </si>
  <si>
    <t>Åbjergvej 28 - 3600 Frederikssund</t>
  </si>
  <si>
    <t>31301 Gyldenstenskolen afd. Svinget</t>
  </si>
  <si>
    <t>Slotsgården 3-7 - 3630 Jægerspris</t>
  </si>
  <si>
    <t>32202 Klub 107</t>
  </si>
  <si>
    <t>Åbjergvej 26 - 3600 Frederikssund</t>
  </si>
  <si>
    <t>32203 Klub Nord</t>
  </si>
  <si>
    <t>Heimdalsvej 8 - 3600 Frederikssund</t>
  </si>
  <si>
    <t>32204 Klub Mix</t>
  </si>
  <si>
    <t>A C Hansensvej 12A-B - 3600 Frederikssund</t>
  </si>
  <si>
    <t>32205 Dyreklubben Frederikssund</t>
  </si>
  <si>
    <t>Østersvej 3 - 3600 Frederikssund</t>
  </si>
  <si>
    <t>32301 Klub Højen</t>
  </si>
  <si>
    <t>Møllevej 92A - 3630 Jægerspris</t>
  </si>
  <si>
    <t>33201 Trekløverskolen afd. Marienlyst Tandklinik</t>
  </si>
  <si>
    <t>34101 Slangerup skole afd. Kingo og Byvang fælles P-areal</t>
  </si>
  <si>
    <t>34201 Trekløverskolen afd. Marienlyst - P-arealer</t>
  </si>
  <si>
    <t>Solbakkevej 26 - 3630 Jægerspris</t>
  </si>
  <si>
    <t>40101 Børnehuset Bakkebo</t>
  </si>
  <si>
    <t>Institutioner</t>
  </si>
  <si>
    <t>Lystrupvej 9A - 3550 Slangerup</t>
  </si>
  <si>
    <t xml:space="preserve">40102 Børnehuset Strandstræde </t>
  </si>
  <si>
    <t>Strandstræde 32 - 3550 Slangerup</t>
  </si>
  <si>
    <t>40103 Børnehuset Kroghøj</t>
  </si>
  <si>
    <t>Jordhøjvej 1 - 3550 Slangerup</t>
  </si>
  <si>
    <t>40104 Børnehuset Lindehuset</t>
  </si>
  <si>
    <t>Lindegårds Alle 20 - 3550 Slangerup</t>
  </si>
  <si>
    <t>40107 Børnehuset Troldhøj</t>
  </si>
  <si>
    <t>Idrætsvej 1 - 3550 Slangerup</t>
  </si>
  <si>
    <t>40202 Specialbørnehaven Åkanden</t>
  </si>
  <si>
    <t>Åbjergvej 30 - 3600 Frederikssund</t>
  </si>
  <si>
    <t>40204 Børnehuset Møllevej</t>
  </si>
  <si>
    <t>Møllevej 5A - 3600 Frederikssund</t>
  </si>
  <si>
    <t>40205 Børnehuset Stagetorn</t>
  </si>
  <si>
    <t>Dunhammervej 8A - 3600 Frederikssund</t>
  </si>
  <si>
    <t>40207 Børnehuset Ådalen</t>
  </si>
  <si>
    <t>Ådalsparken 1 - 3600 Frederikssund</t>
  </si>
  <si>
    <t>40209 Børnehuset Skuldshøj</t>
  </si>
  <si>
    <t>Ansgarsvej 1 - 3600 Frederikssund</t>
  </si>
  <si>
    <t>40210 Børnehuset Maglehøj</t>
  </si>
  <si>
    <t>Åbjergvej 24 - 3600 Frederikssund</t>
  </si>
  <si>
    <t>40211 Børnehuset Ørnestenen</t>
  </si>
  <si>
    <t>Østersvej 1A - 3600 Frederikssund</t>
  </si>
  <si>
    <t>40212 Børnehuset Fjordtoppen</t>
  </si>
  <si>
    <t>Højvang 9 - 3600 Frederikssund</t>
  </si>
  <si>
    <t>40213 Børnehuset Pilehaven</t>
  </si>
  <si>
    <t>Pilehaven 1-3 - 3600 Frederikssund</t>
  </si>
  <si>
    <t>40214 Børnehuset Højvang</t>
  </si>
  <si>
    <t>Højvang 4 - 3600 Frederikssund</t>
  </si>
  <si>
    <t>40215 Børnehuset Mariendal</t>
  </si>
  <si>
    <t>Frederiksborgvej 2A - 3600 Frederikssund</t>
  </si>
  <si>
    <t>40216 Børnehuset Toftelund</t>
  </si>
  <si>
    <t>Højvang 6 - 3600 Frederikssund</t>
  </si>
  <si>
    <t>40217 Børnehuset Rørskov</t>
  </si>
  <si>
    <t>Store Rørbækvej 9B - 3600 Frederikssund</t>
  </si>
  <si>
    <t>40218 Børnehuset Troldehøjen</t>
  </si>
  <si>
    <t>Ventevej 54 - 3600 Frederikssund</t>
  </si>
  <si>
    <t>40219 Børnehuset Stenhøjgård</t>
  </si>
  <si>
    <t>Ventevej 23A - 3600 Frederikssund</t>
  </si>
  <si>
    <t>40220 Børnehuset Lærkereden</t>
  </si>
  <si>
    <t>Skovvej 6 - 3600 Frederikssund</t>
  </si>
  <si>
    <t>40301 Børnehuset Slotgården</t>
  </si>
  <si>
    <t>Slotsgården 2 - 3630 Jægerspris</t>
  </si>
  <si>
    <t>40302 Børnehuset Bakkegården</t>
  </si>
  <si>
    <t>Hybenvej 31 - 3630 Jægerspris</t>
  </si>
  <si>
    <t>40303 Børnehuset Krabbedam</t>
  </si>
  <si>
    <t>Parkvej 20 - 3630 Jægerspris</t>
  </si>
  <si>
    <t>40304 Børnehuset Kragebakken</t>
  </si>
  <si>
    <t>Solbakkevej 26E - 3630 Jægerspris</t>
  </si>
  <si>
    <t>40305 Børnehuset Vandkunsten</t>
  </si>
  <si>
    <t>Parkvej 3B - 3630 Jægerspris</t>
  </si>
  <si>
    <t>40308 Børnehuset Gerlev</t>
  </si>
  <si>
    <t>Enghaven 14 - 3630 Jægerspris</t>
  </si>
  <si>
    <t>40401 Børnehuset Tumlebo</t>
  </si>
  <si>
    <t>Saltsøvej 7A - 4050 Skibby</t>
  </si>
  <si>
    <t>40402 Børnehuset Skibyssen</t>
  </si>
  <si>
    <t>40403 Børnehuset Nordstjernen</t>
  </si>
  <si>
    <t>Bronzeager 8 - 4050 Skibby</t>
  </si>
  <si>
    <t>40404 Børnehuset Pilehuset</t>
  </si>
  <si>
    <t>Baygårdsvej 6 - 4050 Skibby</t>
  </si>
  <si>
    <t>40406 Børnehuset Skolevejen</t>
  </si>
  <si>
    <t>Skolevej 5 - 4050 Skibby</t>
  </si>
  <si>
    <t>40408 Børnehuset Solstrålen</t>
  </si>
  <si>
    <t>Sølvkærvej 4 - 4050 Skibby</t>
  </si>
  <si>
    <t>41202 Dagplejens Legestue Frederikssund</t>
  </si>
  <si>
    <t>Skovvej 2 - 3600 Frederikssund</t>
  </si>
  <si>
    <t>41401 Dagplejens Legestue Skibby</t>
  </si>
  <si>
    <t>Nyvej 7G - 4050 Skibby</t>
  </si>
  <si>
    <t>42102 Slangerup Børnehave</t>
  </si>
  <si>
    <t>Kingovej 24 - 3550 Slangerup</t>
  </si>
  <si>
    <t>43201 Familiehuset Kong Dans vej</t>
  </si>
  <si>
    <t>Familieafdelingen</t>
  </si>
  <si>
    <t>Kong Dansvej 7 - 3600 Frederikssund</t>
  </si>
  <si>
    <t>Græse Strandvej 22 - 3600 Frederikssund</t>
  </si>
  <si>
    <t>43301 Familiehuset Vestermosen</t>
  </si>
  <si>
    <t>Hovedgaden 48 - 3630 Jægerspris</t>
  </si>
  <si>
    <t>50201 Værestedet Under Elmen</t>
  </si>
  <si>
    <t>Dag- og døgntilbud</t>
  </si>
  <si>
    <t>Kilde Alle 7 - 3600 Frederikssund</t>
  </si>
  <si>
    <t>50303 Dagtilbud Parkvej 4-6</t>
  </si>
  <si>
    <t>Parkvej 4 og 6 - 3630 Jægerspris</t>
  </si>
  <si>
    <t>50304 Dagtilbud Parkvej 8</t>
  </si>
  <si>
    <t>Parkvej 8 - 3630 Jægerspris</t>
  </si>
  <si>
    <t>52401 Bofællesskabet Saltsøvej</t>
  </si>
  <si>
    <t>Saltsøvej 7 B,C,D,E  og F - 4050 Skibby</t>
  </si>
  <si>
    <t>52402 Bofællesskabet Nordmandshusene</t>
  </si>
  <si>
    <t>Nordmandshusene 30-38 - 4050 Skibby</t>
  </si>
  <si>
    <t>60101 Omsorgscenteret Slangerup</t>
  </si>
  <si>
    <t>Ældreboliger</t>
  </si>
  <si>
    <t>M P Jensens Vej 4 - 3550 Slangerup</t>
  </si>
  <si>
    <t>60202 Omsorgscenteret Tolleruphøj</t>
  </si>
  <si>
    <t>Roskildevej 160A-C - 3600 Frederikssund</t>
  </si>
  <si>
    <t>60203 Ældrecenteret Østergården</t>
  </si>
  <si>
    <t>Frederiksborgvej 4,6-8 - 3600 Frederikssund</t>
  </si>
  <si>
    <t>60204 Omsorgscentret Pedershave</t>
  </si>
  <si>
    <t>Pedershave Alle 4 A, B ,C og D - 3600 Frederikssund</t>
  </si>
  <si>
    <t>60301 Omsorgscenteret De Tre Ege</t>
  </si>
  <si>
    <t>Parkalle 2 - 3630 Jægerspris</t>
  </si>
  <si>
    <t>60401 Omsorgscenteret Nordhøj</t>
  </si>
  <si>
    <t>Nordhøj 4-7,9-13,17-18 - 4050 Skibby</t>
  </si>
  <si>
    <t>61101 Ældreboliger Solhøjvej</t>
  </si>
  <si>
    <t>Solhøjvej 5-7A-E - 3550 Slangerup</t>
  </si>
  <si>
    <t>61404 Ældreboliger Skuldelev</t>
  </si>
  <si>
    <t>Østergade 36,38,40 og 42 - 4050 Skibby</t>
  </si>
  <si>
    <t>62301 Ældrecenteret Hermon</t>
  </si>
  <si>
    <t>Vinkelvej 6 - 3630 Jægerspris</t>
  </si>
  <si>
    <t>70101 Børnehuset Sælen</t>
  </si>
  <si>
    <t>Kommunale ejendomme</t>
  </si>
  <si>
    <t>Idrætsvej 3A - 3550 Slangerup</t>
  </si>
  <si>
    <t>70301 Lægehuset Jægerspris</t>
  </si>
  <si>
    <t>Parkvej 3A - 3630 Jægerspris</t>
  </si>
  <si>
    <t>70303 Parkvej 10A til 10E</t>
  </si>
  <si>
    <t>Parkvej 10 - 3630 Jægerspris</t>
  </si>
  <si>
    <t>70304 Regnbuen</t>
  </si>
  <si>
    <t>Egeparken 6 - 3630 Jægerspris</t>
  </si>
  <si>
    <t>70401 Administrationscenteret Skibby</t>
  </si>
  <si>
    <t>Røgerupvej 4 - 4050 Skibby</t>
  </si>
  <si>
    <t>Vælg område</t>
  </si>
  <si>
    <t>Tryk derefter Enter</t>
  </si>
  <si>
    <t>antal</t>
  </si>
  <si>
    <t>laengde</t>
  </si>
  <si>
    <t>klippeflade</t>
  </si>
  <si>
    <t>Grus</t>
  </si>
  <si>
    <t>Roser og stauder</t>
  </si>
  <si>
    <t>Krat og hegn</t>
  </si>
  <si>
    <t>Hækkekrat</t>
  </si>
  <si>
    <t>Terrænudstyr</t>
  </si>
  <si>
    <t>Fitness</t>
  </si>
  <si>
    <t>Anden anvendelse</t>
  </si>
  <si>
    <t>Sommerblomster</t>
  </si>
  <si>
    <t>Fælledgræs</t>
  </si>
  <si>
    <t>Busstop</t>
  </si>
  <si>
    <t>Trimmet grus</t>
  </si>
  <si>
    <t>Naturpræg</t>
  </si>
  <si>
    <t>Naturgræs</t>
  </si>
  <si>
    <t>Legeudstyr</t>
  </si>
  <si>
    <t>Parkpræg</t>
  </si>
  <si>
    <t>Vandløb</t>
  </si>
  <si>
    <t>Udenfor drift og pleje</t>
  </si>
  <si>
    <t>Græsning</t>
  </si>
  <si>
    <t>Bypræg</t>
  </si>
  <si>
    <t>Bunddækkende krat</t>
  </si>
  <si>
    <t>Kantsten</t>
  </si>
  <si>
    <t>underelement_kode</t>
  </si>
  <si>
    <t>underelement</t>
  </si>
  <si>
    <t>TR-01-01</t>
  </si>
  <si>
    <t>Fritstående træ</t>
  </si>
  <si>
    <t>UD-04-02</t>
  </si>
  <si>
    <t>Maskinflettet hegn</t>
  </si>
  <si>
    <t>Pullert</t>
  </si>
  <si>
    <t>Asfalt</t>
  </si>
  <si>
    <t>BE-01-02</t>
  </si>
  <si>
    <t>Beton</t>
  </si>
  <si>
    <t>BE-01-03</t>
  </si>
  <si>
    <t>Natursten</t>
  </si>
  <si>
    <t>BE-02-01</t>
  </si>
  <si>
    <t>BE-04-02</t>
  </si>
  <si>
    <t>Skærver</t>
  </si>
  <si>
    <t>BL-04-01</t>
  </si>
  <si>
    <t>BL-05-01</t>
  </si>
  <si>
    <t>BL-05-02</t>
  </si>
  <si>
    <t>BU-01-01</t>
  </si>
  <si>
    <t>Bunddækkende busk</t>
  </si>
  <si>
    <t>BU-02-01</t>
  </si>
  <si>
    <t>Busket</t>
  </si>
  <si>
    <t>BU-03-01</t>
  </si>
  <si>
    <t>GR-01-01</t>
  </si>
  <si>
    <t>Brugsplæne</t>
  </si>
  <si>
    <t>HÆ-01-01</t>
  </si>
  <si>
    <t>Hæk og pur</t>
  </si>
  <si>
    <t>HÆ-02-01</t>
  </si>
  <si>
    <t>TR-02-01</t>
  </si>
  <si>
    <t>Vejtræ</t>
  </si>
  <si>
    <t>TR-06-01</t>
  </si>
  <si>
    <t>Frugttræ</t>
  </si>
  <si>
    <t>UD-00-00</t>
  </si>
  <si>
    <t>Betontrappe</t>
  </si>
  <si>
    <t>UD-01-02</t>
  </si>
  <si>
    <t>Naturstenstrappe</t>
  </si>
  <si>
    <t>UD-02-02</t>
  </si>
  <si>
    <t>Betonmur</t>
  </si>
  <si>
    <t>UD-02-03</t>
  </si>
  <si>
    <t>Naturstensmur</t>
  </si>
  <si>
    <t>UD-03-02</t>
  </si>
  <si>
    <t>Bord- og bænkesæt</t>
  </si>
  <si>
    <t>UD-04-01</t>
  </si>
  <si>
    <t>Trådhegn</t>
  </si>
  <si>
    <t>Fodhegn</t>
  </si>
  <si>
    <t>UD-06-02</t>
  </si>
  <si>
    <t>Askebæger</t>
  </si>
  <si>
    <t>Fast sportsudstyr</t>
  </si>
  <si>
    <t>UD-09-01</t>
  </si>
  <si>
    <t>Skilt</t>
  </si>
  <si>
    <t>Cykelstativ</t>
  </si>
  <si>
    <t>Parklys</t>
  </si>
  <si>
    <t>Affaldscontainer</t>
  </si>
  <si>
    <t>Kampesten</t>
  </si>
  <si>
    <t>VA-01-01</t>
  </si>
  <si>
    <t>Bassin</t>
  </si>
  <si>
    <t>ANA-01-01</t>
  </si>
  <si>
    <t>BE-04-01</t>
  </si>
  <si>
    <t>Sten</t>
  </si>
  <si>
    <t>BE-04-04</t>
  </si>
  <si>
    <t>Jord</t>
  </si>
  <si>
    <t>BL-03-01</t>
  </si>
  <si>
    <t>Plantekumme</t>
  </si>
  <si>
    <t>Kampestensmur</t>
  </si>
  <si>
    <t>Bænk</t>
  </si>
  <si>
    <t>Træhegn</t>
  </si>
  <si>
    <t>BL-01-01</t>
  </si>
  <si>
    <t>UD-06-01</t>
  </si>
  <si>
    <t>Affaldsspand</t>
  </si>
  <si>
    <t>GR-04-01</t>
  </si>
  <si>
    <t>Flagstang</t>
  </si>
  <si>
    <t>BE-03-01</t>
  </si>
  <si>
    <t>REN-03-01</t>
  </si>
  <si>
    <t>TR-04-01</t>
  </si>
  <si>
    <t>Trærække</t>
  </si>
  <si>
    <t>VA-02-01</t>
  </si>
  <si>
    <t>Vandhul</t>
  </si>
  <si>
    <t>GR-06-02</t>
  </si>
  <si>
    <t>Naturgræs A</t>
  </si>
  <si>
    <t>VA-03-01</t>
  </si>
  <si>
    <t>Sø og gadekær</t>
  </si>
  <si>
    <t>BE-04-03</t>
  </si>
  <si>
    <t>Flis</t>
  </si>
  <si>
    <t>GR-06-01</t>
  </si>
  <si>
    <t>REN-02-01</t>
  </si>
  <si>
    <t>VA-04-01</t>
  </si>
  <si>
    <t>BE-06-01</t>
  </si>
  <si>
    <t>Faldgrus</t>
  </si>
  <si>
    <t>UD-05-02</t>
  </si>
  <si>
    <t>Sandkasse</t>
  </si>
  <si>
    <t>UD-09-02</t>
  </si>
  <si>
    <t>Trafikbom</t>
  </si>
  <si>
    <t>TR-08-01</t>
  </si>
  <si>
    <t>Skov og lund</t>
  </si>
  <si>
    <t>GR-02-01</t>
  </si>
  <si>
    <t>Græsflade</t>
  </si>
  <si>
    <t>UD-01-03</t>
  </si>
  <si>
    <t>Trappe - træ/jord</t>
  </si>
  <si>
    <t>BE-05-05</t>
  </si>
  <si>
    <t>SB - Stenmel</t>
  </si>
  <si>
    <t>GR-06-03</t>
  </si>
  <si>
    <t>Naturgræs B</t>
  </si>
  <si>
    <t>ANA-02-01</t>
  </si>
  <si>
    <t>GR-08-01</t>
  </si>
  <si>
    <t>Strand og klit</t>
  </si>
  <si>
    <t>UD-06-03</t>
  </si>
  <si>
    <t>Hundeposestativ</t>
  </si>
  <si>
    <t>BE-04-05</t>
  </si>
  <si>
    <t>Anden løs belægning</t>
  </si>
  <si>
    <t>GR-04-02</t>
  </si>
  <si>
    <t>Fælledgræs B</t>
  </si>
  <si>
    <t>GR-06-04</t>
  </si>
  <si>
    <t>Naturgræs C</t>
  </si>
  <si>
    <t>Træbro</t>
  </si>
  <si>
    <t>VA-01-03</t>
  </si>
  <si>
    <t>Hovedbassin</t>
  </si>
  <si>
    <t>VA-05-01</t>
  </si>
  <si>
    <t>Rørskov</t>
  </si>
  <si>
    <t>GR-07-01</t>
  </si>
  <si>
    <t>GR-09-01</t>
  </si>
  <si>
    <t>§3 Område</t>
  </si>
  <si>
    <t>VA-01-02</t>
  </si>
  <si>
    <t>Forbassin</t>
  </si>
  <si>
    <t>UD-08-01</t>
  </si>
  <si>
    <t>Shelterhytte</t>
  </si>
  <si>
    <t>REN-01-01</t>
  </si>
  <si>
    <t>TR-05-01</t>
  </si>
  <si>
    <t>Formet træ</t>
  </si>
  <si>
    <t>Urtehave</t>
  </si>
  <si>
    <t>Banelys</t>
  </si>
  <si>
    <t>BE-05-04</t>
  </si>
  <si>
    <t>SB - Slagger</t>
  </si>
  <si>
    <t>BU-04-01</t>
  </si>
  <si>
    <t>BE-06-02</t>
  </si>
  <si>
    <t>BE-06-04</t>
  </si>
  <si>
    <t>Andet faldunderlag</t>
  </si>
  <si>
    <t>BE-05-02</t>
  </si>
  <si>
    <t>SB - Kunstgræs</t>
  </si>
  <si>
    <t>BE-05-03</t>
  </si>
  <si>
    <t>SB - Tennisgrus</t>
  </si>
  <si>
    <t>BE-05-06</t>
  </si>
  <si>
    <t>SB - Asfalt</t>
  </si>
  <si>
    <t>GR-03-01</t>
  </si>
  <si>
    <t>Sportsplæne</t>
  </si>
  <si>
    <t>UD-02-04</t>
  </si>
  <si>
    <t>Træmur</t>
  </si>
  <si>
    <t>GR-01-02</t>
  </si>
  <si>
    <t>Brugsplæne - sport</t>
  </si>
  <si>
    <t>SB - Kunststof</t>
  </si>
  <si>
    <t>UD-05-03</t>
  </si>
  <si>
    <t>Kant - faldunderlag</t>
  </si>
  <si>
    <t>Tagrende</t>
  </si>
  <si>
    <t>Lyskasse</t>
  </si>
  <si>
    <t>BE-06-03</t>
  </si>
  <si>
    <t>Gummifliser</t>
  </si>
  <si>
    <t>TR-09-01</t>
  </si>
  <si>
    <t>Fælledskov</t>
  </si>
  <si>
    <t>ANA-04-01</t>
  </si>
  <si>
    <t>Faskine</t>
  </si>
  <si>
    <t>BL-02-01</t>
  </si>
  <si>
    <t>Ampel</t>
  </si>
  <si>
    <t>TR-07-01</t>
  </si>
  <si>
    <t>Allé</t>
  </si>
  <si>
    <t>BE-01-04</t>
  </si>
  <si>
    <t>Træ</t>
  </si>
  <si>
    <t>ANA-03-01</t>
  </si>
  <si>
    <t>Privat have</t>
  </si>
  <si>
    <t>underelement_tekst</t>
  </si>
  <si>
    <t>litra</t>
  </si>
  <si>
    <t>hoejde</t>
  </si>
  <si>
    <t>a</t>
  </si>
  <si>
    <t>c</t>
  </si>
  <si>
    <t>d</t>
  </si>
  <si>
    <t>e</t>
  </si>
  <si>
    <t>b</t>
  </si>
  <si>
    <t>f</t>
  </si>
  <si>
    <t>g</t>
  </si>
  <si>
    <t>k</t>
  </si>
  <si>
    <t>h</t>
  </si>
  <si>
    <t>i</t>
  </si>
  <si>
    <t>1e</t>
  </si>
  <si>
    <t>2c</t>
  </si>
  <si>
    <t>1d</t>
  </si>
  <si>
    <t>Antal</t>
  </si>
  <si>
    <t>Længde</t>
  </si>
  <si>
    <t>Areal</t>
  </si>
  <si>
    <t>Klippeflade</t>
  </si>
  <si>
    <t>Underelement</t>
  </si>
  <si>
    <t>Litraoversigt</t>
  </si>
  <si>
    <t>Kode</t>
  </si>
  <si>
    <t>Mængdeoversigt</t>
  </si>
  <si>
    <t>Mængdekort</t>
  </si>
  <si>
    <t>Generér en oversigt over mængder for et specifikt område</t>
  </si>
  <si>
    <t>1236 Nordkajen / Østkajen / Sydkajen</t>
  </si>
  <si>
    <t>1330 Rønnevej - Jægerpris</t>
  </si>
  <si>
    <t>1416 Selsø Kirke - P-plads</t>
  </si>
  <si>
    <t>1418 Mindesten - Skibby - Hovedgaden</t>
  </si>
  <si>
    <t>1419 Sølvkærvej/Vestergade - Skuldelev</t>
  </si>
  <si>
    <t>1424 Byparken - Skibby</t>
  </si>
  <si>
    <t>1425 Skov - Røgerupvej</t>
  </si>
  <si>
    <t>1427 Vestervej Vejleby - Plads og sti</t>
  </si>
  <si>
    <t>20203 ORI - Bjergvejen</t>
  </si>
  <si>
    <t>20204 ORI - Roskildevej</t>
  </si>
  <si>
    <t>21401 Fjordlandskolens Idrætsanlæg (Marbækskolen)</t>
  </si>
  <si>
    <t>30401 Skolen i Herredet - Jægersprisskolen (Ferslev skole)</t>
  </si>
  <si>
    <t>30402 Fjordlandskolen skibby (Marbækskolen)</t>
  </si>
  <si>
    <t>30403 Fjordlandskolen afd. Skuldelev</t>
  </si>
  <si>
    <t>31201 Kærholm afd. Kølholm (Gyldenstenskolen)</t>
  </si>
  <si>
    <t>34301 Jægerprisskolerne - P-pladser og veje</t>
  </si>
  <si>
    <t>34302 Fjordlandskolen Dalby - stier og P-pladser</t>
  </si>
  <si>
    <t>43202 Thorstedlund - Familie og Ungehus</t>
  </si>
  <si>
    <t>100 Smedetoften 4 - Vej og Park</t>
  </si>
  <si>
    <t>4101 Veje By Slangerup</t>
  </si>
  <si>
    <t>Vejarealer</t>
  </si>
  <si>
    <t>4102 Veje Land Slangerup</t>
  </si>
  <si>
    <t>4201 Veje By Frederikssund</t>
  </si>
  <si>
    <t>4202 Veje Land Frederikssund</t>
  </si>
  <si>
    <t>4301 Veje By Jærgerspris</t>
  </si>
  <si>
    <t>4302 Veje Land Jærgerspris</t>
  </si>
  <si>
    <t>4401 Veje By Skibby</t>
  </si>
  <si>
    <t>4402 Veje Land Skibby</t>
  </si>
  <si>
    <t>42201 Sct Georgsgårdens Børnehave</t>
  </si>
  <si>
    <t>60201 Ældrecentret Lundebjerggård</t>
  </si>
  <si>
    <t>Solitær klatreplante</t>
  </si>
  <si>
    <t>UD-01-04</t>
  </si>
  <si>
    <t>Klatreplante</t>
  </si>
  <si>
    <t>UD-01-05</t>
  </si>
  <si>
    <t>UD-01-06</t>
  </si>
  <si>
    <t>UD-01-11</t>
  </si>
  <si>
    <t>UD-01-14</t>
  </si>
  <si>
    <t>UD-03-03</t>
  </si>
  <si>
    <t>UD-03-04</t>
  </si>
  <si>
    <t>UD-05-05</t>
  </si>
  <si>
    <t>UD-07-03</t>
  </si>
  <si>
    <t>UD-05-04</t>
  </si>
  <si>
    <t>UD-07-02</t>
  </si>
  <si>
    <t>UD-01-15</t>
  </si>
  <si>
    <t>UD-07-04</t>
  </si>
  <si>
    <t>UD-01-13</t>
  </si>
  <si>
    <t>UD-01-12</t>
  </si>
  <si>
    <t>UD-01-07</t>
  </si>
  <si>
    <t>Faldsand</t>
  </si>
  <si>
    <t>BE-05-07</t>
  </si>
  <si>
    <t>UD-03-05</t>
  </si>
  <si>
    <t>UD-01-08</t>
  </si>
  <si>
    <t>UD-01-09</t>
  </si>
  <si>
    <t>UD-01-10</t>
  </si>
  <si>
    <t>BE-01-05</t>
  </si>
  <si>
    <t>UD-06-04</t>
  </si>
  <si>
    <t>Kant - sandkasse</t>
  </si>
  <si>
    <t>HÆ-01-02</t>
  </si>
  <si>
    <t>Hæk og pur - 2x klip</t>
  </si>
  <si>
    <t>´b</t>
  </si>
  <si>
    <t>cf</t>
  </si>
  <si>
    <t>ah</t>
  </si>
  <si>
    <t>t</t>
  </si>
  <si>
    <t>ANA-02-02</t>
  </si>
  <si>
    <t>BE-06-05</t>
  </si>
  <si>
    <t>Støbt gummi</t>
  </si>
  <si>
    <t>UD-01-01</t>
  </si>
  <si>
    <t>Andet terrænudstyr</t>
  </si>
  <si>
    <t>UD-02-01</t>
  </si>
  <si>
    <t>Trappe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</si>
</sst>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\ &quot;stk&quot;"/>
    <numFmt numFmtId="165" formatCode="#,##0.00\ &quot;m&quot;"/>
    <numFmt numFmtId="166" formatCode="#,##0.00\ &quot;m²&quot;"/>
    <numFmt numFmtId="167" formatCode="#,##0\ &quot;m²&quot;"/>
    <numFmt numFmtId="168" formatCode="0.0\ &quot;m&quot;"/>
  </numFmts>
  <fonts count="4" x14ac:knownFonts="1">
    <font>
      <sz val="10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u/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0" xfId="0" applyFont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0" fillId="0" borderId="10" xfId="0" applyFont="1" applyBorder="1"/>
    <xf numFmtId="0" fontId="0" fillId="0" borderId="0" xfId="0" applyFont="1" applyBorder="1"/>
    <xf numFmtId="0" fontId="0" fillId="0" borderId="10" xfId="0" applyFont="1" applyBorder="1" applyAlignment="1">
      <alignment horizontal="center" vertical="center"/>
    </xf>
    <xf numFmtId="0" fontId="0" fillId="0" borderId="7" xfId="0" applyBorder="1"/>
    <xf numFmtId="168" fontId="0" fillId="0" borderId="7" xfId="0" applyNumberFormat="1" applyBorder="1"/>
    <xf numFmtId="164" fontId="0" fillId="0" borderId="7" xfId="0" applyNumberFormat="1" applyBorder="1"/>
    <xf numFmtId="165" fontId="0" fillId="0" borderId="7" xfId="0" applyNumberFormat="1" applyBorder="1"/>
    <xf numFmtId="166" fontId="0" fillId="0" borderId="7" xfId="0" applyNumberForma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Font="1" applyBorder="1" applyAlignment="1">
      <alignment horizontal="center" vertical="center"/>
    </xf>
    <xf numFmtId="0" fontId="2" fillId="0" borderId="0" xfId="0" applyFont="1" applyBorder="1" applyAlignment="1"/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left" indent="3"/>
    </xf>
    <xf numFmtId="0" fontId="2" fillId="0" borderId="7" xfId="0" applyFont="1" applyBorder="1" applyAlignment="1">
      <alignment horizontal="left" indent="3"/>
    </xf>
    <xf numFmtId="0" fontId="2" fillId="0" borderId="8" xfId="0" applyFont="1" applyBorder="1" applyAlignment="1">
      <alignment horizontal="left" indent="3"/>
    </xf>
    <xf numFmtId="0" fontId="3" fillId="0" borderId="0" xfId="0" applyFont="1" applyAlignment="1">
      <alignment horizontal="center"/>
    </xf>
    <xf numFmtId="0" fontId="2" fillId="0" borderId="2" xfId="0" applyFont="1" applyBorder="1" applyAlignment="1"/>
    <xf numFmtId="167" fontId="2" fillId="0" borderId="0" xfId="0" applyNumberFormat="1" applyFont="1" applyAlignment="1">
      <alignment horizontal="center"/>
    </xf>
    <xf numFmtId="168" fontId="0" fillId="0" borderId="2" xfId="0" applyNumberFormat="1" applyBorder="1"/>
  </cellXfs>
  <cellStyles count="1">
    <cellStyle name="Normal" xfId="0" builtinId="0"/>
  </cellStyles>
  <dxfs count="23">
    <dxf>
      <numFmt numFmtId="166" formatCode="#,##0.00\ &quot;m²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#,##0.00\ &quot;m²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#,##0.00\ &quot;m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\ &quot;stk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0"/>
      </font>
      <border>
        <left/>
        <right/>
        <bottom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0.0\ &quot;m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Forespørgsel fra groenreg" refreshOnLoad="1" connectionId="3" autoFormatId="16" applyNumberFormats="0" applyBorderFormats="0" applyFontFormats="0" applyPatternFormats="0" applyAlignmentFormats="0" applyWidthHeightFormats="0">
  <queryTableRefresh nextId="5">
    <queryTableFields count="4">
      <queryTableField id="1" name="omraade" tableColumnId="1"/>
      <queryTableField id="2" name="arealtype" tableColumnId="2"/>
      <queryTableField id="3" name="adresse" tableColumnId="3"/>
      <queryTableField id="4" name="areal" tableColumnId="4"/>
    </queryTableFields>
  </queryTableRefresh>
</queryTable>
</file>

<file path=xl/queryTables/queryTable2.xml><?xml version="1.0" encoding="utf-8"?>
<queryTable xmlns="http://schemas.openxmlformats.org/spreadsheetml/2006/main" name="Forespørgsel fra groenreg" refreshOnLoad="1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omraade" tableColumnId="1"/>
      <queryTableField id="2" name="underelement_kode" tableColumnId="2"/>
      <queryTableField id="3" name="underelement" tableColumnId="3"/>
      <queryTableField id="4" name="antal" tableColumnId="4"/>
      <queryTableField id="5" name="laengde" tableColumnId="5"/>
      <queryTableField id="6" name="areal" tableColumnId="6"/>
      <queryTableField id="7" name="klippeflade" tableColumnId="7"/>
    </queryTableFields>
  </queryTableRefresh>
</queryTable>
</file>

<file path=xl/queryTables/queryTable3.xml><?xml version="1.0" encoding="utf-8"?>
<queryTable xmlns="http://schemas.openxmlformats.org/spreadsheetml/2006/main" name="Forespørgsel fra groenreg_1" refreshOnLoad="1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omraade" tableColumnId="1"/>
      <queryTableField id="2" name="underelement_kode" tableColumnId="2"/>
      <queryTableField id="3" name="underelement_tekst" tableColumnId="3"/>
      <queryTableField id="4" name="litra" tableColumnId="4"/>
      <queryTableField id="5" name="hoejd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el_Forespørgsel_fra_groenreg" displayName="Tabel_Forespørgsel_fra_groenreg" ref="A1:D250" tableType="queryTable" totalsRowShown="0">
  <autoFilter ref="A1:D250"/>
  <tableColumns count="4">
    <tableColumn id="1" uniqueName="1" name="omraade" queryTableFieldId="1"/>
    <tableColumn id="2" uniqueName="2" name="arealtype" queryTableFieldId="2"/>
    <tableColumn id="3" uniqueName="3" name="adresse" queryTableFieldId="3"/>
    <tableColumn id="4" uniqueName="4" name="areal" queryTableField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_Forespørgsel_fra_groenreg3" displayName="Tabel_Forespørgsel_fra_groenreg3" ref="K10:Q4777" tableType="queryTable" totalsRowShown="0">
  <tableColumns count="7">
    <tableColumn id="1" uniqueName="1" name="omraade" queryTableFieldId="1" dataDxfId="6"/>
    <tableColumn id="2" uniqueName="2" name="underelement_kode" queryTableFieldId="2" dataDxfId="5"/>
    <tableColumn id="3" uniqueName="3" name="underelement" queryTableFieldId="3" dataDxfId="4"/>
    <tableColumn id="4" uniqueName="4" name="antal" queryTableFieldId="4" dataDxfId="3"/>
    <tableColumn id="5" uniqueName="5" name="laengde" queryTableFieldId="5" dataDxfId="2"/>
    <tableColumn id="6" uniqueName="6" name="areal" queryTableFieldId="6" dataDxfId="1"/>
    <tableColumn id="7" uniqueName="7" name="klippeflade" queryTableFieldId="7" data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el_Forespørgsel_fra_groenreg_1" displayName="Tabel_Forespørgsel_fra_groenreg_1" ref="S10:W952" tableType="queryTable" totalsRowShown="0">
  <tableColumns count="5">
    <tableColumn id="1" uniqueName="1" name="omraade" queryTableFieldId="1" dataDxfId="22"/>
    <tableColumn id="2" uniqueName="2" name="underelement_kode" queryTableFieldId="2" dataDxfId="21"/>
    <tableColumn id="3" uniqueName="3" name="underelement_tekst" queryTableFieldId="3" dataDxfId="20"/>
    <tableColumn id="4" uniqueName="4" name="litra" queryTableFieldId="4" dataDxfId="19"/>
    <tableColumn id="5" uniqueName="5" name="hoejde" queryTableFieldId="5" dataDxfId="1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D250"/>
  <sheetViews>
    <sheetView workbookViewId="0">
      <selection activeCell="H14" sqref="H14"/>
    </sheetView>
  </sheetViews>
  <sheetFormatPr defaultRowHeight="12.75" x14ac:dyDescent="0.2"/>
  <cols>
    <col min="1" max="1" width="50.5703125" bestFit="1" customWidth="1"/>
    <col min="2" max="2" width="23.28515625" bestFit="1" customWidth="1"/>
    <col min="3" max="3" width="45" bestFit="1" customWidth="1"/>
    <col min="4" max="4" width="12" bestFit="1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t="s">
        <v>590</v>
      </c>
      <c r="B2" t="s">
        <v>343</v>
      </c>
      <c r="C2" t="s">
        <v>22</v>
      </c>
    </row>
    <row r="3" spans="1:4" x14ac:dyDescent="0.2">
      <c r="A3" t="s">
        <v>4</v>
      </c>
      <c r="B3" t="s">
        <v>5</v>
      </c>
      <c r="C3" t="s">
        <v>6</v>
      </c>
      <c r="D3">
        <v>20003.033733510987</v>
      </c>
    </row>
    <row r="4" spans="1:4" x14ac:dyDescent="0.2">
      <c r="A4" t="s">
        <v>7</v>
      </c>
      <c r="B4" t="s">
        <v>5</v>
      </c>
      <c r="C4" t="s">
        <v>6</v>
      </c>
      <c r="D4">
        <v>13893.527981290186</v>
      </c>
    </row>
    <row r="5" spans="1:4" x14ac:dyDescent="0.2">
      <c r="A5" t="s">
        <v>8</v>
      </c>
      <c r="B5" t="s">
        <v>5</v>
      </c>
      <c r="C5" t="s">
        <v>6</v>
      </c>
      <c r="D5">
        <v>39210.681838910365</v>
      </c>
    </row>
    <row r="6" spans="1:4" x14ac:dyDescent="0.2">
      <c r="A6" t="s">
        <v>9</v>
      </c>
      <c r="B6" t="s">
        <v>5</v>
      </c>
      <c r="C6" t="s">
        <v>6</v>
      </c>
      <c r="D6">
        <v>2054.6024102710439</v>
      </c>
    </row>
    <row r="7" spans="1:4" x14ac:dyDescent="0.2">
      <c r="A7" t="s">
        <v>10</v>
      </c>
      <c r="B7" t="s">
        <v>5</v>
      </c>
      <c r="C7" t="s">
        <v>6</v>
      </c>
      <c r="D7">
        <v>2039.1059419201124</v>
      </c>
    </row>
    <row r="8" spans="1:4" x14ac:dyDescent="0.2">
      <c r="A8" t="s">
        <v>11</v>
      </c>
      <c r="B8" t="s">
        <v>5</v>
      </c>
      <c r="C8" t="s">
        <v>6</v>
      </c>
      <c r="D8">
        <v>109819.28643703782</v>
      </c>
    </row>
    <row r="9" spans="1:4" x14ac:dyDescent="0.2">
      <c r="A9" t="s">
        <v>12</v>
      </c>
      <c r="B9" t="s">
        <v>5</v>
      </c>
      <c r="C9" t="s">
        <v>6</v>
      </c>
      <c r="D9">
        <v>19568.188588146808</v>
      </c>
    </row>
    <row r="10" spans="1:4" x14ac:dyDescent="0.2">
      <c r="A10" t="s">
        <v>13</v>
      </c>
      <c r="B10" t="s">
        <v>5</v>
      </c>
      <c r="C10" t="s">
        <v>6</v>
      </c>
      <c r="D10">
        <v>885.15974076783084</v>
      </c>
    </row>
    <row r="11" spans="1:4" x14ac:dyDescent="0.2">
      <c r="A11" t="s">
        <v>14</v>
      </c>
      <c r="B11" t="s">
        <v>5</v>
      </c>
      <c r="C11" t="s">
        <v>6</v>
      </c>
      <c r="D11">
        <v>12486.473937079207</v>
      </c>
    </row>
    <row r="12" spans="1:4" x14ac:dyDescent="0.2">
      <c r="A12" t="s">
        <v>15</v>
      </c>
      <c r="B12" t="s">
        <v>5</v>
      </c>
      <c r="C12" t="s">
        <v>6</v>
      </c>
      <c r="D12">
        <v>60679.178230962731</v>
      </c>
    </row>
    <row r="13" spans="1:4" x14ac:dyDescent="0.2">
      <c r="A13" t="s">
        <v>16</v>
      </c>
      <c r="B13" t="s">
        <v>5</v>
      </c>
      <c r="C13" t="s">
        <v>6</v>
      </c>
      <c r="D13">
        <v>3462.62762480847</v>
      </c>
    </row>
    <row r="14" spans="1:4" x14ac:dyDescent="0.2">
      <c r="A14" t="s">
        <v>17</v>
      </c>
      <c r="B14" t="s">
        <v>5</v>
      </c>
      <c r="C14" t="s">
        <v>6</v>
      </c>
      <c r="D14">
        <v>47208.621464246018</v>
      </c>
    </row>
    <row r="15" spans="1:4" x14ac:dyDescent="0.2">
      <c r="A15" t="s">
        <v>18</v>
      </c>
      <c r="B15" t="s">
        <v>5</v>
      </c>
      <c r="C15" t="s">
        <v>6</v>
      </c>
      <c r="D15">
        <v>1345.2106458391893</v>
      </c>
    </row>
    <row r="16" spans="1:4" x14ac:dyDescent="0.2">
      <c r="A16" t="s">
        <v>19</v>
      </c>
      <c r="B16" t="s">
        <v>5</v>
      </c>
      <c r="C16" t="s">
        <v>6</v>
      </c>
      <c r="D16">
        <v>16166.39733581496</v>
      </c>
    </row>
    <row r="17" spans="1:4" x14ac:dyDescent="0.2">
      <c r="A17" t="s">
        <v>20</v>
      </c>
      <c r="B17" t="s">
        <v>5</v>
      </c>
      <c r="C17" t="s">
        <v>6</v>
      </c>
      <c r="D17">
        <v>83987.416496119258</v>
      </c>
    </row>
    <row r="18" spans="1:4" x14ac:dyDescent="0.2">
      <c r="A18" t="s">
        <v>21</v>
      </c>
      <c r="B18" t="s">
        <v>5</v>
      </c>
      <c r="C18" t="s">
        <v>22</v>
      </c>
      <c r="D18">
        <v>191370.32780309807</v>
      </c>
    </row>
    <row r="19" spans="1:4" x14ac:dyDescent="0.2">
      <c r="A19" t="s">
        <v>23</v>
      </c>
      <c r="B19" t="s">
        <v>5</v>
      </c>
      <c r="C19" t="s">
        <v>22</v>
      </c>
      <c r="D19">
        <v>262223.66141415125</v>
      </c>
    </row>
    <row r="20" spans="1:4" x14ac:dyDescent="0.2">
      <c r="A20" t="s">
        <v>24</v>
      </c>
      <c r="B20" t="s">
        <v>5</v>
      </c>
      <c r="C20" t="s">
        <v>22</v>
      </c>
      <c r="D20">
        <v>5957.3944861802693</v>
      </c>
    </row>
    <row r="21" spans="1:4" x14ac:dyDescent="0.2">
      <c r="A21" t="s">
        <v>25</v>
      </c>
      <c r="B21" t="s">
        <v>5</v>
      </c>
      <c r="C21" t="s">
        <v>22</v>
      </c>
      <c r="D21">
        <v>7930.5839154177593</v>
      </c>
    </row>
    <row r="22" spans="1:4" x14ac:dyDescent="0.2">
      <c r="A22" t="s">
        <v>26</v>
      </c>
      <c r="B22" t="s">
        <v>5</v>
      </c>
      <c r="C22" t="s">
        <v>22</v>
      </c>
      <c r="D22">
        <v>10694.707139427906</v>
      </c>
    </row>
    <row r="23" spans="1:4" x14ac:dyDescent="0.2">
      <c r="A23" t="s">
        <v>27</v>
      </c>
      <c r="B23" t="s">
        <v>5</v>
      </c>
      <c r="C23" t="s">
        <v>22</v>
      </c>
      <c r="D23">
        <v>9888.8735720288696</v>
      </c>
    </row>
    <row r="24" spans="1:4" x14ac:dyDescent="0.2">
      <c r="A24" t="s">
        <v>28</v>
      </c>
      <c r="B24" t="s">
        <v>5</v>
      </c>
      <c r="C24" t="s">
        <v>22</v>
      </c>
      <c r="D24">
        <v>39545.627181274045</v>
      </c>
    </row>
    <row r="25" spans="1:4" x14ac:dyDescent="0.2">
      <c r="A25" t="s">
        <v>29</v>
      </c>
      <c r="B25" t="s">
        <v>5</v>
      </c>
      <c r="C25" t="s">
        <v>22</v>
      </c>
      <c r="D25">
        <v>53457.771298896987</v>
      </c>
    </row>
    <row r="26" spans="1:4" x14ac:dyDescent="0.2">
      <c r="A26" t="s">
        <v>30</v>
      </c>
      <c r="B26" t="s">
        <v>5</v>
      </c>
      <c r="C26" t="s">
        <v>22</v>
      </c>
      <c r="D26">
        <v>16138.369772713349</v>
      </c>
    </row>
    <row r="27" spans="1:4" x14ac:dyDescent="0.2">
      <c r="A27" t="s">
        <v>31</v>
      </c>
      <c r="B27" t="s">
        <v>5</v>
      </c>
      <c r="C27" t="s">
        <v>22</v>
      </c>
      <c r="D27">
        <v>24679.809978226953</v>
      </c>
    </row>
    <row r="28" spans="1:4" x14ac:dyDescent="0.2">
      <c r="A28" t="s">
        <v>32</v>
      </c>
      <c r="B28" t="s">
        <v>5</v>
      </c>
      <c r="C28" t="s">
        <v>22</v>
      </c>
      <c r="D28">
        <v>28317.291640876691</v>
      </c>
    </row>
    <row r="29" spans="1:4" x14ac:dyDescent="0.2">
      <c r="A29" t="s">
        <v>33</v>
      </c>
      <c r="B29" t="s">
        <v>5</v>
      </c>
      <c r="C29" t="s">
        <v>22</v>
      </c>
      <c r="D29">
        <v>11041.551770740061</v>
      </c>
    </row>
    <row r="30" spans="1:4" x14ac:dyDescent="0.2">
      <c r="A30" t="s">
        <v>34</v>
      </c>
      <c r="B30" t="s">
        <v>5</v>
      </c>
      <c r="C30" t="s">
        <v>22</v>
      </c>
      <c r="D30">
        <v>9569.6369105958402</v>
      </c>
    </row>
    <row r="31" spans="1:4" x14ac:dyDescent="0.2">
      <c r="A31" t="s">
        <v>35</v>
      </c>
      <c r="B31" t="s">
        <v>5</v>
      </c>
      <c r="C31" t="s">
        <v>22</v>
      </c>
      <c r="D31">
        <v>39097.982629345315</v>
      </c>
    </row>
    <row r="32" spans="1:4" x14ac:dyDescent="0.2">
      <c r="A32" t="s">
        <v>36</v>
      </c>
      <c r="B32" t="s">
        <v>5</v>
      </c>
      <c r="C32" t="s">
        <v>22</v>
      </c>
      <c r="D32">
        <v>198514.61593355722</v>
      </c>
    </row>
    <row r="33" spans="1:4" x14ac:dyDescent="0.2">
      <c r="A33" t="s">
        <v>37</v>
      </c>
      <c r="B33" t="s">
        <v>5</v>
      </c>
      <c r="C33" t="s">
        <v>22</v>
      </c>
      <c r="D33">
        <v>24645.365744869323</v>
      </c>
    </row>
    <row r="34" spans="1:4" x14ac:dyDescent="0.2">
      <c r="A34" t="s">
        <v>38</v>
      </c>
      <c r="B34" t="s">
        <v>5</v>
      </c>
      <c r="C34" t="s">
        <v>22</v>
      </c>
      <c r="D34">
        <v>1340.6531014869404</v>
      </c>
    </row>
    <row r="35" spans="1:4" x14ac:dyDescent="0.2">
      <c r="A35" t="s">
        <v>39</v>
      </c>
      <c r="B35" t="s">
        <v>5</v>
      </c>
      <c r="C35" t="s">
        <v>22</v>
      </c>
      <c r="D35">
        <v>3007.2957412342657</v>
      </c>
    </row>
    <row r="36" spans="1:4" x14ac:dyDescent="0.2">
      <c r="A36" t="s">
        <v>40</v>
      </c>
      <c r="B36" t="s">
        <v>5</v>
      </c>
      <c r="C36" t="s">
        <v>22</v>
      </c>
      <c r="D36">
        <v>29154.309572804646</v>
      </c>
    </row>
    <row r="37" spans="1:4" x14ac:dyDescent="0.2">
      <c r="A37" t="s">
        <v>41</v>
      </c>
      <c r="B37" t="s">
        <v>5</v>
      </c>
      <c r="C37" t="s">
        <v>22</v>
      </c>
      <c r="D37">
        <v>1599.1292989699382</v>
      </c>
    </row>
    <row r="38" spans="1:4" x14ac:dyDescent="0.2">
      <c r="A38" t="s">
        <v>42</v>
      </c>
      <c r="B38" t="s">
        <v>5</v>
      </c>
      <c r="C38" t="s">
        <v>22</v>
      </c>
      <c r="D38">
        <v>702154.95153058134</v>
      </c>
    </row>
    <row r="39" spans="1:4" x14ac:dyDescent="0.2">
      <c r="A39" t="s">
        <v>43</v>
      </c>
      <c r="B39" t="s">
        <v>5</v>
      </c>
      <c r="C39" t="s">
        <v>22</v>
      </c>
      <c r="D39">
        <v>265251.14442206552</v>
      </c>
    </row>
    <row r="40" spans="1:4" x14ac:dyDescent="0.2">
      <c r="A40" t="s">
        <v>44</v>
      </c>
      <c r="B40" t="s">
        <v>5</v>
      </c>
      <c r="C40" t="s">
        <v>22</v>
      </c>
      <c r="D40">
        <v>20925.435343553181</v>
      </c>
    </row>
    <row r="41" spans="1:4" x14ac:dyDescent="0.2">
      <c r="A41" t="s">
        <v>45</v>
      </c>
      <c r="B41" t="s">
        <v>5</v>
      </c>
      <c r="C41" t="s">
        <v>22</v>
      </c>
      <c r="D41">
        <v>130618.13422318664</v>
      </c>
    </row>
    <row r="42" spans="1:4" x14ac:dyDescent="0.2">
      <c r="A42" t="s">
        <v>46</v>
      </c>
      <c r="B42" t="s">
        <v>5</v>
      </c>
      <c r="C42" t="s">
        <v>22</v>
      </c>
      <c r="D42">
        <v>943.62710235880627</v>
      </c>
    </row>
    <row r="43" spans="1:4" x14ac:dyDescent="0.2">
      <c r="A43" t="s">
        <v>47</v>
      </c>
      <c r="B43" t="s">
        <v>5</v>
      </c>
      <c r="C43" t="s">
        <v>22</v>
      </c>
      <c r="D43">
        <v>897.49313808386614</v>
      </c>
    </row>
    <row r="44" spans="1:4" x14ac:dyDescent="0.2">
      <c r="A44" t="s">
        <v>48</v>
      </c>
      <c r="B44" t="s">
        <v>5</v>
      </c>
      <c r="C44" t="s">
        <v>22</v>
      </c>
      <c r="D44">
        <v>992.4190289940434</v>
      </c>
    </row>
    <row r="45" spans="1:4" x14ac:dyDescent="0.2">
      <c r="A45" t="s">
        <v>49</v>
      </c>
      <c r="B45" t="s">
        <v>5</v>
      </c>
      <c r="C45" t="s">
        <v>22</v>
      </c>
      <c r="D45">
        <v>13718.4747290826</v>
      </c>
    </row>
    <row r="46" spans="1:4" x14ac:dyDescent="0.2">
      <c r="A46" t="s">
        <v>50</v>
      </c>
      <c r="B46" t="s">
        <v>5</v>
      </c>
      <c r="C46" t="s">
        <v>22</v>
      </c>
      <c r="D46">
        <v>12199.730489236885</v>
      </c>
    </row>
    <row r="47" spans="1:4" x14ac:dyDescent="0.2">
      <c r="A47" t="s">
        <v>51</v>
      </c>
      <c r="B47" t="s">
        <v>5</v>
      </c>
      <c r="C47" t="s">
        <v>22</v>
      </c>
      <c r="D47">
        <v>1965.0255648729492</v>
      </c>
    </row>
    <row r="48" spans="1:4" x14ac:dyDescent="0.2">
      <c r="A48" t="s">
        <v>52</v>
      </c>
      <c r="B48" t="s">
        <v>5</v>
      </c>
      <c r="C48" t="s">
        <v>22</v>
      </c>
      <c r="D48">
        <v>51206.038384171014</v>
      </c>
    </row>
    <row r="49" spans="1:4" x14ac:dyDescent="0.2">
      <c r="A49" t="s">
        <v>53</v>
      </c>
      <c r="B49" t="s">
        <v>5</v>
      </c>
      <c r="C49" t="s">
        <v>22</v>
      </c>
      <c r="D49">
        <v>966.73605779312061</v>
      </c>
    </row>
    <row r="50" spans="1:4" x14ac:dyDescent="0.2">
      <c r="A50" t="s">
        <v>54</v>
      </c>
      <c r="B50" t="s">
        <v>5</v>
      </c>
      <c r="C50" t="s">
        <v>22</v>
      </c>
      <c r="D50">
        <v>9993.2828570289057</v>
      </c>
    </row>
    <row r="51" spans="1:4" x14ac:dyDescent="0.2">
      <c r="A51" t="s">
        <v>572</v>
      </c>
      <c r="B51" t="s">
        <v>5</v>
      </c>
      <c r="C51" t="s">
        <v>22</v>
      </c>
      <c r="D51">
        <v>22410.979812157297</v>
      </c>
    </row>
    <row r="52" spans="1:4" x14ac:dyDescent="0.2">
      <c r="A52" t="s">
        <v>55</v>
      </c>
      <c r="B52" t="s">
        <v>5</v>
      </c>
      <c r="C52" t="s">
        <v>22</v>
      </c>
      <c r="D52">
        <v>18588.500403990234</v>
      </c>
    </row>
    <row r="53" spans="1:4" x14ac:dyDescent="0.2">
      <c r="A53" t="s">
        <v>56</v>
      </c>
      <c r="B53" t="s">
        <v>5</v>
      </c>
      <c r="C53" t="s">
        <v>22</v>
      </c>
      <c r="D53">
        <v>66914.160502043815</v>
      </c>
    </row>
    <row r="54" spans="1:4" x14ac:dyDescent="0.2">
      <c r="A54" t="s">
        <v>57</v>
      </c>
      <c r="B54" t="s">
        <v>5</v>
      </c>
      <c r="C54" t="s">
        <v>22</v>
      </c>
      <c r="D54">
        <v>16371.520419969373</v>
      </c>
    </row>
    <row r="55" spans="1:4" x14ac:dyDescent="0.2">
      <c r="A55" t="s">
        <v>58</v>
      </c>
      <c r="B55" t="s">
        <v>5</v>
      </c>
      <c r="C55" t="s">
        <v>22</v>
      </c>
      <c r="D55">
        <v>11838.350984498669</v>
      </c>
    </row>
    <row r="56" spans="1:4" x14ac:dyDescent="0.2">
      <c r="A56" t="s">
        <v>59</v>
      </c>
      <c r="B56" t="s">
        <v>5</v>
      </c>
      <c r="C56" t="s">
        <v>22</v>
      </c>
      <c r="D56">
        <v>2152.1931059953627</v>
      </c>
    </row>
    <row r="57" spans="1:4" x14ac:dyDescent="0.2">
      <c r="A57" t="s">
        <v>60</v>
      </c>
      <c r="B57" t="s">
        <v>5</v>
      </c>
      <c r="C57" t="s">
        <v>22</v>
      </c>
      <c r="D57">
        <v>15986.169748035612</v>
      </c>
    </row>
    <row r="58" spans="1:4" x14ac:dyDescent="0.2">
      <c r="A58" t="s">
        <v>61</v>
      </c>
      <c r="B58" t="s">
        <v>5</v>
      </c>
      <c r="C58" t="s">
        <v>22</v>
      </c>
      <c r="D58">
        <v>1555.2427905454699</v>
      </c>
    </row>
    <row r="59" spans="1:4" x14ac:dyDescent="0.2">
      <c r="A59" t="s">
        <v>62</v>
      </c>
      <c r="B59" t="s">
        <v>5</v>
      </c>
      <c r="C59" t="s">
        <v>22</v>
      </c>
      <c r="D59">
        <v>64487.136592417286</v>
      </c>
    </row>
    <row r="60" spans="1:4" x14ac:dyDescent="0.2">
      <c r="A60" t="s">
        <v>63</v>
      </c>
      <c r="B60" t="s">
        <v>5</v>
      </c>
      <c r="C60" t="s">
        <v>64</v>
      </c>
      <c r="D60">
        <v>2606.1227963779011</v>
      </c>
    </row>
    <row r="61" spans="1:4" x14ac:dyDescent="0.2">
      <c r="A61" t="s">
        <v>65</v>
      </c>
      <c r="B61" t="s">
        <v>5</v>
      </c>
      <c r="C61" t="s">
        <v>64</v>
      </c>
      <c r="D61">
        <v>7175.6777154402243</v>
      </c>
    </row>
    <row r="62" spans="1:4" x14ac:dyDescent="0.2">
      <c r="A62" t="s">
        <v>66</v>
      </c>
      <c r="B62" t="s">
        <v>5</v>
      </c>
      <c r="C62" t="s">
        <v>64</v>
      </c>
      <c r="D62">
        <v>2305.0856837139231</v>
      </c>
    </row>
    <row r="63" spans="1:4" x14ac:dyDescent="0.2">
      <c r="A63" t="s">
        <v>67</v>
      </c>
      <c r="B63" t="s">
        <v>5</v>
      </c>
      <c r="C63" t="s">
        <v>64</v>
      </c>
      <c r="D63">
        <v>2704.5083551127518</v>
      </c>
    </row>
    <row r="64" spans="1:4" x14ac:dyDescent="0.2">
      <c r="A64" t="s">
        <v>68</v>
      </c>
      <c r="B64" t="s">
        <v>5</v>
      </c>
      <c r="C64" t="s">
        <v>64</v>
      </c>
      <c r="D64">
        <v>3894.0772880820609</v>
      </c>
    </row>
    <row r="65" spans="1:4" x14ac:dyDescent="0.2">
      <c r="A65" t="s">
        <v>69</v>
      </c>
      <c r="B65" t="s">
        <v>5</v>
      </c>
      <c r="C65" t="s">
        <v>64</v>
      </c>
      <c r="D65">
        <v>1771.4529733289671</v>
      </c>
    </row>
    <row r="66" spans="1:4" x14ac:dyDescent="0.2">
      <c r="A66" t="s">
        <v>70</v>
      </c>
      <c r="B66" t="s">
        <v>5</v>
      </c>
      <c r="C66" t="s">
        <v>64</v>
      </c>
      <c r="D66">
        <v>581.6227312717408</v>
      </c>
    </row>
    <row r="67" spans="1:4" x14ac:dyDescent="0.2">
      <c r="A67" t="s">
        <v>71</v>
      </c>
      <c r="B67" t="s">
        <v>5</v>
      </c>
      <c r="C67" t="s">
        <v>64</v>
      </c>
      <c r="D67">
        <v>1920.4216553805875</v>
      </c>
    </row>
    <row r="68" spans="1:4" x14ac:dyDescent="0.2">
      <c r="A68" t="s">
        <v>72</v>
      </c>
      <c r="B68" t="s">
        <v>5</v>
      </c>
      <c r="C68" t="s">
        <v>64</v>
      </c>
      <c r="D68">
        <v>1951.8772483693751</v>
      </c>
    </row>
    <row r="69" spans="1:4" x14ac:dyDescent="0.2">
      <c r="A69" t="s">
        <v>73</v>
      </c>
      <c r="B69" t="s">
        <v>5</v>
      </c>
      <c r="C69" t="s">
        <v>64</v>
      </c>
      <c r="D69">
        <v>2632.2503345421255</v>
      </c>
    </row>
    <row r="70" spans="1:4" x14ac:dyDescent="0.2">
      <c r="A70" t="s">
        <v>74</v>
      </c>
      <c r="B70" t="s">
        <v>5</v>
      </c>
      <c r="C70" t="s">
        <v>64</v>
      </c>
      <c r="D70">
        <v>10213.207514563259</v>
      </c>
    </row>
    <row r="71" spans="1:4" x14ac:dyDescent="0.2">
      <c r="A71" t="s">
        <v>75</v>
      </c>
      <c r="B71" t="s">
        <v>5</v>
      </c>
      <c r="C71" t="s">
        <v>64</v>
      </c>
      <c r="D71">
        <v>7227.0330797522292</v>
      </c>
    </row>
    <row r="72" spans="1:4" x14ac:dyDescent="0.2">
      <c r="A72" t="s">
        <v>76</v>
      </c>
      <c r="B72" t="s">
        <v>5</v>
      </c>
      <c r="C72" t="s">
        <v>64</v>
      </c>
      <c r="D72">
        <v>2109.540655989902</v>
      </c>
    </row>
    <row r="73" spans="1:4" x14ac:dyDescent="0.2">
      <c r="A73" t="s">
        <v>77</v>
      </c>
      <c r="B73" t="s">
        <v>5</v>
      </c>
      <c r="C73" t="s">
        <v>64</v>
      </c>
      <c r="D73">
        <v>529.03599165694663</v>
      </c>
    </row>
    <row r="74" spans="1:4" x14ac:dyDescent="0.2">
      <c r="A74" t="s">
        <v>78</v>
      </c>
      <c r="B74" t="s">
        <v>5</v>
      </c>
      <c r="C74" t="s">
        <v>64</v>
      </c>
      <c r="D74">
        <v>1484.6030671550179</v>
      </c>
    </row>
    <row r="75" spans="1:4" x14ac:dyDescent="0.2">
      <c r="A75" t="s">
        <v>79</v>
      </c>
      <c r="B75" t="s">
        <v>5</v>
      </c>
      <c r="C75" t="s">
        <v>64</v>
      </c>
      <c r="D75">
        <v>12752.668065782644</v>
      </c>
    </row>
    <row r="76" spans="1:4" x14ac:dyDescent="0.2">
      <c r="A76" t="s">
        <v>80</v>
      </c>
      <c r="B76" t="s">
        <v>5</v>
      </c>
      <c r="C76" t="s">
        <v>64</v>
      </c>
      <c r="D76">
        <v>31003.949988914883</v>
      </c>
    </row>
    <row r="77" spans="1:4" x14ac:dyDescent="0.2">
      <c r="A77" t="s">
        <v>81</v>
      </c>
      <c r="B77" t="s">
        <v>5</v>
      </c>
      <c r="C77" t="s">
        <v>64</v>
      </c>
      <c r="D77">
        <v>71638.762249087289</v>
      </c>
    </row>
    <row r="78" spans="1:4" x14ac:dyDescent="0.2">
      <c r="A78" t="s">
        <v>82</v>
      </c>
      <c r="B78" t="s">
        <v>5</v>
      </c>
      <c r="C78" t="s">
        <v>64</v>
      </c>
      <c r="D78">
        <v>2320.1564989926733</v>
      </c>
    </row>
    <row r="79" spans="1:4" x14ac:dyDescent="0.2">
      <c r="A79" t="s">
        <v>83</v>
      </c>
      <c r="B79" t="s">
        <v>5</v>
      </c>
      <c r="C79" t="s">
        <v>64</v>
      </c>
      <c r="D79">
        <v>3229.9673943066455</v>
      </c>
    </row>
    <row r="80" spans="1:4" x14ac:dyDescent="0.2">
      <c r="A80" t="s">
        <v>84</v>
      </c>
      <c r="B80" t="s">
        <v>5</v>
      </c>
      <c r="C80" t="s">
        <v>64</v>
      </c>
      <c r="D80">
        <v>7164.484310384234</v>
      </c>
    </row>
    <row r="81" spans="1:4" x14ac:dyDescent="0.2">
      <c r="A81" t="s">
        <v>85</v>
      </c>
      <c r="B81" t="s">
        <v>5</v>
      </c>
      <c r="C81" t="s">
        <v>64</v>
      </c>
      <c r="D81">
        <v>495.42868112245128</v>
      </c>
    </row>
    <row r="82" spans="1:4" x14ac:dyDescent="0.2">
      <c r="A82" t="s">
        <v>86</v>
      </c>
      <c r="B82" t="s">
        <v>5</v>
      </c>
      <c r="C82" t="s">
        <v>64</v>
      </c>
      <c r="D82">
        <v>5751.3746306600406</v>
      </c>
    </row>
    <row r="83" spans="1:4" x14ac:dyDescent="0.2">
      <c r="A83" t="s">
        <v>87</v>
      </c>
      <c r="B83" t="s">
        <v>5</v>
      </c>
      <c r="C83" t="s">
        <v>64</v>
      </c>
      <c r="D83">
        <v>22736.924657660918</v>
      </c>
    </row>
    <row r="84" spans="1:4" x14ac:dyDescent="0.2">
      <c r="A84" t="s">
        <v>88</v>
      </c>
      <c r="B84" t="s">
        <v>5</v>
      </c>
      <c r="C84" t="s">
        <v>64</v>
      </c>
      <c r="D84">
        <v>892.30794562774702</v>
      </c>
    </row>
    <row r="85" spans="1:4" x14ac:dyDescent="0.2">
      <c r="A85" t="s">
        <v>573</v>
      </c>
      <c r="B85" t="s">
        <v>5</v>
      </c>
      <c r="C85" t="s">
        <v>64</v>
      </c>
      <c r="D85">
        <v>2320.9699914046241</v>
      </c>
    </row>
    <row r="86" spans="1:4" x14ac:dyDescent="0.2">
      <c r="A86" t="s">
        <v>89</v>
      </c>
      <c r="B86" t="s">
        <v>5</v>
      </c>
      <c r="C86" t="s">
        <v>64</v>
      </c>
      <c r="D86">
        <v>2595.3630453259361</v>
      </c>
    </row>
    <row r="87" spans="1:4" x14ac:dyDescent="0.2">
      <c r="A87" t="s">
        <v>90</v>
      </c>
      <c r="B87" t="s">
        <v>5</v>
      </c>
      <c r="C87" t="s">
        <v>64</v>
      </c>
      <c r="D87">
        <v>66284.423210663008</v>
      </c>
    </row>
    <row r="88" spans="1:4" x14ac:dyDescent="0.2">
      <c r="A88" t="s">
        <v>91</v>
      </c>
      <c r="B88" t="s">
        <v>5</v>
      </c>
      <c r="C88" t="s">
        <v>64</v>
      </c>
      <c r="D88">
        <v>1826.2129610945487</v>
      </c>
    </row>
    <row r="89" spans="1:4" x14ac:dyDescent="0.2">
      <c r="A89" t="s">
        <v>92</v>
      </c>
      <c r="B89" t="s">
        <v>5</v>
      </c>
      <c r="C89" t="s">
        <v>93</v>
      </c>
      <c r="D89">
        <v>5020.7332781139794</v>
      </c>
    </row>
    <row r="90" spans="1:4" x14ac:dyDescent="0.2">
      <c r="A90" t="s">
        <v>94</v>
      </c>
      <c r="B90" t="s">
        <v>5</v>
      </c>
      <c r="C90" t="s">
        <v>93</v>
      </c>
      <c r="D90">
        <v>15224.908409890731</v>
      </c>
    </row>
    <row r="91" spans="1:4" x14ac:dyDescent="0.2">
      <c r="A91" t="s">
        <v>95</v>
      </c>
      <c r="B91" t="s">
        <v>5</v>
      </c>
      <c r="C91" t="s">
        <v>93</v>
      </c>
      <c r="D91">
        <v>2217.9556509189829</v>
      </c>
    </row>
    <row r="92" spans="1:4" x14ac:dyDescent="0.2">
      <c r="A92" t="s">
        <v>96</v>
      </c>
      <c r="B92" t="s">
        <v>5</v>
      </c>
      <c r="C92" t="s">
        <v>93</v>
      </c>
      <c r="D92">
        <v>5773.5973302362445</v>
      </c>
    </row>
    <row r="93" spans="1:4" x14ac:dyDescent="0.2">
      <c r="A93" t="s">
        <v>97</v>
      </c>
      <c r="B93" t="s">
        <v>5</v>
      </c>
      <c r="C93" t="s">
        <v>93</v>
      </c>
      <c r="D93">
        <v>3501.5168519004555</v>
      </c>
    </row>
    <row r="94" spans="1:4" x14ac:dyDescent="0.2">
      <c r="A94" t="s">
        <v>98</v>
      </c>
      <c r="B94" t="s">
        <v>5</v>
      </c>
      <c r="C94" t="s">
        <v>93</v>
      </c>
      <c r="D94">
        <v>2930.9177227574014</v>
      </c>
    </row>
    <row r="95" spans="1:4" x14ac:dyDescent="0.2">
      <c r="A95" t="s">
        <v>99</v>
      </c>
      <c r="B95" t="s">
        <v>5</v>
      </c>
      <c r="C95" t="s">
        <v>93</v>
      </c>
      <c r="D95">
        <v>4466.2501306336953</v>
      </c>
    </row>
    <row r="96" spans="1:4" x14ac:dyDescent="0.2">
      <c r="A96" t="s">
        <v>100</v>
      </c>
      <c r="B96" t="s">
        <v>5</v>
      </c>
      <c r="C96" t="s">
        <v>93</v>
      </c>
      <c r="D96">
        <v>1473.4330487267978</v>
      </c>
    </row>
    <row r="97" spans="1:4" x14ac:dyDescent="0.2">
      <c r="A97" t="s">
        <v>101</v>
      </c>
      <c r="B97" t="s">
        <v>5</v>
      </c>
      <c r="C97" t="s">
        <v>93</v>
      </c>
      <c r="D97">
        <v>1759.4670668619385</v>
      </c>
    </row>
    <row r="98" spans="1:4" x14ac:dyDescent="0.2">
      <c r="A98" t="s">
        <v>102</v>
      </c>
      <c r="B98" t="s">
        <v>5</v>
      </c>
      <c r="C98" t="s">
        <v>93</v>
      </c>
      <c r="D98">
        <v>3033.9130862741522</v>
      </c>
    </row>
    <row r="99" spans="1:4" x14ac:dyDescent="0.2">
      <c r="A99" t="s">
        <v>103</v>
      </c>
      <c r="B99" t="s">
        <v>5</v>
      </c>
      <c r="C99" t="s">
        <v>93</v>
      </c>
      <c r="D99">
        <v>1917.9286117040356</v>
      </c>
    </row>
    <row r="100" spans="1:4" x14ac:dyDescent="0.2">
      <c r="A100" t="s">
        <v>104</v>
      </c>
      <c r="B100" t="s">
        <v>5</v>
      </c>
      <c r="C100" t="s">
        <v>93</v>
      </c>
      <c r="D100">
        <v>14483.916408888235</v>
      </c>
    </row>
    <row r="101" spans="1:4" x14ac:dyDescent="0.2">
      <c r="A101" t="s">
        <v>105</v>
      </c>
      <c r="B101" t="s">
        <v>5</v>
      </c>
      <c r="C101" t="s">
        <v>93</v>
      </c>
      <c r="D101">
        <v>5316.6457466221154</v>
      </c>
    </row>
    <row r="102" spans="1:4" x14ac:dyDescent="0.2">
      <c r="A102" t="s">
        <v>106</v>
      </c>
      <c r="B102" t="s">
        <v>5</v>
      </c>
      <c r="C102" t="s">
        <v>93</v>
      </c>
      <c r="D102">
        <v>80717.398361428073</v>
      </c>
    </row>
    <row r="103" spans="1:4" x14ac:dyDescent="0.2">
      <c r="A103" t="s">
        <v>107</v>
      </c>
      <c r="B103" t="s">
        <v>5</v>
      </c>
      <c r="C103" t="s">
        <v>93</v>
      </c>
      <c r="D103">
        <v>2052.1699517027355</v>
      </c>
    </row>
    <row r="104" spans="1:4" x14ac:dyDescent="0.2">
      <c r="A104" t="s">
        <v>574</v>
      </c>
      <c r="B104" t="s">
        <v>5</v>
      </c>
      <c r="C104" t="s">
        <v>93</v>
      </c>
      <c r="D104">
        <v>7124.0101501761665</v>
      </c>
    </row>
    <row r="105" spans="1:4" x14ac:dyDescent="0.2">
      <c r="A105" t="s">
        <v>108</v>
      </c>
      <c r="B105" t="s">
        <v>5</v>
      </c>
      <c r="C105" t="s">
        <v>93</v>
      </c>
      <c r="D105">
        <v>12114.139939430626</v>
      </c>
    </row>
    <row r="106" spans="1:4" x14ac:dyDescent="0.2">
      <c r="A106" t="s">
        <v>575</v>
      </c>
      <c r="B106" t="s">
        <v>5</v>
      </c>
      <c r="C106" t="s">
        <v>93</v>
      </c>
      <c r="D106">
        <v>441.50769931637871</v>
      </c>
    </row>
    <row r="107" spans="1:4" x14ac:dyDescent="0.2">
      <c r="A107" t="s">
        <v>576</v>
      </c>
      <c r="B107" t="s">
        <v>5</v>
      </c>
      <c r="C107" t="s">
        <v>93</v>
      </c>
      <c r="D107">
        <v>3652.0345894571828</v>
      </c>
    </row>
    <row r="108" spans="1:4" x14ac:dyDescent="0.2">
      <c r="A108" t="s">
        <v>109</v>
      </c>
      <c r="B108" t="s">
        <v>5</v>
      </c>
      <c r="C108" t="s">
        <v>93</v>
      </c>
      <c r="D108">
        <v>7160.087237580854</v>
      </c>
    </row>
    <row r="109" spans="1:4" x14ac:dyDescent="0.2">
      <c r="A109" t="s">
        <v>110</v>
      </c>
      <c r="B109" t="s">
        <v>5</v>
      </c>
      <c r="C109" t="s">
        <v>93</v>
      </c>
      <c r="D109">
        <v>4551.8058682312685</v>
      </c>
    </row>
    <row r="110" spans="1:4" x14ac:dyDescent="0.2">
      <c r="A110" t="s">
        <v>111</v>
      </c>
      <c r="B110" t="s">
        <v>5</v>
      </c>
      <c r="C110" t="s">
        <v>93</v>
      </c>
      <c r="D110">
        <v>122749.69889095868</v>
      </c>
    </row>
    <row r="111" spans="1:4" x14ac:dyDescent="0.2">
      <c r="A111" t="s">
        <v>577</v>
      </c>
      <c r="B111" t="s">
        <v>5</v>
      </c>
      <c r="C111" t="s">
        <v>93</v>
      </c>
      <c r="D111">
        <v>2558.6685468755454</v>
      </c>
    </row>
    <row r="112" spans="1:4" x14ac:dyDescent="0.2">
      <c r="A112" t="s">
        <v>578</v>
      </c>
      <c r="B112" t="s">
        <v>5</v>
      </c>
      <c r="C112" t="s">
        <v>93</v>
      </c>
      <c r="D112">
        <v>3367.3393455840283</v>
      </c>
    </row>
    <row r="113" spans="1:4" x14ac:dyDescent="0.2">
      <c r="A113" t="s">
        <v>112</v>
      </c>
      <c r="B113" t="s">
        <v>5</v>
      </c>
      <c r="C113" t="s">
        <v>93</v>
      </c>
      <c r="D113">
        <v>8545.1230659916473</v>
      </c>
    </row>
    <row r="114" spans="1:4" x14ac:dyDescent="0.2">
      <c r="A114" t="s">
        <v>579</v>
      </c>
      <c r="B114" t="s">
        <v>5</v>
      </c>
      <c r="C114" t="s">
        <v>93</v>
      </c>
      <c r="D114">
        <v>1252.1301833327711</v>
      </c>
    </row>
    <row r="115" spans="1:4" x14ac:dyDescent="0.2">
      <c r="A115" t="s">
        <v>113</v>
      </c>
      <c r="B115" t="s">
        <v>5</v>
      </c>
      <c r="C115" t="s">
        <v>93</v>
      </c>
      <c r="D115">
        <v>2752.2837291741112</v>
      </c>
    </row>
    <row r="116" spans="1:4" x14ac:dyDescent="0.2">
      <c r="A116" t="s">
        <v>114</v>
      </c>
      <c r="B116" t="s">
        <v>5</v>
      </c>
      <c r="C116" t="s">
        <v>93</v>
      </c>
      <c r="D116">
        <v>1369.7241412409116</v>
      </c>
    </row>
    <row r="117" spans="1:4" x14ac:dyDescent="0.2">
      <c r="A117" t="s">
        <v>591</v>
      </c>
      <c r="B117" t="s">
        <v>592</v>
      </c>
      <c r="C117" t="s">
        <v>6</v>
      </c>
    </row>
    <row r="118" spans="1:4" x14ac:dyDescent="0.2">
      <c r="A118" t="s">
        <v>593</v>
      </c>
      <c r="B118" t="s">
        <v>592</v>
      </c>
      <c r="C118" t="s">
        <v>6</v>
      </c>
    </row>
    <row r="119" spans="1:4" x14ac:dyDescent="0.2">
      <c r="A119" t="s">
        <v>594</v>
      </c>
      <c r="B119" t="s">
        <v>592</v>
      </c>
      <c r="C119" t="s">
        <v>22</v>
      </c>
    </row>
    <row r="120" spans="1:4" x14ac:dyDescent="0.2">
      <c r="A120" t="s">
        <v>595</v>
      </c>
      <c r="B120" t="s">
        <v>592</v>
      </c>
      <c r="C120" t="s">
        <v>22</v>
      </c>
    </row>
    <row r="121" spans="1:4" x14ac:dyDescent="0.2">
      <c r="A121" t="s">
        <v>596</v>
      </c>
      <c r="B121" t="s">
        <v>592</v>
      </c>
      <c r="C121" t="s">
        <v>64</v>
      </c>
    </row>
    <row r="122" spans="1:4" x14ac:dyDescent="0.2">
      <c r="A122" t="s">
        <v>597</v>
      </c>
      <c r="B122" t="s">
        <v>592</v>
      </c>
      <c r="C122" t="s">
        <v>64</v>
      </c>
    </row>
    <row r="123" spans="1:4" x14ac:dyDescent="0.2">
      <c r="A123" t="s">
        <v>598</v>
      </c>
      <c r="B123" t="s">
        <v>592</v>
      </c>
      <c r="C123" t="s">
        <v>93</v>
      </c>
    </row>
    <row r="124" spans="1:4" x14ac:dyDescent="0.2">
      <c r="A124" t="s">
        <v>599</v>
      </c>
      <c r="B124" t="s">
        <v>592</v>
      </c>
      <c r="C124" t="s">
        <v>93</v>
      </c>
    </row>
    <row r="125" spans="1:4" x14ac:dyDescent="0.2">
      <c r="A125" t="s">
        <v>115</v>
      </c>
      <c r="B125" t="s">
        <v>116</v>
      </c>
      <c r="C125" t="s">
        <v>117</v>
      </c>
      <c r="D125">
        <v>5485.6584141111134</v>
      </c>
    </row>
    <row r="126" spans="1:4" x14ac:dyDescent="0.2">
      <c r="A126" t="s">
        <v>118</v>
      </c>
      <c r="B126" t="s">
        <v>116</v>
      </c>
      <c r="C126" t="s">
        <v>119</v>
      </c>
      <c r="D126">
        <v>4301.0642077060238</v>
      </c>
    </row>
    <row r="127" spans="1:4" x14ac:dyDescent="0.2">
      <c r="A127" t="s">
        <v>120</v>
      </c>
      <c r="B127" t="s">
        <v>116</v>
      </c>
      <c r="C127" t="s">
        <v>121</v>
      </c>
      <c r="D127">
        <v>823.36967472109768</v>
      </c>
    </row>
    <row r="128" spans="1:4" x14ac:dyDescent="0.2">
      <c r="A128" t="s">
        <v>122</v>
      </c>
      <c r="B128" t="s">
        <v>116</v>
      </c>
      <c r="C128" t="s">
        <v>123</v>
      </c>
      <c r="D128">
        <v>474.0068568763669</v>
      </c>
    </row>
    <row r="129" spans="1:4" x14ac:dyDescent="0.2">
      <c r="A129" t="s">
        <v>124</v>
      </c>
      <c r="B129" t="s">
        <v>116</v>
      </c>
      <c r="C129" t="s">
        <v>125</v>
      </c>
      <c r="D129">
        <v>621.29537215058861</v>
      </c>
    </row>
    <row r="130" spans="1:4" x14ac:dyDescent="0.2">
      <c r="A130" t="s">
        <v>126</v>
      </c>
      <c r="B130" t="s">
        <v>116</v>
      </c>
      <c r="C130" t="s">
        <v>127</v>
      </c>
      <c r="D130">
        <v>1203.1049857613771</v>
      </c>
    </row>
    <row r="131" spans="1:4" x14ac:dyDescent="0.2">
      <c r="A131" t="s">
        <v>128</v>
      </c>
      <c r="B131" t="s">
        <v>116</v>
      </c>
      <c r="C131" t="s">
        <v>129</v>
      </c>
      <c r="D131">
        <v>1309.5980389172012</v>
      </c>
    </row>
    <row r="132" spans="1:4" x14ac:dyDescent="0.2">
      <c r="A132" t="s">
        <v>130</v>
      </c>
      <c r="B132" t="s">
        <v>116</v>
      </c>
      <c r="C132" t="s">
        <v>131</v>
      </c>
      <c r="D132">
        <v>13461.092671157086</v>
      </c>
    </row>
    <row r="133" spans="1:4" x14ac:dyDescent="0.2">
      <c r="A133" t="s">
        <v>132</v>
      </c>
      <c r="B133" t="s">
        <v>133</v>
      </c>
      <c r="C133" t="s">
        <v>134</v>
      </c>
      <c r="D133">
        <v>102185.78932491645</v>
      </c>
    </row>
    <row r="134" spans="1:4" x14ac:dyDescent="0.2">
      <c r="A134" t="s">
        <v>135</v>
      </c>
      <c r="B134" t="s">
        <v>133</v>
      </c>
      <c r="C134" t="s">
        <v>136</v>
      </c>
      <c r="D134">
        <v>125426.46272050297</v>
      </c>
    </row>
    <row r="135" spans="1:4" x14ac:dyDescent="0.2">
      <c r="A135" t="s">
        <v>580</v>
      </c>
      <c r="B135" t="s">
        <v>133</v>
      </c>
      <c r="C135" t="s">
        <v>137</v>
      </c>
      <c r="D135">
        <v>26650.21540065208</v>
      </c>
    </row>
    <row r="136" spans="1:4" x14ac:dyDescent="0.2">
      <c r="A136" t="s">
        <v>581</v>
      </c>
      <c r="B136" t="s">
        <v>133</v>
      </c>
      <c r="C136" t="s">
        <v>138</v>
      </c>
      <c r="D136">
        <v>35539.052233796865</v>
      </c>
    </row>
    <row r="137" spans="1:4" x14ac:dyDescent="0.2">
      <c r="A137" t="s">
        <v>139</v>
      </c>
      <c r="B137" t="s">
        <v>133</v>
      </c>
      <c r="C137" t="s">
        <v>140</v>
      </c>
      <c r="D137">
        <v>43588.535946220858</v>
      </c>
    </row>
    <row r="138" spans="1:4" x14ac:dyDescent="0.2">
      <c r="A138" t="s">
        <v>141</v>
      </c>
      <c r="B138" t="s">
        <v>133</v>
      </c>
      <c r="C138" t="s">
        <v>142</v>
      </c>
      <c r="D138">
        <v>12860.395795930603</v>
      </c>
    </row>
    <row r="139" spans="1:4" x14ac:dyDescent="0.2">
      <c r="A139" t="s">
        <v>143</v>
      </c>
      <c r="B139" t="s">
        <v>133</v>
      </c>
      <c r="C139" t="s">
        <v>144</v>
      </c>
      <c r="D139">
        <v>40901.346734647741</v>
      </c>
    </row>
    <row r="140" spans="1:4" x14ac:dyDescent="0.2">
      <c r="A140" t="s">
        <v>145</v>
      </c>
      <c r="B140" t="s">
        <v>133</v>
      </c>
      <c r="C140" t="s">
        <v>146</v>
      </c>
      <c r="D140">
        <v>32431.059992437942</v>
      </c>
    </row>
    <row r="141" spans="1:4" x14ac:dyDescent="0.2">
      <c r="A141" t="s">
        <v>147</v>
      </c>
      <c r="B141" t="s">
        <v>133</v>
      </c>
      <c r="C141" t="s">
        <v>148</v>
      </c>
      <c r="D141">
        <v>6279.220164571756</v>
      </c>
    </row>
    <row r="142" spans="1:4" x14ac:dyDescent="0.2">
      <c r="A142" t="s">
        <v>149</v>
      </c>
      <c r="B142" t="s">
        <v>133</v>
      </c>
      <c r="C142" t="s">
        <v>150</v>
      </c>
      <c r="D142">
        <v>27662.298260736708</v>
      </c>
    </row>
    <row r="143" spans="1:4" x14ac:dyDescent="0.2">
      <c r="A143" t="s">
        <v>151</v>
      </c>
      <c r="B143" t="s">
        <v>133</v>
      </c>
      <c r="C143" t="s">
        <v>152</v>
      </c>
      <c r="D143">
        <v>28053.518306949427</v>
      </c>
    </row>
    <row r="144" spans="1:4" x14ac:dyDescent="0.2">
      <c r="A144" t="s">
        <v>153</v>
      </c>
      <c r="B144" t="s">
        <v>133</v>
      </c>
      <c r="C144" t="s">
        <v>154</v>
      </c>
      <c r="D144">
        <v>127847.49667722083</v>
      </c>
    </row>
    <row r="145" spans="1:4" x14ac:dyDescent="0.2">
      <c r="A145" t="s">
        <v>155</v>
      </c>
      <c r="B145" t="s">
        <v>133</v>
      </c>
      <c r="C145" t="s">
        <v>156</v>
      </c>
      <c r="D145">
        <v>50530.882655493668</v>
      </c>
    </row>
    <row r="146" spans="1:4" x14ac:dyDescent="0.2">
      <c r="A146" t="s">
        <v>582</v>
      </c>
      <c r="B146" t="s">
        <v>133</v>
      </c>
      <c r="C146" t="s">
        <v>157</v>
      </c>
      <c r="D146">
        <v>19639.850731620558</v>
      </c>
    </row>
    <row r="147" spans="1:4" x14ac:dyDescent="0.2">
      <c r="A147" t="s">
        <v>158</v>
      </c>
      <c r="B147" t="s">
        <v>133</v>
      </c>
      <c r="C147" t="s">
        <v>159</v>
      </c>
      <c r="D147">
        <v>24058.743861417224</v>
      </c>
    </row>
    <row r="148" spans="1:4" x14ac:dyDescent="0.2">
      <c r="A148" t="s">
        <v>160</v>
      </c>
      <c r="B148" t="s">
        <v>133</v>
      </c>
      <c r="C148" t="s">
        <v>161</v>
      </c>
      <c r="D148">
        <v>15793.0359128461</v>
      </c>
    </row>
    <row r="149" spans="1:4" x14ac:dyDescent="0.2">
      <c r="A149" t="s">
        <v>162</v>
      </c>
      <c r="B149" t="s">
        <v>163</v>
      </c>
      <c r="C149" t="s">
        <v>164</v>
      </c>
      <c r="D149">
        <v>2365.2525768111409</v>
      </c>
    </row>
    <row r="150" spans="1:4" x14ac:dyDescent="0.2">
      <c r="A150" t="s">
        <v>165</v>
      </c>
      <c r="B150" t="s">
        <v>163</v>
      </c>
      <c r="C150" t="s">
        <v>166</v>
      </c>
      <c r="D150">
        <v>7043.6464235376097</v>
      </c>
    </row>
    <row r="151" spans="1:4" x14ac:dyDescent="0.2">
      <c r="A151" t="s">
        <v>167</v>
      </c>
      <c r="B151" t="s">
        <v>168</v>
      </c>
      <c r="C151" t="s">
        <v>169</v>
      </c>
      <c r="D151">
        <v>1229.6768970651196</v>
      </c>
    </row>
    <row r="152" spans="1:4" x14ac:dyDescent="0.2">
      <c r="A152" t="s">
        <v>170</v>
      </c>
      <c r="B152" t="s">
        <v>168</v>
      </c>
      <c r="C152" t="s">
        <v>171</v>
      </c>
      <c r="D152">
        <v>189.50923807270368</v>
      </c>
    </row>
    <row r="153" spans="1:4" x14ac:dyDescent="0.2">
      <c r="A153" t="s">
        <v>172</v>
      </c>
      <c r="B153" t="s">
        <v>168</v>
      </c>
      <c r="C153" t="s">
        <v>173</v>
      </c>
      <c r="D153">
        <v>753.00079744991581</v>
      </c>
    </row>
    <row r="154" spans="1:4" x14ac:dyDescent="0.2">
      <c r="A154" t="s">
        <v>174</v>
      </c>
      <c r="B154" t="s">
        <v>168</v>
      </c>
      <c r="C154" t="s">
        <v>175</v>
      </c>
      <c r="D154">
        <v>10754.24648224207</v>
      </c>
    </row>
    <row r="155" spans="1:4" x14ac:dyDescent="0.2">
      <c r="A155" t="s">
        <v>176</v>
      </c>
      <c r="B155" t="s">
        <v>168</v>
      </c>
      <c r="C155" t="s">
        <v>177</v>
      </c>
      <c r="D155">
        <v>2363.6338228537006</v>
      </c>
    </row>
    <row r="156" spans="1:4" x14ac:dyDescent="0.2">
      <c r="A156" t="s">
        <v>178</v>
      </c>
      <c r="B156" t="s">
        <v>168</v>
      </c>
      <c r="C156" t="s">
        <v>179</v>
      </c>
      <c r="D156">
        <v>732.43321168404395</v>
      </c>
    </row>
    <row r="157" spans="1:4" x14ac:dyDescent="0.2">
      <c r="A157" t="s">
        <v>180</v>
      </c>
      <c r="B157" t="s">
        <v>168</v>
      </c>
      <c r="C157" t="s">
        <v>181</v>
      </c>
      <c r="D157">
        <v>1985.3319536156232</v>
      </c>
    </row>
    <row r="158" spans="1:4" x14ac:dyDescent="0.2">
      <c r="A158" t="s">
        <v>182</v>
      </c>
      <c r="B158" t="s">
        <v>168</v>
      </c>
      <c r="C158" t="s">
        <v>183</v>
      </c>
      <c r="D158">
        <v>6481.8512644726143</v>
      </c>
    </row>
    <row r="159" spans="1:4" x14ac:dyDescent="0.2">
      <c r="A159" t="s">
        <v>184</v>
      </c>
      <c r="B159" t="s">
        <v>168</v>
      </c>
      <c r="C159" t="s">
        <v>185</v>
      </c>
      <c r="D159">
        <v>675.66109160821907</v>
      </c>
    </row>
    <row r="160" spans="1:4" x14ac:dyDescent="0.2">
      <c r="A160" t="s">
        <v>186</v>
      </c>
      <c r="B160" t="s">
        <v>168</v>
      </c>
      <c r="C160" t="s">
        <v>187</v>
      </c>
      <c r="D160">
        <v>1022.087475184503</v>
      </c>
    </row>
    <row r="161" spans="1:4" x14ac:dyDescent="0.2">
      <c r="A161" t="s">
        <v>188</v>
      </c>
      <c r="B161" t="s">
        <v>168</v>
      </c>
      <c r="C161" t="s">
        <v>189</v>
      </c>
      <c r="D161">
        <v>2332.8812538941652</v>
      </c>
    </row>
    <row r="162" spans="1:4" x14ac:dyDescent="0.2">
      <c r="A162" t="s">
        <v>190</v>
      </c>
      <c r="B162" t="s">
        <v>168</v>
      </c>
      <c r="C162" t="s">
        <v>191</v>
      </c>
      <c r="D162">
        <v>2692.7684052330355</v>
      </c>
    </row>
    <row r="163" spans="1:4" x14ac:dyDescent="0.2">
      <c r="A163" t="s">
        <v>192</v>
      </c>
      <c r="B163" t="s">
        <v>168</v>
      </c>
      <c r="C163" t="s">
        <v>193</v>
      </c>
      <c r="D163">
        <v>4513.3182102699011</v>
      </c>
    </row>
    <row r="164" spans="1:4" x14ac:dyDescent="0.2">
      <c r="A164" t="s">
        <v>194</v>
      </c>
      <c r="B164" t="s">
        <v>195</v>
      </c>
      <c r="C164" t="s">
        <v>196</v>
      </c>
      <c r="D164">
        <v>15604.56090852998</v>
      </c>
    </row>
    <row r="165" spans="1:4" x14ac:dyDescent="0.2">
      <c r="A165" t="s">
        <v>197</v>
      </c>
      <c r="B165" t="s">
        <v>195</v>
      </c>
      <c r="C165" t="s">
        <v>198</v>
      </c>
      <c r="D165">
        <v>13838.103056612463</v>
      </c>
    </row>
    <row r="166" spans="1:4" x14ac:dyDescent="0.2">
      <c r="A166" t="s">
        <v>199</v>
      </c>
      <c r="B166" t="s">
        <v>195</v>
      </c>
      <c r="C166" t="s">
        <v>200</v>
      </c>
      <c r="D166">
        <v>38295.873573476267</v>
      </c>
    </row>
    <row r="167" spans="1:4" x14ac:dyDescent="0.2">
      <c r="A167" t="s">
        <v>201</v>
      </c>
      <c r="B167" t="s">
        <v>195</v>
      </c>
      <c r="C167" t="s">
        <v>148</v>
      </c>
      <c r="D167">
        <v>8435.3302725871981</v>
      </c>
    </row>
    <row r="168" spans="1:4" x14ac:dyDescent="0.2">
      <c r="A168" t="s">
        <v>202</v>
      </c>
      <c r="B168" t="s">
        <v>195</v>
      </c>
      <c r="C168" t="s">
        <v>203</v>
      </c>
      <c r="D168">
        <v>37659.29262793465</v>
      </c>
    </row>
    <row r="169" spans="1:4" x14ac:dyDescent="0.2">
      <c r="A169" t="s">
        <v>204</v>
      </c>
      <c r="B169" t="s">
        <v>195</v>
      </c>
      <c r="C169" t="s">
        <v>205</v>
      </c>
      <c r="D169">
        <v>21893.520112139711</v>
      </c>
    </row>
    <row r="170" spans="1:4" x14ac:dyDescent="0.2">
      <c r="A170" t="s">
        <v>206</v>
      </c>
      <c r="B170" t="s">
        <v>195</v>
      </c>
      <c r="C170" t="s">
        <v>152</v>
      </c>
      <c r="D170">
        <v>29862.042733387858</v>
      </c>
    </row>
    <row r="171" spans="1:4" x14ac:dyDescent="0.2">
      <c r="A171" t="s">
        <v>207</v>
      </c>
      <c r="B171" t="s">
        <v>195</v>
      </c>
      <c r="C171" t="s">
        <v>208</v>
      </c>
      <c r="D171">
        <v>26851.817312933399</v>
      </c>
    </row>
    <row r="172" spans="1:4" x14ac:dyDescent="0.2">
      <c r="A172" t="s">
        <v>209</v>
      </c>
      <c r="B172" t="s">
        <v>195</v>
      </c>
      <c r="C172" t="s">
        <v>210</v>
      </c>
      <c r="D172">
        <v>13846.767508470641</v>
      </c>
    </row>
    <row r="173" spans="1:4" x14ac:dyDescent="0.2">
      <c r="A173" t="s">
        <v>211</v>
      </c>
      <c r="B173" t="s">
        <v>195</v>
      </c>
      <c r="C173" t="s">
        <v>156</v>
      </c>
      <c r="D173">
        <v>12276.592254310437</v>
      </c>
    </row>
    <row r="174" spans="1:4" x14ac:dyDescent="0.2">
      <c r="A174" t="s">
        <v>583</v>
      </c>
      <c r="B174" t="s">
        <v>195</v>
      </c>
      <c r="C174" t="s">
        <v>212</v>
      </c>
      <c r="D174">
        <v>6822.4356746235026</v>
      </c>
    </row>
    <row r="175" spans="1:4" x14ac:dyDescent="0.2">
      <c r="A175" t="s">
        <v>584</v>
      </c>
      <c r="B175" t="s">
        <v>195</v>
      </c>
      <c r="C175" t="s">
        <v>157</v>
      </c>
      <c r="D175">
        <v>52309.397628684361</v>
      </c>
    </row>
    <row r="176" spans="1:4" x14ac:dyDescent="0.2">
      <c r="A176" t="s">
        <v>585</v>
      </c>
      <c r="B176" t="s">
        <v>195</v>
      </c>
      <c r="C176" t="s">
        <v>159</v>
      </c>
      <c r="D176">
        <v>21707.944452079621</v>
      </c>
    </row>
    <row r="177" spans="1:4" x14ac:dyDescent="0.2">
      <c r="A177" t="s">
        <v>586</v>
      </c>
      <c r="B177" t="s">
        <v>195</v>
      </c>
      <c r="C177" t="s">
        <v>213</v>
      </c>
      <c r="D177">
        <v>10750.24611078911</v>
      </c>
    </row>
    <row r="178" spans="1:4" x14ac:dyDescent="0.2">
      <c r="A178" t="s">
        <v>214</v>
      </c>
      <c r="B178" t="s">
        <v>195</v>
      </c>
      <c r="C178" t="s">
        <v>215</v>
      </c>
      <c r="D178">
        <v>799.06428813279126</v>
      </c>
    </row>
    <row r="179" spans="1:4" x14ac:dyDescent="0.2">
      <c r="A179" t="s">
        <v>216</v>
      </c>
      <c r="B179" t="s">
        <v>195</v>
      </c>
      <c r="C179" t="s">
        <v>217</v>
      </c>
      <c r="D179">
        <v>6146.0433173530218</v>
      </c>
    </row>
    <row r="180" spans="1:4" x14ac:dyDescent="0.2">
      <c r="A180" t="s">
        <v>218</v>
      </c>
      <c r="B180" t="s">
        <v>195</v>
      </c>
      <c r="C180" t="s">
        <v>219</v>
      </c>
      <c r="D180">
        <v>7994.6916040837768</v>
      </c>
    </row>
    <row r="181" spans="1:4" x14ac:dyDescent="0.2">
      <c r="A181" t="s">
        <v>220</v>
      </c>
      <c r="B181" t="s">
        <v>195</v>
      </c>
      <c r="C181" t="s">
        <v>221</v>
      </c>
      <c r="D181">
        <v>2205.9328039294746</v>
      </c>
    </row>
    <row r="182" spans="1:4" x14ac:dyDescent="0.2">
      <c r="A182" t="s">
        <v>222</v>
      </c>
      <c r="B182" t="s">
        <v>195</v>
      </c>
      <c r="C182" t="s">
        <v>223</v>
      </c>
      <c r="D182">
        <v>2362.5892498122789</v>
      </c>
    </row>
    <row r="183" spans="1:4" x14ac:dyDescent="0.2">
      <c r="A183" t="s">
        <v>224</v>
      </c>
      <c r="B183" t="s">
        <v>195</v>
      </c>
      <c r="C183" t="s">
        <v>225</v>
      </c>
      <c r="D183">
        <v>2036.8599196120595</v>
      </c>
    </row>
    <row r="184" spans="1:4" x14ac:dyDescent="0.2">
      <c r="A184" t="s">
        <v>226</v>
      </c>
      <c r="B184" t="s">
        <v>195</v>
      </c>
      <c r="C184" t="s">
        <v>227</v>
      </c>
      <c r="D184">
        <v>7305.0960328392021</v>
      </c>
    </row>
    <row r="185" spans="1:4" x14ac:dyDescent="0.2">
      <c r="A185" t="s">
        <v>228</v>
      </c>
      <c r="B185" t="s">
        <v>195</v>
      </c>
      <c r="C185" t="s">
        <v>229</v>
      </c>
      <c r="D185">
        <v>5563.2020988563936</v>
      </c>
    </row>
    <row r="186" spans="1:4" x14ac:dyDescent="0.2">
      <c r="A186" t="s">
        <v>230</v>
      </c>
      <c r="B186" t="s">
        <v>195</v>
      </c>
      <c r="C186" t="s">
        <v>205</v>
      </c>
      <c r="D186">
        <v>1099.8322855048502</v>
      </c>
    </row>
    <row r="187" spans="1:4" x14ac:dyDescent="0.2">
      <c r="A187" t="s">
        <v>231</v>
      </c>
      <c r="B187" t="s">
        <v>195</v>
      </c>
      <c r="C187" t="s">
        <v>196</v>
      </c>
      <c r="D187">
        <v>9887.7551534274771</v>
      </c>
    </row>
    <row r="188" spans="1:4" x14ac:dyDescent="0.2">
      <c r="A188" t="s">
        <v>232</v>
      </c>
      <c r="B188" t="s">
        <v>195</v>
      </c>
      <c r="C188" t="s">
        <v>205</v>
      </c>
      <c r="D188">
        <v>5076.8974798920717</v>
      </c>
    </row>
    <row r="189" spans="1:4" x14ac:dyDescent="0.2">
      <c r="A189" t="s">
        <v>587</v>
      </c>
      <c r="B189" t="s">
        <v>195</v>
      </c>
      <c r="C189" t="s">
        <v>154</v>
      </c>
      <c r="D189">
        <v>16390.902858079433</v>
      </c>
    </row>
    <row r="190" spans="1:4" x14ac:dyDescent="0.2">
      <c r="A190" t="s">
        <v>588</v>
      </c>
      <c r="B190" t="s">
        <v>195</v>
      </c>
      <c r="C190" t="s">
        <v>233</v>
      </c>
      <c r="D190">
        <v>6687.576911412415</v>
      </c>
    </row>
    <row r="191" spans="1:4" x14ac:dyDescent="0.2">
      <c r="A191" t="s">
        <v>234</v>
      </c>
      <c r="B191" t="s">
        <v>235</v>
      </c>
      <c r="C191" t="s">
        <v>236</v>
      </c>
      <c r="D191">
        <v>3599.5377981832721</v>
      </c>
    </row>
    <row r="192" spans="1:4" x14ac:dyDescent="0.2">
      <c r="A192" t="s">
        <v>237</v>
      </c>
      <c r="B192" t="s">
        <v>235</v>
      </c>
      <c r="C192" t="s">
        <v>238</v>
      </c>
      <c r="D192">
        <v>2924.230760937573</v>
      </c>
    </row>
    <row r="193" spans="1:4" x14ac:dyDescent="0.2">
      <c r="A193" t="s">
        <v>239</v>
      </c>
      <c r="B193" t="s">
        <v>235</v>
      </c>
      <c r="C193" t="s">
        <v>240</v>
      </c>
      <c r="D193">
        <v>4520.403025679002</v>
      </c>
    </row>
    <row r="194" spans="1:4" x14ac:dyDescent="0.2">
      <c r="A194" t="s">
        <v>241</v>
      </c>
      <c r="B194" t="s">
        <v>235</v>
      </c>
      <c r="C194" t="s">
        <v>242</v>
      </c>
      <c r="D194">
        <v>1993.2294961807563</v>
      </c>
    </row>
    <row r="195" spans="1:4" x14ac:dyDescent="0.2">
      <c r="A195" t="s">
        <v>243</v>
      </c>
      <c r="B195" t="s">
        <v>235</v>
      </c>
      <c r="C195" t="s">
        <v>244</v>
      </c>
      <c r="D195">
        <v>2487.0299302725848</v>
      </c>
    </row>
    <row r="196" spans="1:4" x14ac:dyDescent="0.2">
      <c r="A196" t="s">
        <v>245</v>
      </c>
      <c r="B196" t="s">
        <v>235</v>
      </c>
      <c r="C196" t="s">
        <v>246</v>
      </c>
      <c r="D196">
        <v>2567.0284182365408</v>
      </c>
    </row>
    <row r="197" spans="1:4" x14ac:dyDescent="0.2">
      <c r="A197" t="s">
        <v>247</v>
      </c>
      <c r="B197" t="s">
        <v>235</v>
      </c>
      <c r="C197" t="s">
        <v>248</v>
      </c>
      <c r="D197">
        <v>2632.5746242756541</v>
      </c>
    </row>
    <row r="198" spans="1:4" x14ac:dyDescent="0.2">
      <c r="A198" t="s">
        <v>249</v>
      </c>
      <c r="B198" t="s">
        <v>235</v>
      </c>
      <c r="C198" t="s">
        <v>250</v>
      </c>
      <c r="D198">
        <v>6303.0364257139308</v>
      </c>
    </row>
    <row r="199" spans="1:4" x14ac:dyDescent="0.2">
      <c r="A199" t="s">
        <v>251</v>
      </c>
      <c r="B199" t="s">
        <v>235</v>
      </c>
      <c r="C199" t="s">
        <v>252</v>
      </c>
      <c r="D199">
        <v>3458.8112478694461</v>
      </c>
    </row>
    <row r="200" spans="1:4" x14ac:dyDescent="0.2">
      <c r="A200" t="s">
        <v>253</v>
      </c>
      <c r="B200" t="s">
        <v>235</v>
      </c>
      <c r="C200" t="s">
        <v>254</v>
      </c>
      <c r="D200">
        <v>4185.5488510264249</v>
      </c>
    </row>
    <row r="201" spans="1:4" x14ac:dyDescent="0.2">
      <c r="A201" t="s">
        <v>255</v>
      </c>
      <c r="B201" t="s">
        <v>235</v>
      </c>
      <c r="C201" t="s">
        <v>256</v>
      </c>
      <c r="D201">
        <v>2106.0512830413904</v>
      </c>
    </row>
    <row r="202" spans="1:4" x14ac:dyDescent="0.2">
      <c r="A202" t="s">
        <v>257</v>
      </c>
      <c r="B202" t="s">
        <v>235</v>
      </c>
      <c r="C202" t="s">
        <v>258</v>
      </c>
      <c r="D202">
        <v>2646.2211287784367</v>
      </c>
    </row>
    <row r="203" spans="1:4" x14ac:dyDescent="0.2">
      <c r="A203" t="s">
        <v>259</v>
      </c>
      <c r="B203" t="s">
        <v>235</v>
      </c>
      <c r="C203" t="s">
        <v>260</v>
      </c>
      <c r="D203">
        <v>2492.9452975108352</v>
      </c>
    </row>
    <row r="204" spans="1:4" x14ac:dyDescent="0.2">
      <c r="A204" t="s">
        <v>261</v>
      </c>
      <c r="B204" t="s">
        <v>235</v>
      </c>
      <c r="C204" t="s">
        <v>262</v>
      </c>
      <c r="D204">
        <v>6514.3293632258128</v>
      </c>
    </row>
    <row r="205" spans="1:4" x14ac:dyDescent="0.2">
      <c r="A205" t="s">
        <v>263</v>
      </c>
      <c r="B205" t="s">
        <v>235</v>
      </c>
      <c r="C205" t="s">
        <v>264</v>
      </c>
      <c r="D205">
        <v>2196.6222203604252</v>
      </c>
    </row>
    <row r="206" spans="1:4" x14ac:dyDescent="0.2">
      <c r="A206" t="s">
        <v>265</v>
      </c>
      <c r="B206" t="s">
        <v>235</v>
      </c>
      <c r="C206" t="s">
        <v>266</v>
      </c>
      <c r="D206">
        <v>3354.0102247151367</v>
      </c>
    </row>
    <row r="207" spans="1:4" x14ac:dyDescent="0.2">
      <c r="A207" t="s">
        <v>267</v>
      </c>
      <c r="B207" t="s">
        <v>235</v>
      </c>
      <c r="C207" t="s">
        <v>268</v>
      </c>
      <c r="D207">
        <v>3875.4878846905417</v>
      </c>
    </row>
    <row r="208" spans="1:4" x14ac:dyDescent="0.2">
      <c r="A208" t="s">
        <v>269</v>
      </c>
      <c r="B208" t="s">
        <v>235</v>
      </c>
      <c r="C208" t="s">
        <v>270</v>
      </c>
      <c r="D208">
        <v>3382.7359917292492</v>
      </c>
    </row>
    <row r="209" spans="1:4" x14ac:dyDescent="0.2">
      <c r="A209" t="s">
        <v>271</v>
      </c>
      <c r="B209" t="s">
        <v>235</v>
      </c>
      <c r="C209" t="s">
        <v>272</v>
      </c>
      <c r="D209">
        <v>3339.4152378517097</v>
      </c>
    </row>
    <row r="210" spans="1:4" x14ac:dyDescent="0.2">
      <c r="A210" t="s">
        <v>273</v>
      </c>
      <c r="B210" t="s">
        <v>235</v>
      </c>
      <c r="C210" t="s">
        <v>274</v>
      </c>
      <c r="D210">
        <v>53287.406387810413</v>
      </c>
    </row>
    <row r="211" spans="1:4" x14ac:dyDescent="0.2">
      <c r="A211" t="s">
        <v>275</v>
      </c>
      <c r="B211" t="s">
        <v>235</v>
      </c>
      <c r="C211" t="s">
        <v>276</v>
      </c>
      <c r="D211">
        <v>4984.103876602343</v>
      </c>
    </row>
    <row r="212" spans="1:4" x14ac:dyDescent="0.2">
      <c r="A212" t="s">
        <v>277</v>
      </c>
      <c r="B212" t="s">
        <v>235</v>
      </c>
      <c r="C212" t="s">
        <v>278</v>
      </c>
      <c r="D212">
        <v>1313.3102407549629</v>
      </c>
    </row>
    <row r="213" spans="1:4" x14ac:dyDescent="0.2">
      <c r="A213" t="s">
        <v>279</v>
      </c>
      <c r="B213" t="s">
        <v>235</v>
      </c>
      <c r="C213" t="s">
        <v>280</v>
      </c>
      <c r="D213">
        <v>2247.4949210869986</v>
      </c>
    </row>
    <row r="214" spans="1:4" x14ac:dyDescent="0.2">
      <c r="A214" t="s">
        <v>281</v>
      </c>
      <c r="B214" t="s">
        <v>235</v>
      </c>
      <c r="C214" t="s">
        <v>282</v>
      </c>
      <c r="D214">
        <v>3349.2515888966182</v>
      </c>
    </row>
    <row r="215" spans="1:4" x14ac:dyDescent="0.2">
      <c r="A215" t="s">
        <v>283</v>
      </c>
      <c r="B215" t="s">
        <v>235</v>
      </c>
      <c r="C215" t="s">
        <v>284</v>
      </c>
      <c r="D215">
        <v>1719.2677557602476</v>
      </c>
    </row>
    <row r="216" spans="1:4" x14ac:dyDescent="0.2">
      <c r="A216" t="s">
        <v>285</v>
      </c>
      <c r="B216" t="s">
        <v>235</v>
      </c>
      <c r="C216" t="s">
        <v>286</v>
      </c>
      <c r="D216">
        <v>3219.3646025149437</v>
      </c>
    </row>
    <row r="217" spans="1:4" x14ac:dyDescent="0.2">
      <c r="A217" t="s">
        <v>287</v>
      </c>
      <c r="B217" t="s">
        <v>235</v>
      </c>
      <c r="C217" t="s">
        <v>288</v>
      </c>
      <c r="D217">
        <v>3089.9629310550854</v>
      </c>
    </row>
    <row r="218" spans="1:4" x14ac:dyDescent="0.2">
      <c r="A218" t="s">
        <v>289</v>
      </c>
      <c r="B218" t="s">
        <v>235</v>
      </c>
      <c r="C218" t="s">
        <v>290</v>
      </c>
      <c r="D218">
        <v>4165.2965268935613</v>
      </c>
    </row>
    <row r="219" spans="1:4" x14ac:dyDescent="0.2">
      <c r="A219" t="s">
        <v>291</v>
      </c>
      <c r="B219" t="s">
        <v>235</v>
      </c>
      <c r="C219" t="s">
        <v>157</v>
      </c>
      <c r="D219">
        <v>1697.8446542421325</v>
      </c>
    </row>
    <row r="220" spans="1:4" x14ac:dyDescent="0.2">
      <c r="A220" t="s">
        <v>292</v>
      </c>
      <c r="B220" t="s">
        <v>235</v>
      </c>
      <c r="C220" t="s">
        <v>293</v>
      </c>
      <c r="D220">
        <v>8170.4104197505694</v>
      </c>
    </row>
    <row r="221" spans="1:4" x14ac:dyDescent="0.2">
      <c r="A221" t="s">
        <v>294</v>
      </c>
      <c r="B221" t="s">
        <v>235</v>
      </c>
      <c r="C221" t="s">
        <v>295</v>
      </c>
      <c r="D221">
        <v>6444.1111359483639</v>
      </c>
    </row>
    <row r="222" spans="1:4" x14ac:dyDescent="0.2">
      <c r="A222" t="s">
        <v>296</v>
      </c>
      <c r="B222" t="s">
        <v>235</v>
      </c>
      <c r="C222" t="s">
        <v>297</v>
      </c>
      <c r="D222">
        <v>2360.9063481573744</v>
      </c>
    </row>
    <row r="223" spans="1:4" x14ac:dyDescent="0.2">
      <c r="A223" t="s">
        <v>298</v>
      </c>
      <c r="B223" t="s">
        <v>235</v>
      </c>
      <c r="C223" t="s">
        <v>299</v>
      </c>
      <c r="D223">
        <v>4667.4579133406542</v>
      </c>
    </row>
    <row r="224" spans="1:4" x14ac:dyDescent="0.2">
      <c r="A224" t="s">
        <v>300</v>
      </c>
      <c r="B224" t="s">
        <v>235</v>
      </c>
      <c r="C224" t="s">
        <v>301</v>
      </c>
      <c r="D224">
        <v>2439.2506928421462</v>
      </c>
    </row>
    <row r="225" spans="1:4" x14ac:dyDescent="0.2">
      <c r="A225" t="s">
        <v>302</v>
      </c>
      <c r="B225" t="s">
        <v>235</v>
      </c>
      <c r="C225" t="s">
        <v>303</v>
      </c>
      <c r="D225">
        <v>568.42788514688664</v>
      </c>
    </row>
    <row r="226" spans="1:4" x14ac:dyDescent="0.2">
      <c r="A226" t="s">
        <v>304</v>
      </c>
      <c r="B226" t="s">
        <v>235</v>
      </c>
      <c r="C226" t="s">
        <v>305</v>
      </c>
      <c r="D226">
        <v>2186.52735215954</v>
      </c>
    </row>
    <row r="227" spans="1:4" x14ac:dyDescent="0.2">
      <c r="A227" t="s">
        <v>600</v>
      </c>
      <c r="B227" t="s">
        <v>235</v>
      </c>
      <c r="C227" t="s">
        <v>6</v>
      </c>
      <c r="D227">
        <v>1696.0511052213583</v>
      </c>
    </row>
    <row r="228" spans="1:4" x14ac:dyDescent="0.2">
      <c r="A228" t="s">
        <v>306</v>
      </c>
      <c r="B228" t="s">
        <v>307</v>
      </c>
      <c r="C228" t="s">
        <v>308</v>
      </c>
      <c r="D228">
        <v>540.67289078534611</v>
      </c>
    </row>
    <row r="229" spans="1:4" x14ac:dyDescent="0.2">
      <c r="A229" t="s">
        <v>589</v>
      </c>
      <c r="B229" t="s">
        <v>307</v>
      </c>
      <c r="C229" t="s">
        <v>309</v>
      </c>
      <c r="D229">
        <v>38151.023820157046</v>
      </c>
    </row>
    <row r="230" spans="1:4" x14ac:dyDescent="0.2">
      <c r="A230" t="s">
        <v>310</v>
      </c>
      <c r="B230" t="s">
        <v>307</v>
      </c>
      <c r="C230" t="s">
        <v>311</v>
      </c>
      <c r="D230">
        <v>2893.305459513098</v>
      </c>
    </row>
    <row r="231" spans="1:4" x14ac:dyDescent="0.2">
      <c r="A231" t="s">
        <v>312</v>
      </c>
      <c r="B231" t="s">
        <v>313</v>
      </c>
      <c r="C231" t="s">
        <v>314</v>
      </c>
      <c r="D231">
        <v>1719.9206058310228</v>
      </c>
    </row>
    <row r="232" spans="1:4" x14ac:dyDescent="0.2">
      <c r="A232" t="s">
        <v>315</v>
      </c>
      <c r="B232" t="s">
        <v>313</v>
      </c>
      <c r="C232" t="s">
        <v>316</v>
      </c>
      <c r="D232">
        <v>663.1535474352994</v>
      </c>
    </row>
    <row r="233" spans="1:4" x14ac:dyDescent="0.2">
      <c r="A233" t="s">
        <v>317</v>
      </c>
      <c r="B233" t="s">
        <v>313</v>
      </c>
      <c r="C233" t="s">
        <v>318</v>
      </c>
      <c r="D233">
        <v>231.88195846403269</v>
      </c>
    </row>
    <row r="234" spans="1:4" x14ac:dyDescent="0.2">
      <c r="A234" t="s">
        <v>319</v>
      </c>
      <c r="B234" t="s">
        <v>313</v>
      </c>
      <c r="C234" t="s">
        <v>320</v>
      </c>
      <c r="D234">
        <v>678.98418632286575</v>
      </c>
    </row>
    <row r="235" spans="1:4" x14ac:dyDescent="0.2">
      <c r="A235" t="s">
        <v>321</v>
      </c>
      <c r="B235" t="s">
        <v>313</v>
      </c>
      <c r="C235" t="s">
        <v>322</v>
      </c>
      <c r="D235">
        <v>424.03165819605078</v>
      </c>
    </row>
    <row r="236" spans="1:4" x14ac:dyDescent="0.2">
      <c r="A236" t="s">
        <v>323</v>
      </c>
      <c r="B236" t="s">
        <v>324</v>
      </c>
      <c r="C236" t="s">
        <v>325</v>
      </c>
      <c r="D236">
        <v>7376.2540501681633</v>
      </c>
    </row>
    <row r="237" spans="1:4" x14ac:dyDescent="0.2">
      <c r="A237" t="s">
        <v>601</v>
      </c>
      <c r="B237" t="s">
        <v>324</v>
      </c>
      <c r="C237" t="s">
        <v>6</v>
      </c>
      <c r="D237">
        <v>1944.9689334178909</v>
      </c>
    </row>
    <row r="238" spans="1:4" x14ac:dyDescent="0.2">
      <c r="A238" t="s">
        <v>326</v>
      </c>
      <c r="B238" t="s">
        <v>324</v>
      </c>
      <c r="C238" t="s">
        <v>327</v>
      </c>
      <c r="D238">
        <v>10141.432874106185</v>
      </c>
    </row>
    <row r="239" spans="1:4" x14ac:dyDescent="0.2">
      <c r="A239" t="s">
        <v>328</v>
      </c>
      <c r="B239" t="s">
        <v>324</v>
      </c>
      <c r="C239" t="s">
        <v>329</v>
      </c>
      <c r="D239">
        <v>7842.8042802312075</v>
      </c>
    </row>
    <row r="240" spans="1:4" x14ac:dyDescent="0.2">
      <c r="A240" t="s">
        <v>330</v>
      </c>
      <c r="B240" t="s">
        <v>324</v>
      </c>
      <c r="C240" t="s">
        <v>331</v>
      </c>
      <c r="D240">
        <v>20425.628729708376</v>
      </c>
    </row>
    <row r="241" spans="1:4" x14ac:dyDescent="0.2">
      <c r="A241" t="s">
        <v>332</v>
      </c>
      <c r="B241" t="s">
        <v>324</v>
      </c>
      <c r="C241" t="s">
        <v>333</v>
      </c>
      <c r="D241">
        <v>12491.714649000365</v>
      </c>
    </row>
    <row r="242" spans="1:4" x14ac:dyDescent="0.2">
      <c r="A242" t="s">
        <v>334</v>
      </c>
      <c r="B242" t="s">
        <v>324</v>
      </c>
      <c r="C242" t="s">
        <v>335</v>
      </c>
      <c r="D242">
        <v>16770.252736962117</v>
      </c>
    </row>
    <row r="243" spans="1:4" x14ac:dyDescent="0.2">
      <c r="A243" t="s">
        <v>336</v>
      </c>
      <c r="B243" t="s">
        <v>324</v>
      </c>
      <c r="C243" t="s">
        <v>337</v>
      </c>
      <c r="D243">
        <v>1818.2150031701856</v>
      </c>
    </row>
    <row r="244" spans="1:4" x14ac:dyDescent="0.2">
      <c r="A244" t="s">
        <v>338</v>
      </c>
      <c r="B244" t="s">
        <v>324</v>
      </c>
      <c r="C244" t="s">
        <v>339</v>
      </c>
      <c r="D244">
        <v>1782.1877661712576</v>
      </c>
    </row>
    <row r="245" spans="1:4" x14ac:dyDescent="0.2">
      <c r="A245" t="s">
        <v>340</v>
      </c>
      <c r="B245" t="s">
        <v>324</v>
      </c>
      <c r="C245" t="s">
        <v>341</v>
      </c>
      <c r="D245">
        <v>914.79852262506938</v>
      </c>
    </row>
    <row r="246" spans="1:4" x14ac:dyDescent="0.2">
      <c r="A246" t="s">
        <v>342</v>
      </c>
      <c r="B246" t="s">
        <v>343</v>
      </c>
      <c r="C246" t="s">
        <v>344</v>
      </c>
      <c r="D246">
        <v>2262.3085889945305</v>
      </c>
    </row>
    <row r="247" spans="1:4" x14ac:dyDescent="0.2">
      <c r="A247" t="s">
        <v>345</v>
      </c>
      <c r="B247" t="s">
        <v>343</v>
      </c>
      <c r="C247" t="s">
        <v>346</v>
      </c>
      <c r="D247">
        <v>4558.2530191791066</v>
      </c>
    </row>
    <row r="248" spans="1:4" x14ac:dyDescent="0.2">
      <c r="A248" t="s">
        <v>347</v>
      </c>
      <c r="B248" t="s">
        <v>343</v>
      </c>
      <c r="C248" t="s">
        <v>348</v>
      </c>
      <c r="D248">
        <v>336.47795324424533</v>
      </c>
    </row>
    <row r="249" spans="1:4" x14ac:dyDescent="0.2">
      <c r="A249" t="s">
        <v>349</v>
      </c>
      <c r="B249" t="s">
        <v>343</v>
      </c>
      <c r="C249" t="s">
        <v>350</v>
      </c>
      <c r="D249">
        <v>3028.1723353318307</v>
      </c>
    </row>
    <row r="250" spans="1:4" x14ac:dyDescent="0.2">
      <c r="A250" t="s">
        <v>351</v>
      </c>
      <c r="B250" t="s">
        <v>343</v>
      </c>
      <c r="C250" t="s">
        <v>352</v>
      </c>
      <c r="D250">
        <v>6524.4519230886672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W8460"/>
  <sheetViews>
    <sheetView showGridLines="0" tabSelected="1" zoomScaleNormal="100" workbookViewId="0">
      <selection activeCell="E32" sqref="E32"/>
    </sheetView>
  </sheetViews>
  <sheetFormatPr defaultRowHeight="12.75" x14ac:dyDescent="0.2"/>
  <cols>
    <col min="1" max="1" width="9.140625" style="6"/>
    <col min="2" max="6" width="10.42578125" style="6" customWidth="1"/>
    <col min="7" max="7" width="9.140625" style="6"/>
    <col min="8" max="8" width="9.140625" style="6" customWidth="1"/>
    <col min="9" max="10" width="9.140625" style="6"/>
    <col min="11" max="11" width="50.42578125" style="6" hidden="1" customWidth="1"/>
    <col min="12" max="12" width="22" style="6" hidden="1" customWidth="1"/>
    <col min="13" max="13" width="20.85546875" style="6" hidden="1" customWidth="1"/>
    <col min="14" max="14" width="8" style="6" hidden="1" customWidth="1"/>
    <col min="15" max="15" width="12" style="6" hidden="1" customWidth="1"/>
    <col min="16" max="16" width="13.28515625" style="6" hidden="1" customWidth="1"/>
    <col min="17" max="17" width="13.140625" style="6" hidden="1" customWidth="1"/>
    <col min="18" max="18" width="0" style="6" hidden="1" customWidth="1"/>
    <col min="19" max="19" width="50.42578125" style="6" hidden="1" customWidth="1"/>
    <col min="20" max="20" width="22" style="6" hidden="1" customWidth="1"/>
    <col min="21" max="21" width="22.42578125" style="6" hidden="1" customWidth="1"/>
    <col min="22" max="22" width="7" style="6" hidden="1" customWidth="1"/>
    <col min="23" max="23" width="9.5703125" style="6" hidden="1" customWidth="1"/>
    <col min="24" max="16384" width="9.140625" style="6"/>
  </cols>
  <sheetData>
    <row r="1" spans="2:23" customFormat="1" x14ac:dyDescent="0.2"/>
    <row r="2" spans="2:23" customFormat="1" x14ac:dyDescent="0.2">
      <c r="B2" s="1"/>
      <c r="C2" s="2"/>
      <c r="D2" s="2"/>
      <c r="E2" s="2"/>
      <c r="F2" s="3"/>
    </row>
    <row r="3" spans="2:23" customFormat="1" x14ac:dyDescent="0.2">
      <c r="B3" s="21" t="s">
        <v>570</v>
      </c>
      <c r="C3" s="22"/>
      <c r="D3" s="22"/>
      <c r="E3" s="22"/>
      <c r="F3" s="23"/>
      <c r="G3" t="s">
        <v>353</v>
      </c>
      <c r="H3" s="6"/>
      <c r="I3" s="6"/>
    </row>
    <row r="4" spans="2:23" customFormat="1" x14ac:dyDescent="0.2">
      <c r="B4" s="21"/>
      <c r="C4" s="22"/>
      <c r="D4" s="22"/>
      <c r="E4" s="22"/>
      <c r="F4" s="23"/>
      <c r="H4" s="6"/>
      <c r="I4" s="6"/>
    </row>
    <row r="5" spans="2:23" customFormat="1" x14ac:dyDescent="0.2">
      <c r="B5" s="4"/>
      <c r="C5" s="6"/>
      <c r="D5" s="6"/>
      <c r="E5" s="6"/>
      <c r="F5" s="5"/>
      <c r="G5" t="s">
        <v>354</v>
      </c>
      <c r="H5" s="6"/>
      <c r="I5" s="6"/>
    </row>
    <row r="6" spans="2:23" customFormat="1" hidden="1" x14ac:dyDescent="0.2">
      <c r="B6" t="s">
        <v>0</v>
      </c>
    </row>
    <row r="7" spans="2:23" customFormat="1" x14ac:dyDescent="0.2">
      <c r="B7" s="24" t="s">
        <v>0</v>
      </c>
      <c r="C7" s="25"/>
      <c r="D7" s="25"/>
      <c r="E7" s="25"/>
      <c r="F7" s="26"/>
    </row>
    <row r="8" spans="2:23" customFormat="1" x14ac:dyDescent="0.2">
      <c r="B8" s="1"/>
      <c r="C8" s="2"/>
      <c r="D8" s="2"/>
      <c r="E8" s="2"/>
      <c r="F8" s="3"/>
    </row>
    <row r="9" spans="2:23" customFormat="1" x14ac:dyDescent="0.2">
      <c r="B9" s="27" t="s">
        <v>571</v>
      </c>
      <c r="C9" s="28"/>
      <c r="D9" s="28"/>
      <c r="E9" s="28"/>
      <c r="F9" s="29"/>
    </row>
    <row r="10" spans="2:23" customFormat="1" x14ac:dyDescent="0.2">
      <c r="B10" s="18"/>
      <c r="C10" s="19"/>
      <c r="D10" s="19"/>
      <c r="E10" s="19"/>
      <c r="F10" s="20"/>
      <c r="K10" s="13" t="s">
        <v>0</v>
      </c>
      <c r="L10" s="13" t="s">
        <v>379</v>
      </c>
      <c r="M10" s="13" t="s">
        <v>380</v>
      </c>
      <c r="N10" s="13" t="s">
        <v>355</v>
      </c>
      <c r="O10" s="13" t="s">
        <v>356</v>
      </c>
      <c r="P10" s="13" t="s">
        <v>3</v>
      </c>
      <c r="Q10" s="13" t="s">
        <v>357</v>
      </c>
      <c r="R10" s="13"/>
      <c r="S10" s="13" t="s">
        <v>0</v>
      </c>
      <c r="T10" s="13" t="s">
        <v>379</v>
      </c>
      <c r="U10" s="13" t="s">
        <v>546</v>
      </c>
      <c r="V10" s="13" t="s">
        <v>547</v>
      </c>
      <c r="W10" s="13" t="s">
        <v>548</v>
      </c>
    </row>
    <row r="11" spans="2:23" customFormat="1" x14ac:dyDescent="0.2">
      <c r="K11" s="13" t="s">
        <v>590</v>
      </c>
      <c r="L11" s="13" t="s">
        <v>440</v>
      </c>
      <c r="M11" s="13" t="s">
        <v>441</v>
      </c>
      <c r="N11" s="15">
        <v>1</v>
      </c>
      <c r="O11" s="16">
        <v>0</v>
      </c>
      <c r="P11" s="17">
        <v>0</v>
      </c>
      <c r="Q11" s="17">
        <v>0</v>
      </c>
      <c r="R11" s="13"/>
      <c r="S11" s="13" t="s">
        <v>590</v>
      </c>
      <c r="T11" s="13" t="s">
        <v>528</v>
      </c>
      <c r="U11" s="13" t="s">
        <v>384</v>
      </c>
      <c r="V11" s="13" t="s">
        <v>549</v>
      </c>
      <c r="W11" s="14">
        <v>1.8</v>
      </c>
    </row>
    <row r="12" spans="2:23" customFormat="1" x14ac:dyDescent="0.2">
      <c r="K12" s="13" t="s">
        <v>590</v>
      </c>
      <c r="L12" s="13" t="s">
        <v>381</v>
      </c>
      <c r="M12" s="13" t="s">
        <v>382</v>
      </c>
      <c r="N12" s="15">
        <v>7</v>
      </c>
      <c r="O12" s="16">
        <v>0</v>
      </c>
      <c r="P12" s="17">
        <v>0</v>
      </c>
      <c r="Q12" s="17">
        <v>0</v>
      </c>
      <c r="R12" s="13"/>
      <c r="S12" s="13" t="s">
        <v>115</v>
      </c>
      <c r="T12" s="13" t="s">
        <v>395</v>
      </c>
      <c r="U12" s="13" t="s">
        <v>602</v>
      </c>
      <c r="V12" s="13" t="s">
        <v>549</v>
      </c>
      <c r="W12" s="14">
        <v>0</v>
      </c>
    </row>
    <row r="13" spans="2:23" customFormat="1" x14ac:dyDescent="0.2">
      <c r="K13" s="13" t="s">
        <v>590</v>
      </c>
      <c r="L13" s="13" t="s">
        <v>603</v>
      </c>
      <c r="M13" s="13" t="s">
        <v>385</v>
      </c>
      <c r="N13" s="15">
        <v>2</v>
      </c>
      <c r="O13" s="16">
        <v>0</v>
      </c>
      <c r="P13" s="17">
        <v>0</v>
      </c>
      <c r="Q13" s="17">
        <v>0</v>
      </c>
      <c r="R13" s="13"/>
      <c r="S13" s="13" t="s">
        <v>115</v>
      </c>
      <c r="T13" s="13" t="s">
        <v>404</v>
      </c>
      <c r="U13" s="13" t="s">
        <v>405</v>
      </c>
      <c r="V13" s="13" t="s">
        <v>549</v>
      </c>
      <c r="W13" s="14">
        <v>1</v>
      </c>
    </row>
    <row r="14" spans="2:23" customFormat="1" x14ac:dyDescent="0.2">
      <c r="K14" s="13" t="s">
        <v>590</v>
      </c>
      <c r="L14" s="13" t="s">
        <v>528</v>
      </c>
      <c r="M14" s="13" t="s">
        <v>384</v>
      </c>
      <c r="N14" s="15">
        <v>0</v>
      </c>
      <c r="O14" s="16">
        <v>24.277114654583251</v>
      </c>
      <c r="P14" s="17">
        <v>0</v>
      </c>
      <c r="Q14" s="17">
        <v>0</v>
      </c>
      <c r="R14" s="13"/>
      <c r="S14" s="13" t="s">
        <v>115</v>
      </c>
      <c r="T14" s="13" t="s">
        <v>404</v>
      </c>
      <c r="U14" s="13" t="s">
        <v>405</v>
      </c>
      <c r="V14" s="13" t="s">
        <v>549</v>
      </c>
      <c r="W14" s="14">
        <v>1.2</v>
      </c>
    </row>
    <row r="15" spans="2:23" customFormat="1" x14ac:dyDescent="0.2">
      <c r="K15" s="13" t="s">
        <v>115</v>
      </c>
      <c r="L15" s="13" t="s">
        <v>387</v>
      </c>
      <c r="M15" s="13" t="s">
        <v>386</v>
      </c>
      <c r="N15" s="15">
        <v>0</v>
      </c>
      <c r="O15" s="16">
        <v>0</v>
      </c>
      <c r="P15" s="17">
        <v>1200.1309500014472</v>
      </c>
      <c r="Q15" s="17">
        <v>0</v>
      </c>
      <c r="R15" s="13"/>
      <c r="S15" s="13" t="s">
        <v>115</v>
      </c>
      <c r="T15" s="13" t="s">
        <v>404</v>
      </c>
      <c r="U15" s="13" t="s">
        <v>405</v>
      </c>
      <c r="V15" s="13" t="s">
        <v>550</v>
      </c>
      <c r="W15" s="14">
        <v>1.2</v>
      </c>
    </row>
    <row r="16" spans="2:23" customFormat="1" x14ac:dyDescent="0.2">
      <c r="K16" s="13" t="s">
        <v>115</v>
      </c>
      <c r="L16" s="13" t="s">
        <v>389</v>
      </c>
      <c r="M16" s="13" t="s">
        <v>388</v>
      </c>
      <c r="N16" s="15">
        <v>0</v>
      </c>
      <c r="O16" s="16">
        <v>0</v>
      </c>
      <c r="P16" s="17">
        <v>1660.9592987019471</v>
      </c>
      <c r="Q16" s="17">
        <v>0</v>
      </c>
      <c r="R16" s="13"/>
      <c r="S16" s="13" t="s">
        <v>115</v>
      </c>
      <c r="T16" s="13" t="s">
        <v>404</v>
      </c>
      <c r="U16" s="13" t="s">
        <v>405</v>
      </c>
      <c r="V16" s="13" t="s">
        <v>551</v>
      </c>
      <c r="W16" s="14">
        <v>1.4</v>
      </c>
    </row>
    <row r="17" spans="11:23" customFormat="1" x14ac:dyDescent="0.2">
      <c r="K17" s="13" t="s">
        <v>115</v>
      </c>
      <c r="L17" s="13" t="s">
        <v>542</v>
      </c>
      <c r="M17" s="13" t="s">
        <v>390</v>
      </c>
      <c r="N17" s="15">
        <v>0</v>
      </c>
      <c r="O17" s="16">
        <v>0</v>
      </c>
      <c r="P17" s="17">
        <v>277.18940002865043</v>
      </c>
      <c r="Q17" s="17">
        <v>0</v>
      </c>
      <c r="R17" s="13"/>
      <c r="S17" s="13" t="s">
        <v>115</v>
      </c>
      <c r="T17" s="13" t="s">
        <v>404</v>
      </c>
      <c r="U17" s="13" t="s">
        <v>405</v>
      </c>
      <c r="V17" s="13" t="s">
        <v>552</v>
      </c>
      <c r="W17" s="14">
        <v>1.2</v>
      </c>
    </row>
    <row r="18" spans="11:23" customFormat="1" x14ac:dyDescent="0.2">
      <c r="K18" s="13" t="s">
        <v>115</v>
      </c>
      <c r="L18" s="13" t="s">
        <v>391</v>
      </c>
      <c r="M18" s="13" t="s">
        <v>358</v>
      </c>
      <c r="N18" s="15">
        <v>0</v>
      </c>
      <c r="O18" s="16">
        <v>0</v>
      </c>
      <c r="P18" s="17">
        <v>364.47584996308228</v>
      </c>
      <c r="Q18" s="17">
        <v>0</v>
      </c>
      <c r="R18" s="13"/>
      <c r="S18" s="13" t="s">
        <v>115</v>
      </c>
      <c r="T18" s="13" t="s">
        <v>406</v>
      </c>
      <c r="U18" s="13" t="s">
        <v>361</v>
      </c>
      <c r="V18" s="13" t="s">
        <v>549</v>
      </c>
      <c r="W18" s="14">
        <v>1</v>
      </c>
    </row>
    <row r="19" spans="11:23" customFormat="1" x14ac:dyDescent="0.2">
      <c r="K19" s="13" t="s">
        <v>115</v>
      </c>
      <c r="L19" s="13" t="s">
        <v>460</v>
      </c>
      <c r="M19" s="13" t="s">
        <v>393</v>
      </c>
      <c r="N19" s="15">
        <v>0</v>
      </c>
      <c r="O19" s="16">
        <v>0</v>
      </c>
      <c r="P19" s="17">
        <v>11.937349993187675</v>
      </c>
      <c r="Q19" s="17">
        <v>0</v>
      </c>
      <c r="R19" s="13"/>
      <c r="S19" s="13" t="s">
        <v>115</v>
      </c>
      <c r="T19" s="13" t="s">
        <v>609</v>
      </c>
      <c r="U19" s="13" t="s">
        <v>416</v>
      </c>
      <c r="V19" s="13" t="s">
        <v>549</v>
      </c>
      <c r="W19" s="14">
        <v>0</v>
      </c>
    </row>
    <row r="20" spans="11:23" customFormat="1" x14ac:dyDescent="0.2">
      <c r="K20" s="13" t="s">
        <v>115</v>
      </c>
      <c r="L20" s="13" t="s">
        <v>394</v>
      </c>
      <c r="M20" s="13" t="s">
        <v>359</v>
      </c>
      <c r="N20" s="15">
        <v>0</v>
      </c>
      <c r="O20" s="16">
        <v>0</v>
      </c>
      <c r="P20" s="17">
        <v>28.88284999856409</v>
      </c>
      <c r="Q20" s="17">
        <v>0</v>
      </c>
      <c r="R20" s="13"/>
      <c r="S20" s="13" t="s">
        <v>115</v>
      </c>
      <c r="T20" s="13" t="s">
        <v>610</v>
      </c>
      <c r="U20" s="13" t="s">
        <v>418</v>
      </c>
      <c r="V20" s="13" t="s">
        <v>549</v>
      </c>
      <c r="W20" s="14">
        <v>0</v>
      </c>
    </row>
    <row r="21" spans="11:23" customFormat="1" x14ac:dyDescent="0.2">
      <c r="K21" s="13" t="s">
        <v>115</v>
      </c>
      <c r="L21" s="13" t="s">
        <v>395</v>
      </c>
      <c r="M21" s="13" t="s">
        <v>602</v>
      </c>
      <c r="N21" s="15">
        <v>8</v>
      </c>
      <c r="O21" s="16">
        <v>0</v>
      </c>
      <c r="P21" s="17">
        <v>0</v>
      </c>
      <c r="Q21" s="17">
        <v>0</v>
      </c>
      <c r="R21" s="13"/>
      <c r="S21" s="13" t="s">
        <v>115</v>
      </c>
      <c r="T21" s="13" t="s">
        <v>467</v>
      </c>
      <c r="U21" s="13" t="s">
        <v>422</v>
      </c>
      <c r="V21" s="13" t="s">
        <v>549</v>
      </c>
      <c r="W21" s="14">
        <v>0</v>
      </c>
    </row>
    <row r="22" spans="11:23" customFormat="1" x14ac:dyDescent="0.2">
      <c r="K22" s="13" t="s">
        <v>115</v>
      </c>
      <c r="L22" s="13" t="s">
        <v>397</v>
      </c>
      <c r="M22" s="13" t="s">
        <v>398</v>
      </c>
      <c r="N22" s="15">
        <v>0</v>
      </c>
      <c r="O22" s="16">
        <v>0</v>
      </c>
      <c r="P22" s="17">
        <v>559.19985324885988</v>
      </c>
      <c r="Q22" s="17">
        <v>0</v>
      </c>
      <c r="R22" s="13"/>
      <c r="S22" s="13" t="s">
        <v>115</v>
      </c>
      <c r="T22" s="13" t="s">
        <v>611</v>
      </c>
      <c r="U22" s="13" t="s">
        <v>423</v>
      </c>
      <c r="V22" s="13" t="s">
        <v>549</v>
      </c>
      <c r="W22" s="14">
        <v>0</v>
      </c>
    </row>
    <row r="23" spans="11:23" customFormat="1" x14ac:dyDescent="0.2">
      <c r="K23" s="13" t="s">
        <v>115</v>
      </c>
      <c r="L23" s="13" t="s">
        <v>399</v>
      </c>
      <c r="M23" s="13" t="s">
        <v>400</v>
      </c>
      <c r="N23" s="15">
        <v>0</v>
      </c>
      <c r="O23" s="16">
        <v>0</v>
      </c>
      <c r="P23" s="17">
        <v>113.1147499876368</v>
      </c>
      <c r="Q23" s="17">
        <v>0</v>
      </c>
      <c r="R23" s="13"/>
      <c r="S23" s="13" t="s">
        <v>118</v>
      </c>
      <c r="T23" s="13" t="s">
        <v>395</v>
      </c>
      <c r="U23" s="13" t="s">
        <v>602</v>
      </c>
      <c r="V23" s="13" t="s">
        <v>549</v>
      </c>
      <c r="W23" s="14">
        <v>0</v>
      </c>
    </row>
    <row r="24" spans="11:23" customFormat="1" x14ac:dyDescent="0.2">
      <c r="K24" s="13" t="s">
        <v>115</v>
      </c>
      <c r="L24" s="13" t="s">
        <v>401</v>
      </c>
      <c r="M24" s="13" t="s">
        <v>360</v>
      </c>
      <c r="N24" s="15">
        <v>0</v>
      </c>
      <c r="O24" s="16">
        <v>0</v>
      </c>
      <c r="P24" s="17">
        <v>24.469999999330028</v>
      </c>
      <c r="Q24" s="17">
        <v>0</v>
      </c>
      <c r="R24" s="13"/>
      <c r="S24" s="13" t="s">
        <v>118</v>
      </c>
      <c r="T24" s="13" t="s">
        <v>404</v>
      </c>
      <c r="U24" s="13" t="s">
        <v>405</v>
      </c>
      <c r="V24" s="13" t="s">
        <v>549</v>
      </c>
      <c r="W24" s="14">
        <v>1</v>
      </c>
    </row>
    <row r="25" spans="11:23" customFormat="1" x14ac:dyDescent="0.2">
      <c r="K25" s="13" t="s">
        <v>115</v>
      </c>
      <c r="L25" s="13" t="s">
        <v>402</v>
      </c>
      <c r="M25" s="13" t="s">
        <v>403</v>
      </c>
      <c r="N25" s="15">
        <v>0</v>
      </c>
      <c r="O25" s="16">
        <v>0</v>
      </c>
      <c r="P25" s="17">
        <v>336.64769999845549</v>
      </c>
      <c r="Q25" s="17">
        <v>0</v>
      </c>
      <c r="R25" s="13"/>
      <c r="S25" s="13" t="s">
        <v>118</v>
      </c>
      <c r="T25" s="13" t="s">
        <v>404</v>
      </c>
      <c r="U25" s="13" t="s">
        <v>405</v>
      </c>
      <c r="V25" s="13" t="s">
        <v>553</v>
      </c>
      <c r="W25" s="14">
        <v>0.8</v>
      </c>
    </row>
    <row r="26" spans="11:23" customFormat="1" x14ac:dyDescent="0.2">
      <c r="K26" s="13" t="s">
        <v>115</v>
      </c>
      <c r="L26" s="13" t="s">
        <v>404</v>
      </c>
      <c r="M26" s="13" t="s">
        <v>405</v>
      </c>
      <c r="N26" s="15">
        <v>0</v>
      </c>
      <c r="O26" s="16">
        <v>0</v>
      </c>
      <c r="P26" s="17">
        <v>124.62979997955185</v>
      </c>
      <c r="Q26" s="17">
        <v>307.13345717154527</v>
      </c>
      <c r="R26" s="13"/>
      <c r="S26" s="13" t="s">
        <v>118</v>
      </c>
      <c r="T26" s="13" t="s">
        <v>404</v>
      </c>
      <c r="U26" s="13" t="s">
        <v>405</v>
      </c>
      <c r="V26" s="13" t="s">
        <v>550</v>
      </c>
      <c r="W26" s="14">
        <v>1.6</v>
      </c>
    </row>
    <row r="27" spans="11:23" customFormat="1" x14ac:dyDescent="0.2">
      <c r="K27" s="13" t="s">
        <v>115</v>
      </c>
      <c r="L27" s="13" t="s">
        <v>406</v>
      </c>
      <c r="M27" s="13" t="s">
        <v>361</v>
      </c>
      <c r="N27" s="15">
        <v>0</v>
      </c>
      <c r="O27" s="16">
        <v>0</v>
      </c>
      <c r="P27" s="17">
        <v>687.8416000122113</v>
      </c>
      <c r="Q27" s="17">
        <v>1163.6233604979222</v>
      </c>
      <c r="R27" s="13"/>
      <c r="S27" s="13" t="s">
        <v>118</v>
      </c>
      <c r="T27" s="13" t="s">
        <v>419</v>
      </c>
      <c r="U27" s="13" t="s">
        <v>442</v>
      </c>
      <c r="V27" s="13" t="s">
        <v>549</v>
      </c>
      <c r="W27" s="14">
        <v>0</v>
      </c>
    </row>
    <row r="28" spans="11:23" customFormat="1" x14ac:dyDescent="0.2">
      <c r="K28" s="13" t="s">
        <v>115</v>
      </c>
      <c r="L28" s="13" t="s">
        <v>381</v>
      </c>
      <c r="M28" s="13" t="s">
        <v>382</v>
      </c>
      <c r="N28" s="15">
        <v>30</v>
      </c>
      <c r="O28" s="16">
        <v>0</v>
      </c>
      <c r="P28" s="17">
        <v>0</v>
      </c>
      <c r="Q28" s="17">
        <v>0</v>
      </c>
      <c r="R28" s="13"/>
      <c r="S28" s="13" t="s">
        <v>118</v>
      </c>
      <c r="T28" s="13" t="s">
        <v>609</v>
      </c>
      <c r="U28" s="13" t="s">
        <v>416</v>
      </c>
      <c r="V28" s="13" t="s">
        <v>549</v>
      </c>
      <c r="W28" s="14">
        <v>0</v>
      </c>
    </row>
    <row r="29" spans="11:23" customFormat="1" x14ac:dyDescent="0.2">
      <c r="K29" s="13" t="s">
        <v>115</v>
      </c>
      <c r="L29" s="13" t="s">
        <v>407</v>
      </c>
      <c r="M29" s="13" t="s">
        <v>408</v>
      </c>
      <c r="N29" s="15">
        <v>35</v>
      </c>
      <c r="O29" s="16">
        <v>0</v>
      </c>
      <c r="P29" s="17">
        <v>0</v>
      </c>
      <c r="Q29" s="17">
        <v>0</v>
      </c>
      <c r="R29" s="13"/>
      <c r="S29" s="13" t="s">
        <v>118</v>
      </c>
      <c r="T29" s="13" t="s">
        <v>610</v>
      </c>
      <c r="U29" s="13" t="s">
        <v>418</v>
      </c>
      <c r="V29" s="13" t="s">
        <v>549</v>
      </c>
      <c r="W29" s="14">
        <v>0</v>
      </c>
    </row>
    <row r="30" spans="11:23" customFormat="1" x14ac:dyDescent="0.2">
      <c r="K30" s="13" t="s">
        <v>115</v>
      </c>
      <c r="L30" s="13" t="s">
        <v>409</v>
      </c>
      <c r="M30" s="13" t="s">
        <v>410</v>
      </c>
      <c r="N30" s="15">
        <v>1</v>
      </c>
      <c r="O30" s="16">
        <v>0</v>
      </c>
      <c r="P30" s="17">
        <v>0</v>
      </c>
      <c r="Q30" s="17">
        <v>0</v>
      </c>
      <c r="R30" s="13"/>
      <c r="S30" s="13" t="s">
        <v>118</v>
      </c>
      <c r="T30" s="13" t="s">
        <v>467</v>
      </c>
      <c r="U30" s="13" t="s">
        <v>422</v>
      </c>
      <c r="V30" s="13" t="s">
        <v>549</v>
      </c>
      <c r="W30" s="14">
        <v>0</v>
      </c>
    </row>
    <row r="31" spans="11:23" customFormat="1" x14ac:dyDescent="0.2">
      <c r="K31" s="13" t="s">
        <v>115</v>
      </c>
      <c r="L31" s="13" t="s">
        <v>411</v>
      </c>
      <c r="M31" s="13" t="s">
        <v>362</v>
      </c>
      <c r="N31" s="15">
        <v>2</v>
      </c>
      <c r="O31" s="16">
        <v>0</v>
      </c>
      <c r="P31" s="17">
        <v>0</v>
      </c>
      <c r="Q31" s="17">
        <v>0</v>
      </c>
      <c r="R31" s="13"/>
      <c r="S31" s="13" t="s">
        <v>118</v>
      </c>
      <c r="T31" s="13" t="s">
        <v>613</v>
      </c>
      <c r="U31" s="13" t="s">
        <v>444</v>
      </c>
      <c r="V31" s="13" t="s">
        <v>549</v>
      </c>
      <c r="W31" s="14">
        <v>0</v>
      </c>
    </row>
    <row r="32" spans="11:23" customFormat="1" x14ac:dyDescent="0.2">
      <c r="K32" s="13" t="s">
        <v>115</v>
      </c>
      <c r="L32" s="13" t="s">
        <v>413</v>
      </c>
      <c r="M32" s="13" t="s">
        <v>428</v>
      </c>
      <c r="N32" s="15">
        <v>4</v>
      </c>
      <c r="O32" s="16">
        <v>0</v>
      </c>
      <c r="P32" s="17">
        <v>0</v>
      </c>
      <c r="Q32" s="17">
        <v>0</v>
      </c>
      <c r="R32" s="13"/>
      <c r="S32" s="13" t="s">
        <v>120</v>
      </c>
      <c r="T32" s="13" t="s">
        <v>404</v>
      </c>
      <c r="U32" s="13" t="s">
        <v>405</v>
      </c>
      <c r="V32" s="13" t="s">
        <v>549</v>
      </c>
      <c r="W32" s="14">
        <v>0</v>
      </c>
    </row>
    <row r="33" spans="11:23" customFormat="1" x14ac:dyDescent="0.2">
      <c r="K33" s="13" t="s">
        <v>115</v>
      </c>
      <c r="L33" s="13" t="s">
        <v>603</v>
      </c>
      <c r="M33" s="13" t="s">
        <v>385</v>
      </c>
      <c r="N33" s="15">
        <v>0</v>
      </c>
      <c r="O33" s="16">
        <v>12.816259204646183</v>
      </c>
      <c r="P33" s="17">
        <v>0</v>
      </c>
      <c r="Q33" s="17">
        <v>0</v>
      </c>
      <c r="R33" s="13"/>
      <c r="S33" s="13" t="s">
        <v>120</v>
      </c>
      <c r="T33" s="13" t="s">
        <v>613</v>
      </c>
      <c r="U33" s="13" t="s">
        <v>444</v>
      </c>
      <c r="V33" s="13" t="s">
        <v>549</v>
      </c>
      <c r="W33" s="14">
        <v>0</v>
      </c>
    </row>
    <row r="34" spans="11:23" customFormat="1" x14ac:dyDescent="0.2">
      <c r="K34" s="13" t="s">
        <v>115</v>
      </c>
      <c r="L34" s="13" t="s">
        <v>605</v>
      </c>
      <c r="M34" s="13" t="s">
        <v>429</v>
      </c>
      <c r="N34" s="15">
        <v>0</v>
      </c>
      <c r="O34" s="16">
        <v>1.792791119849602</v>
      </c>
      <c r="P34" s="17">
        <v>0</v>
      </c>
      <c r="Q34" s="17">
        <v>0</v>
      </c>
      <c r="R34" s="13"/>
      <c r="S34" s="13" t="s">
        <v>122</v>
      </c>
      <c r="T34" s="13" t="s">
        <v>404</v>
      </c>
      <c r="U34" s="13" t="s">
        <v>405</v>
      </c>
      <c r="V34" s="13" t="s">
        <v>549</v>
      </c>
      <c r="W34" s="14">
        <v>1.8</v>
      </c>
    </row>
    <row r="35" spans="11:23" customFormat="1" x14ac:dyDescent="0.2">
      <c r="K35" s="13" t="s">
        <v>115</v>
      </c>
      <c r="L35" s="13" t="s">
        <v>606</v>
      </c>
      <c r="M35" s="13" t="s">
        <v>430</v>
      </c>
      <c r="N35" s="15">
        <v>21</v>
      </c>
      <c r="O35" s="16">
        <v>0</v>
      </c>
      <c r="P35" s="17">
        <v>0</v>
      </c>
      <c r="Q35" s="17">
        <v>0</v>
      </c>
      <c r="R35" s="13"/>
      <c r="S35" s="13" t="s">
        <v>122</v>
      </c>
      <c r="T35" s="13" t="s">
        <v>609</v>
      </c>
      <c r="U35" s="13" t="s">
        <v>416</v>
      </c>
      <c r="V35" s="13" t="s">
        <v>549</v>
      </c>
      <c r="W35" s="14">
        <v>0</v>
      </c>
    </row>
    <row r="36" spans="11:23" customFormat="1" x14ac:dyDescent="0.2">
      <c r="K36" s="13" t="s">
        <v>115</v>
      </c>
      <c r="L36" s="13" t="s">
        <v>607</v>
      </c>
      <c r="M36" s="13" t="s">
        <v>431</v>
      </c>
      <c r="N36" s="15">
        <v>3</v>
      </c>
      <c r="O36" s="16">
        <v>0</v>
      </c>
      <c r="P36" s="17">
        <v>0</v>
      </c>
      <c r="Q36" s="17">
        <v>0</v>
      </c>
      <c r="R36" s="13"/>
      <c r="S36" s="13" t="s">
        <v>122</v>
      </c>
      <c r="T36" s="13" t="s">
        <v>467</v>
      </c>
      <c r="U36" s="13" t="s">
        <v>422</v>
      </c>
      <c r="V36" s="13" t="s">
        <v>549</v>
      </c>
      <c r="W36" s="14">
        <v>0</v>
      </c>
    </row>
    <row r="37" spans="11:23" customFormat="1" x14ac:dyDescent="0.2">
      <c r="K37" s="13" t="s">
        <v>115</v>
      </c>
      <c r="L37" s="13" t="s">
        <v>608</v>
      </c>
      <c r="M37" s="13" t="s">
        <v>432</v>
      </c>
      <c r="N37" s="15">
        <v>1</v>
      </c>
      <c r="O37" s="16">
        <v>0</v>
      </c>
      <c r="P37" s="17">
        <v>0</v>
      </c>
      <c r="Q37" s="17">
        <v>0</v>
      </c>
      <c r="R37" s="13"/>
      <c r="S37" s="13" t="s">
        <v>122</v>
      </c>
      <c r="T37" s="13" t="s">
        <v>613</v>
      </c>
      <c r="U37" s="13" t="s">
        <v>444</v>
      </c>
      <c r="V37" s="13" t="s">
        <v>549</v>
      </c>
      <c r="W37" s="14">
        <v>0</v>
      </c>
    </row>
    <row r="38" spans="11:23" customFormat="1" x14ac:dyDescent="0.2">
      <c r="K38" s="13" t="s">
        <v>115</v>
      </c>
      <c r="L38" s="13" t="s">
        <v>415</v>
      </c>
      <c r="M38" s="13" t="s">
        <v>412</v>
      </c>
      <c r="N38" s="15">
        <v>0</v>
      </c>
      <c r="O38" s="16">
        <v>0</v>
      </c>
      <c r="P38" s="17">
        <v>24.875199982781961</v>
      </c>
      <c r="Q38" s="17">
        <v>0</v>
      </c>
      <c r="R38" s="13"/>
      <c r="S38" s="13" t="s">
        <v>124</v>
      </c>
      <c r="T38" s="13" t="s">
        <v>395</v>
      </c>
      <c r="U38" s="13" t="s">
        <v>602</v>
      </c>
      <c r="V38" s="13" t="s">
        <v>549</v>
      </c>
      <c r="W38" s="14">
        <v>0</v>
      </c>
    </row>
    <row r="39" spans="11:23" customFormat="1" x14ac:dyDescent="0.2">
      <c r="K39" s="13" t="s">
        <v>115</v>
      </c>
      <c r="L39" s="13" t="s">
        <v>417</v>
      </c>
      <c r="M39" s="13" t="s">
        <v>414</v>
      </c>
      <c r="N39" s="15">
        <v>0</v>
      </c>
      <c r="O39" s="16">
        <v>0</v>
      </c>
      <c r="P39" s="17">
        <v>54.644249995106826</v>
      </c>
      <c r="Q39" s="17">
        <v>0</v>
      </c>
      <c r="R39" s="13"/>
      <c r="S39" s="13" t="s">
        <v>124</v>
      </c>
      <c r="T39" s="13" t="s">
        <v>609</v>
      </c>
      <c r="U39" s="13" t="s">
        <v>416</v>
      </c>
      <c r="V39" s="13" t="s">
        <v>549</v>
      </c>
      <c r="W39" s="14">
        <v>0</v>
      </c>
    </row>
    <row r="40" spans="11:23" customFormat="1" x14ac:dyDescent="0.2">
      <c r="K40" s="13" t="s">
        <v>115</v>
      </c>
      <c r="L40" s="13" t="s">
        <v>609</v>
      </c>
      <c r="M40" s="13" t="s">
        <v>416</v>
      </c>
      <c r="N40" s="15">
        <v>0</v>
      </c>
      <c r="O40" s="16">
        <v>50.882778391474496</v>
      </c>
      <c r="P40" s="17">
        <v>0</v>
      </c>
      <c r="Q40" s="17">
        <v>0</v>
      </c>
      <c r="R40" s="13"/>
      <c r="S40" s="13" t="s">
        <v>126</v>
      </c>
      <c r="T40" s="13" t="s">
        <v>404</v>
      </c>
      <c r="U40" s="13" t="s">
        <v>405</v>
      </c>
      <c r="V40" s="13" t="s">
        <v>549</v>
      </c>
      <c r="W40" s="14">
        <v>1.5</v>
      </c>
    </row>
    <row r="41" spans="11:23" customFormat="1" x14ac:dyDescent="0.2">
      <c r="K41" s="13" t="s">
        <v>115</v>
      </c>
      <c r="L41" s="13" t="s">
        <v>610</v>
      </c>
      <c r="M41" s="13" t="s">
        <v>418</v>
      </c>
      <c r="N41" s="15">
        <v>0</v>
      </c>
      <c r="O41" s="16">
        <v>156.52418124291745</v>
      </c>
      <c r="P41" s="17">
        <v>0</v>
      </c>
      <c r="Q41" s="17">
        <v>0</v>
      </c>
      <c r="R41" s="13"/>
      <c r="S41" s="13" t="s">
        <v>128</v>
      </c>
      <c r="T41" s="13" t="s">
        <v>404</v>
      </c>
      <c r="U41" s="13" t="s">
        <v>405</v>
      </c>
      <c r="V41" s="13" t="s">
        <v>549</v>
      </c>
      <c r="W41" s="14">
        <v>1.6</v>
      </c>
    </row>
    <row r="42" spans="11:23" customFormat="1" x14ac:dyDescent="0.2">
      <c r="K42" s="13" t="s">
        <v>115</v>
      </c>
      <c r="L42" s="13" t="s">
        <v>383</v>
      </c>
      <c r="M42" s="13" t="s">
        <v>420</v>
      </c>
      <c r="N42" s="15">
        <v>6</v>
      </c>
      <c r="O42" s="16">
        <v>0</v>
      </c>
      <c r="P42" s="17">
        <v>0</v>
      </c>
      <c r="Q42" s="17">
        <v>0</v>
      </c>
      <c r="R42" s="13"/>
      <c r="S42" s="13" t="s">
        <v>128</v>
      </c>
      <c r="T42" s="13" t="s">
        <v>404</v>
      </c>
      <c r="U42" s="13" t="s">
        <v>405</v>
      </c>
      <c r="V42" s="13" t="s">
        <v>553</v>
      </c>
      <c r="W42" s="14">
        <v>1.4</v>
      </c>
    </row>
    <row r="43" spans="11:23" customFormat="1" x14ac:dyDescent="0.2">
      <c r="K43" s="13" t="s">
        <v>115</v>
      </c>
      <c r="L43" s="13" t="s">
        <v>467</v>
      </c>
      <c r="M43" s="13" t="s">
        <v>422</v>
      </c>
      <c r="N43" s="15">
        <v>0</v>
      </c>
      <c r="O43" s="16">
        <v>32.956721473659542</v>
      </c>
      <c r="P43" s="17">
        <v>0</v>
      </c>
      <c r="Q43" s="17">
        <v>0</v>
      </c>
      <c r="R43" s="13"/>
      <c r="S43" s="13" t="s">
        <v>128</v>
      </c>
      <c r="T43" s="13" t="s">
        <v>406</v>
      </c>
      <c r="U43" s="13" t="s">
        <v>361</v>
      </c>
      <c r="V43" s="13" t="s">
        <v>550</v>
      </c>
      <c r="W43" s="14">
        <v>1.1000000000000001</v>
      </c>
    </row>
    <row r="44" spans="11:23" customFormat="1" x14ac:dyDescent="0.2">
      <c r="K44" s="13" t="s">
        <v>115</v>
      </c>
      <c r="L44" s="13" t="s">
        <v>611</v>
      </c>
      <c r="M44" s="13" t="s">
        <v>423</v>
      </c>
      <c r="N44" s="15">
        <v>0</v>
      </c>
      <c r="O44" s="16">
        <v>54.289774605913799</v>
      </c>
      <c r="P44" s="17">
        <v>0</v>
      </c>
      <c r="Q44" s="17">
        <v>0</v>
      </c>
      <c r="R44" s="13"/>
      <c r="S44" s="13" t="s">
        <v>128</v>
      </c>
      <c r="T44" s="13" t="s">
        <v>609</v>
      </c>
      <c r="U44" s="13" t="s">
        <v>416</v>
      </c>
      <c r="V44" s="13" t="s">
        <v>549</v>
      </c>
      <c r="W44" s="14">
        <v>0</v>
      </c>
    </row>
    <row r="45" spans="11:23" customFormat="1" x14ac:dyDescent="0.2">
      <c r="K45" s="13" t="s">
        <v>115</v>
      </c>
      <c r="L45" s="13" t="s">
        <v>612</v>
      </c>
      <c r="M45" s="13" t="s">
        <v>425</v>
      </c>
      <c r="N45" s="15">
        <v>7</v>
      </c>
      <c r="O45" s="16">
        <v>0</v>
      </c>
      <c r="P45" s="17">
        <v>0</v>
      </c>
      <c r="Q45" s="17">
        <v>0</v>
      </c>
      <c r="R45" s="13"/>
      <c r="S45" s="13" t="s">
        <v>128</v>
      </c>
      <c r="T45" s="13" t="s">
        <v>467</v>
      </c>
      <c r="U45" s="13" t="s">
        <v>422</v>
      </c>
      <c r="V45" s="13" t="s">
        <v>549</v>
      </c>
      <c r="W45" s="14">
        <v>0</v>
      </c>
    </row>
    <row r="46" spans="11:23" customFormat="1" x14ac:dyDescent="0.2">
      <c r="K46" s="13" t="s">
        <v>115</v>
      </c>
      <c r="L46" s="13" t="s">
        <v>433</v>
      </c>
      <c r="M46" s="13" t="s">
        <v>434</v>
      </c>
      <c r="N46" s="15">
        <v>0</v>
      </c>
      <c r="O46" s="16">
        <v>0</v>
      </c>
      <c r="P46" s="17">
        <v>16.563450000702591</v>
      </c>
      <c r="Q46" s="17">
        <v>0</v>
      </c>
      <c r="R46" s="13"/>
      <c r="S46" s="13" t="s">
        <v>130</v>
      </c>
      <c r="T46" s="13" t="s">
        <v>404</v>
      </c>
      <c r="U46" s="13" t="s">
        <v>405</v>
      </c>
      <c r="V46" s="13" t="s">
        <v>549</v>
      </c>
      <c r="W46" s="14">
        <v>1.2</v>
      </c>
    </row>
    <row r="47" spans="11:23" customFormat="1" x14ac:dyDescent="0.2">
      <c r="K47" s="13" t="s">
        <v>118</v>
      </c>
      <c r="L47" s="13" t="s">
        <v>435</v>
      </c>
      <c r="M47" s="13" t="s">
        <v>364</v>
      </c>
      <c r="N47" s="15">
        <v>0</v>
      </c>
      <c r="O47" s="16">
        <v>0</v>
      </c>
      <c r="P47" s="17">
        <v>60.203299991586405</v>
      </c>
      <c r="Q47" s="17">
        <v>0</v>
      </c>
      <c r="R47" s="13"/>
      <c r="S47" s="13" t="s">
        <v>130</v>
      </c>
      <c r="T47" s="13" t="s">
        <v>404</v>
      </c>
      <c r="U47" s="13" t="s">
        <v>405</v>
      </c>
      <c r="V47" s="13" t="s">
        <v>553</v>
      </c>
      <c r="W47" s="14">
        <v>2</v>
      </c>
    </row>
    <row r="48" spans="11:23" customFormat="1" x14ac:dyDescent="0.2">
      <c r="K48" s="13" t="s">
        <v>118</v>
      </c>
      <c r="L48" s="13" t="s">
        <v>387</v>
      </c>
      <c r="M48" s="13" t="s">
        <v>386</v>
      </c>
      <c r="N48" s="15">
        <v>0</v>
      </c>
      <c r="O48" s="16">
        <v>0</v>
      </c>
      <c r="P48" s="17">
        <v>490.03029996754918</v>
      </c>
      <c r="Q48" s="17">
        <v>0</v>
      </c>
      <c r="R48" s="13"/>
      <c r="S48" s="13" t="s">
        <v>130</v>
      </c>
      <c r="T48" s="13" t="s">
        <v>404</v>
      </c>
      <c r="U48" s="13" t="s">
        <v>405</v>
      </c>
      <c r="V48" s="13" t="s">
        <v>550</v>
      </c>
      <c r="W48" s="14">
        <v>1.3</v>
      </c>
    </row>
    <row r="49" spans="11:23" customFormat="1" x14ac:dyDescent="0.2">
      <c r="K49" s="13" t="s">
        <v>118</v>
      </c>
      <c r="L49" s="13" t="s">
        <v>389</v>
      </c>
      <c r="M49" s="13" t="s">
        <v>388</v>
      </c>
      <c r="N49" s="15">
        <v>0</v>
      </c>
      <c r="O49" s="16">
        <v>0</v>
      </c>
      <c r="P49" s="17">
        <v>699.01075000628134</v>
      </c>
      <c r="Q49" s="17">
        <v>0</v>
      </c>
      <c r="R49" s="13"/>
      <c r="S49" s="13" t="s">
        <v>130</v>
      </c>
      <c r="T49" s="13" t="s">
        <v>419</v>
      </c>
      <c r="U49" s="13" t="s">
        <v>442</v>
      </c>
      <c r="V49" s="13" t="s">
        <v>549</v>
      </c>
      <c r="W49" s="14">
        <v>0</v>
      </c>
    </row>
    <row r="50" spans="11:23" customFormat="1" x14ac:dyDescent="0.2">
      <c r="K50" s="13" t="s">
        <v>118</v>
      </c>
      <c r="L50" s="13" t="s">
        <v>542</v>
      </c>
      <c r="M50" s="13" t="s">
        <v>390</v>
      </c>
      <c r="N50" s="15">
        <v>0</v>
      </c>
      <c r="O50" s="16">
        <v>0</v>
      </c>
      <c r="P50" s="17">
        <v>1030.193150011527</v>
      </c>
      <c r="Q50" s="17">
        <v>0</v>
      </c>
      <c r="R50" s="13"/>
      <c r="S50" s="13" t="s">
        <v>130</v>
      </c>
      <c r="T50" s="13" t="s">
        <v>609</v>
      </c>
      <c r="U50" s="13" t="s">
        <v>416</v>
      </c>
      <c r="V50" s="13" t="s">
        <v>549</v>
      </c>
      <c r="W50" s="14">
        <v>0</v>
      </c>
    </row>
    <row r="51" spans="11:23" customFormat="1" x14ac:dyDescent="0.2">
      <c r="K51" s="13" t="s">
        <v>118</v>
      </c>
      <c r="L51" s="13" t="s">
        <v>391</v>
      </c>
      <c r="M51" s="13" t="s">
        <v>358</v>
      </c>
      <c r="N51" s="15">
        <v>0</v>
      </c>
      <c r="O51" s="16">
        <v>0</v>
      </c>
      <c r="P51" s="17">
        <v>8.975550016240966</v>
      </c>
      <c r="Q51" s="17">
        <v>0</v>
      </c>
      <c r="R51" s="13"/>
      <c r="S51" s="13" t="s">
        <v>130</v>
      </c>
      <c r="T51" s="13" t="s">
        <v>610</v>
      </c>
      <c r="U51" s="13" t="s">
        <v>418</v>
      </c>
      <c r="V51" s="13" t="s">
        <v>549</v>
      </c>
      <c r="W51" s="14">
        <v>0</v>
      </c>
    </row>
    <row r="52" spans="11:23" customFormat="1" x14ac:dyDescent="0.2">
      <c r="K52" s="13" t="s">
        <v>118</v>
      </c>
      <c r="L52" s="13" t="s">
        <v>392</v>
      </c>
      <c r="M52" s="13" t="s">
        <v>437</v>
      </c>
      <c r="N52" s="15">
        <v>0</v>
      </c>
      <c r="O52" s="16">
        <v>0</v>
      </c>
      <c r="P52" s="17">
        <v>57.514999974112122</v>
      </c>
      <c r="Q52" s="17">
        <v>0</v>
      </c>
      <c r="R52" s="13"/>
      <c r="S52" s="13" t="s">
        <v>7</v>
      </c>
      <c r="T52" s="13" t="s">
        <v>404</v>
      </c>
      <c r="U52" s="13" t="s">
        <v>405</v>
      </c>
      <c r="V52" s="13" t="s">
        <v>549</v>
      </c>
      <c r="W52" s="14">
        <v>2</v>
      </c>
    </row>
    <row r="53" spans="11:23" customFormat="1" x14ac:dyDescent="0.2">
      <c r="K53" s="13" t="s">
        <v>118</v>
      </c>
      <c r="L53" s="13" t="s">
        <v>440</v>
      </c>
      <c r="M53" s="13" t="s">
        <v>441</v>
      </c>
      <c r="N53" s="15">
        <v>2</v>
      </c>
      <c r="O53" s="16">
        <v>0</v>
      </c>
      <c r="P53" s="17">
        <v>0</v>
      </c>
      <c r="Q53" s="17">
        <v>0</v>
      </c>
      <c r="R53" s="13"/>
      <c r="S53" s="13" t="s">
        <v>7</v>
      </c>
      <c r="T53" s="13" t="s">
        <v>613</v>
      </c>
      <c r="U53" s="13" t="s">
        <v>444</v>
      </c>
      <c r="V53" s="13" t="s">
        <v>549</v>
      </c>
      <c r="W53" s="14">
        <v>0</v>
      </c>
    </row>
    <row r="54" spans="11:23" customFormat="1" x14ac:dyDescent="0.2">
      <c r="K54" s="13" t="s">
        <v>118</v>
      </c>
      <c r="L54" s="13" t="s">
        <v>394</v>
      </c>
      <c r="M54" s="13" t="s">
        <v>359</v>
      </c>
      <c r="N54" s="15">
        <v>0</v>
      </c>
      <c r="O54" s="16">
        <v>0</v>
      </c>
      <c r="P54" s="17">
        <v>290.09249997618542</v>
      </c>
      <c r="Q54" s="17">
        <v>0</v>
      </c>
      <c r="R54" s="13"/>
      <c r="S54" s="13" t="s">
        <v>8</v>
      </c>
      <c r="T54" s="13" t="s">
        <v>419</v>
      </c>
      <c r="U54" s="13" t="s">
        <v>442</v>
      </c>
      <c r="V54" s="13" t="s">
        <v>549</v>
      </c>
      <c r="W54" s="14">
        <v>0</v>
      </c>
    </row>
    <row r="55" spans="11:23" customFormat="1" x14ac:dyDescent="0.2">
      <c r="K55" s="13" t="s">
        <v>118</v>
      </c>
      <c r="L55" s="13" t="s">
        <v>395</v>
      </c>
      <c r="M55" s="13" t="s">
        <v>602</v>
      </c>
      <c r="N55" s="15">
        <v>42</v>
      </c>
      <c r="O55" s="16">
        <v>0</v>
      </c>
      <c r="P55" s="17">
        <v>0</v>
      </c>
      <c r="Q55" s="17">
        <v>0</v>
      </c>
      <c r="R55" s="13"/>
      <c r="S55" s="13" t="s">
        <v>9</v>
      </c>
      <c r="T55" s="13" t="s">
        <v>419</v>
      </c>
      <c r="U55" s="13" t="s">
        <v>442</v>
      </c>
      <c r="V55" s="13" t="s">
        <v>549</v>
      </c>
      <c r="W55" s="14">
        <v>0</v>
      </c>
    </row>
    <row r="56" spans="11:23" customFormat="1" x14ac:dyDescent="0.2">
      <c r="K56" s="13" t="s">
        <v>118</v>
      </c>
      <c r="L56" s="13" t="s">
        <v>397</v>
      </c>
      <c r="M56" s="13" t="s">
        <v>398</v>
      </c>
      <c r="N56" s="15">
        <v>0</v>
      </c>
      <c r="O56" s="16">
        <v>0</v>
      </c>
      <c r="P56" s="17">
        <v>64.427049997078868</v>
      </c>
      <c r="Q56" s="17">
        <v>0</v>
      </c>
      <c r="R56" s="13"/>
      <c r="S56" s="13" t="s">
        <v>9</v>
      </c>
      <c r="T56" s="13" t="s">
        <v>467</v>
      </c>
      <c r="U56" s="13" t="s">
        <v>422</v>
      </c>
      <c r="V56" s="13" t="s">
        <v>549</v>
      </c>
      <c r="W56" s="14">
        <v>0</v>
      </c>
    </row>
    <row r="57" spans="11:23" customFormat="1" x14ac:dyDescent="0.2">
      <c r="K57" s="13" t="s">
        <v>118</v>
      </c>
      <c r="L57" s="13" t="s">
        <v>399</v>
      </c>
      <c r="M57" s="13" t="s">
        <v>400</v>
      </c>
      <c r="N57" s="15">
        <v>0</v>
      </c>
      <c r="O57" s="16">
        <v>0</v>
      </c>
      <c r="P57" s="17">
        <v>57.432499983414395</v>
      </c>
      <c r="Q57" s="17">
        <v>0</v>
      </c>
      <c r="R57" s="13"/>
      <c r="S57" s="13" t="s">
        <v>11</v>
      </c>
      <c r="T57" s="13" t="s">
        <v>610</v>
      </c>
      <c r="U57" s="13" t="s">
        <v>418</v>
      </c>
      <c r="V57" s="13" t="s">
        <v>549</v>
      </c>
      <c r="W57" s="14">
        <v>0</v>
      </c>
    </row>
    <row r="58" spans="11:23" customFormat="1" x14ac:dyDescent="0.2">
      <c r="K58" s="13" t="s">
        <v>118</v>
      </c>
      <c r="L58" s="13" t="s">
        <v>401</v>
      </c>
      <c r="M58" s="13" t="s">
        <v>360</v>
      </c>
      <c r="N58" s="15">
        <v>0</v>
      </c>
      <c r="O58" s="16">
        <v>0</v>
      </c>
      <c r="P58" s="17">
        <v>193.93105002489037</v>
      </c>
      <c r="Q58" s="17">
        <v>0</v>
      </c>
      <c r="R58" s="13"/>
      <c r="S58" s="13" t="s">
        <v>11</v>
      </c>
      <c r="T58" s="13" t="s">
        <v>467</v>
      </c>
      <c r="U58" s="13" t="s">
        <v>422</v>
      </c>
      <c r="V58" s="13" t="s">
        <v>549</v>
      </c>
      <c r="W58" s="14">
        <v>0</v>
      </c>
    </row>
    <row r="59" spans="11:23" customFormat="1" x14ac:dyDescent="0.2">
      <c r="K59" s="13" t="s">
        <v>118</v>
      </c>
      <c r="L59" s="13" t="s">
        <v>402</v>
      </c>
      <c r="M59" s="13" t="s">
        <v>403</v>
      </c>
      <c r="N59" s="15">
        <v>0</v>
      </c>
      <c r="O59" s="16">
        <v>0</v>
      </c>
      <c r="P59" s="17">
        <v>980.15142695767349</v>
      </c>
      <c r="Q59" s="17">
        <v>0</v>
      </c>
      <c r="R59" s="13"/>
      <c r="S59" s="13" t="s">
        <v>12</v>
      </c>
      <c r="T59" s="13" t="s">
        <v>404</v>
      </c>
      <c r="U59" s="13" t="s">
        <v>405</v>
      </c>
      <c r="V59" s="13" t="s">
        <v>549</v>
      </c>
      <c r="W59" s="14">
        <v>1.7</v>
      </c>
    </row>
    <row r="60" spans="11:23" customFormat="1" x14ac:dyDescent="0.2">
      <c r="K60" s="13" t="s">
        <v>118</v>
      </c>
      <c r="L60" s="13" t="s">
        <v>404</v>
      </c>
      <c r="M60" s="13" t="s">
        <v>405</v>
      </c>
      <c r="N60" s="15">
        <v>0</v>
      </c>
      <c r="O60" s="16">
        <v>0</v>
      </c>
      <c r="P60" s="17">
        <v>306.87274999635434</v>
      </c>
      <c r="Q60" s="17">
        <v>545.27436907555534</v>
      </c>
      <c r="R60" s="13"/>
      <c r="S60" s="13" t="s">
        <v>13</v>
      </c>
      <c r="T60" s="13" t="s">
        <v>419</v>
      </c>
      <c r="U60" s="13" t="s">
        <v>442</v>
      </c>
      <c r="V60" s="13" t="s">
        <v>549</v>
      </c>
      <c r="W60" s="14">
        <v>0</v>
      </c>
    </row>
    <row r="61" spans="11:23" customFormat="1" x14ac:dyDescent="0.2">
      <c r="K61" s="13" t="s">
        <v>118</v>
      </c>
      <c r="L61" s="13" t="s">
        <v>381</v>
      </c>
      <c r="M61" s="13" t="s">
        <v>382</v>
      </c>
      <c r="N61" s="15">
        <v>17</v>
      </c>
      <c r="O61" s="16">
        <v>0</v>
      </c>
      <c r="P61" s="17">
        <v>0</v>
      </c>
      <c r="Q61" s="17">
        <v>0</v>
      </c>
      <c r="R61" s="13"/>
      <c r="S61" s="13" t="s">
        <v>15</v>
      </c>
      <c r="T61" s="13" t="s">
        <v>467</v>
      </c>
      <c r="U61" s="13" t="s">
        <v>422</v>
      </c>
      <c r="V61" s="13" t="s">
        <v>549</v>
      </c>
      <c r="W61" s="14">
        <v>0</v>
      </c>
    </row>
    <row r="62" spans="11:23" customFormat="1" x14ac:dyDescent="0.2">
      <c r="K62" s="13" t="s">
        <v>118</v>
      </c>
      <c r="L62" s="13" t="s">
        <v>407</v>
      </c>
      <c r="M62" s="13" t="s">
        <v>408</v>
      </c>
      <c r="N62" s="15">
        <v>28</v>
      </c>
      <c r="O62" s="16">
        <v>0</v>
      </c>
      <c r="P62" s="17">
        <v>0</v>
      </c>
      <c r="Q62" s="17">
        <v>0</v>
      </c>
      <c r="R62" s="13"/>
      <c r="S62" s="13" t="s">
        <v>16</v>
      </c>
      <c r="T62" s="13" t="s">
        <v>404</v>
      </c>
      <c r="U62" s="13" t="s">
        <v>405</v>
      </c>
      <c r="V62" s="13" t="s">
        <v>549</v>
      </c>
      <c r="W62" s="14">
        <v>2.7</v>
      </c>
    </row>
    <row r="63" spans="11:23" customFormat="1" x14ac:dyDescent="0.2">
      <c r="K63" s="13" t="s">
        <v>118</v>
      </c>
      <c r="L63" s="13" t="s">
        <v>411</v>
      </c>
      <c r="M63" s="13" t="s">
        <v>362</v>
      </c>
      <c r="N63" s="15">
        <v>3</v>
      </c>
      <c r="O63" s="16">
        <v>0</v>
      </c>
      <c r="P63" s="17">
        <v>0</v>
      </c>
      <c r="Q63" s="17">
        <v>0</v>
      </c>
      <c r="R63" s="13"/>
      <c r="S63" s="13" t="s">
        <v>16</v>
      </c>
      <c r="T63" s="13" t="s">
        <v>404</v>
      </c>
      <c r="U63" s="13" t="s">
        <v>405</v>
      </c>
      <c r="V63" s="13" t="s">
        <v>553</v>
      </c>
      <c r="W63" s="14">
        <v>2.2999999999999998</v>
      </c>
    </row>
    <row r="64" spans="11:23" customFormat="1" x14ac:dyDescent="0.2">
      <c r="K64" s="13" t="s">
        <v>118</v>
      </c>
      <c r="L64" s="13" t="s">
        <v>413</v>
      </c>
      <c r="M64" s="13" t="s">
        <v>428</v>
      </c>
      <c r="N64" s="15">
        <v>11</v>
      </c>
      <c r="O64" s="16">
        <v>0</v>
      </c>
      <c r="P64" s="17">
        <v>0</v>
      </c>
      <c r="Q64" s="17">
        <v>0</v>
      </c>
      <c r="R64" s="13"/>
      <c r="S64" s="13" t="s">
        <v>16</v>
      </c>
      <c r="T64" s="13" t="s">
        <v>404</v>
      </c>
      <c r="U64" s="13" t="s">
        <v>405</v>
      </c>
      <c r="V64" s="13" t="s">
        <v>550</v>
      </c>
      <c r="W64" s="14">
        <v>2</v>
      </c>
    </row>
    <row r="65" spans="11:23" customFormat="1" x14ac:dyDescent="0.2">
      <c r="K65" s="13" t="s">
        <v>118</v>
      </c>
      <c r="L65" s="13" t="s">
        <v>603</v>
      </c>
      <c r="M65" s="13" t="s">
        <v>385</v>
      </c>
      <c r="N65" s="15">
        <v>5</v>
      </c>
      <c r="O65" s="16">
        <v>0</v>
      </c>
      <c r="P65" s="17">
        <v>0</v>
      </c>
      <c r="Q65" s="17">
        <v>0</v>
      </c>
      <c r="R65" s="13"/>
      <c r="S65" s="13" t="s">
        <v>16</v>
      </c>
      <c r="T65" s="13" t="s">
        <v>528</v>
      </c>
      <c r="U65" s="13" t="s">
        <v>384</v>
      </c>
      <c r="V65" s="13" t="s">
        <v>549</v>
      </c>
      <c r="W65" s="14">
        <v>0</v>
      </c>
    </row>
    <row r="66" spans="11:23" customFormat="1" x14ac:dyDescent="0.2">
      <c r="K66" s="13" t="s">
        <v>118</v>
      </c>
      <c r="L66" s="13" t="s">
        <v>605</v>
      </c>
      <c r="M66" s="13" t="s">
        <v>429</v>
      </c>
      <c r="N66" s="15">
        <v>0</v>
      </c>
      <c r="O66" s="16">
        <v>4.0607881006922888</v>
      </c>
      <c r="P66" s="17">
        <v>0</v>
      </c>
      <c r="Q66" s="17">
        <v>0</v>
      </c>
      <c r="R66" s="13"/>
      <c r="S66" s="13" t="s">
        <v>16</v>
      </c>
      <c r="T66" s="13" t="s">
        <v>613</v>
      </c>
      <c r="U66" s="13" t="s">
        <v>444</v>
      </c>
      <c r="V66" s="13" t="s">
        <v>549</v>
      </c>
      <c r="W66" s="14">
        <v>0</v>
      </c>
    </row>
    <row r="67" spans="11:23" customFormat="1" x14ac:dyDescent="0.2">
      <c r="K67" s="13" t="s">
        <v>118</v>
      </c>
      <c r="L67" s="13" t="s">
        <v>605</v>
      </c>
      <c r="M67" s="13" t="s">
        <v>429</v>
      </c>
      <c r="N67" s="15">
        <v>4</v>
      </c>
      <c r="O67" s="16">
        <v>0</v>
      </c>
      <c r="P67" s="17">
        <v>0</v>
      </c>
      <c r="Q67" s="17">
        <v>0</v>
      </c>
      <c r="R67" s="13"/>
      <c r="S67" s="13" t="s">
        <v>18</v>
      </c>
      <c r="T67" s="13" t="s">
        <v>404</v>
      </c>
      <c r="U67" s="13" t="s">
        <v>405</v>
      </c>
      <c r="V67" s="13" t="s">
        <v>549</v>
      </c>
      <c r="W67" s="14">
        <v>1</v>
      </c>
    </row>
    <row r="68" spans="11:23" customFormat="1" x14ac:dyDescent="0.2">
      <c r="K68" s="13" t="s">
        <v>118</v>
      </c>
      <c r="L68" s="13" t="s">
        <v>606</v>
      </c>
      <c r="M68" s="13" t="s">
        <v>430</v>
      </c>
      <c r="N68" s="15">
        <v>23</v>
      </c>
      <c r="O68" s="16">
        <v>0</v>
      </c>
      <c r="P68" s="17">
        <v>0</v>
      </c>
      <c r="Q68" s="17">
        <v>0</v>
      </c>
      <c r="R68" s="13"/>
      <c r="S68" s="13" t="s">
        <v>18</v>
      </c>
      <c r="T68" s="13" t="s">
        <v>609</v>
      </c>
      <c r="U68" s="13" t="s">
        <v>416</v>
      </c>
      <c r="V68" s="13" t="s">
        <v>549</v>
      </c>
      <c r="W68" s="14">
        <v>0</v>
      </c>
    </row>
    <row r="69" spans="11:23" customFormat="1" x14ac:dyDescent="0.2">
      <c r="K69" s="13" t="s">
        <v>118</v>
      </c>
      <c r="L69" s="13" t="s">
        <v>607</v>
      </c>
      <c r="M69" s="13" t="s">
        <v>431</v>
      </c>
      <c r="N69" s="15">
        <v>6</v>
      </c>
      <c r="O69" s="16">
        <v>0</v>
      </c>
      <c r="P69" s="17">
        <v>0</v>
      </c>
      <c r="Q69" s="17">
        <v>0</v>
      </c>
      <c r="R69" s="13"/>
      <c r="S69" s="13" t="s">
        <v>21</v>
      </c>
      <c r="T69" s="13" t="s">
        <v>404</v>
      </c>
      <c r="U69" s="13" t="s">
        <v>405</v>
      </c>
      <c r="V69" s="13" t="s">
        <v>549</v>
      </c>
      <c r="W69" s="14">
        <v>1</v>
      </c>
    </row>
    <row r="70" spans="11:23" customFormat="1" x14ac:dyDescent="0.2">
      <c r="K70" s="13" t="s">
        <v>118</v>
      </c>
      <c r="L70" s="13" t="s">
        <v>415</v>
      </c>
      <c r="M70" s="13" t="s">
        <v>412</v>
      </c>
      <c r="N70" s="15">
        <v>0</v>
      </c>
      <c r="O70" s="16">
        <v>0</v>
      </c>
      <c r="P70" s="17">
        <v>23.990549999696015</v>
      </c>
      <c r="Q70" s="17">
        <v>0</v>
      </c>
      <c r="R70" s="13"/>
      <c r="S70" s="13" t="s">
        <v>21</v>
      </c>
      <c r="T70" s="13" t="s">
        <v>629</v>
      </c>
      <c r="U70" s="13" t="s">
        <v>630</v>
      </c>
      <c r="V70" s="13" t="s">
        <v>551</v>
      </c>
      <c r="W70" s="14">
        <v>2</v>
      </c>
    </row>
    <row r="71" spans="11:23" customFormat="1" x14ac:dyDescent="0.2">
      <c r="K71" s="13" t="s">
        <v>118</v>
      </c>
      <c r="L71" s="13" t="s">
        <v>417</v>
      </c>
      <c r="M71" s="13" t="s">
        <v>414</v>
      </c>
      <c r="N71" s="15">
        <v>0</v>
      </c>
      <c r="O71" s="16">
        <v>0</v>
      </c>
      <c r="P71" s="17">
        <v>38.156150003236746</v>
      </c>
      <c r="Q71" s="17">
        <v>0</v>
      </c>
      <c r="R71" s="13"/>
      <c r="S71" s="13" t="s">
        <v>21</v>
      </c>
      <c r="T71" s="13" t="s">
        <v>629</v>
      </c>
      <c r="U71" s="13" t="s">
        <v>630</v>
      </c>
      <c r="V71" s="13" t="s">
        <v>552</v>
      </c>
      <c r="W71" s="14">
        <v>1.5</v>
      </c>
    </row>
    <row r="72" spans="11:23" customFormat="1" x14ac:dyDescent="0.2">
      <c r="K72" s="13" t="s">
        <v>118</v>
      </c>
      <c r="L72" s="13" t="s">
        <v>419</v>
      </c>
      <c r="M72" s="13" t="s">
        <v>442</v>
      </c>
      <c r="N72" s="15">
        <v>0</v>
      </c>
      <c r="O72" s="16">
        <v>101.04122616720484</v>
      </c>
      <c r="P72" s="17">
        <v>0</v>
      </c>
      <c r="Q72" s="17">
        <v>0</v>
      </c>
      <c r="R72" s="13"/>
      <c r="S72" s="13" t="s">
        <v>21</v>
      </c>
      <c r="T72" s="13" t="s">
        <v>467</v>
      </c>
      <c r="U72" s="13" t="s">
        <v>422</v>
      </c>
      <c r="V72" s="13" t="s">
        <v>549</v>
      </c>
      <c r="W72" s="14">
        <v>0</v>
      </c>
    </row>
    <row r="73" spans="11:23" customFormat="1" x14ac:dyDescent="0.2">
      <c r="K73" s="13" t="s">
        <v>118</v>
      </c>
      <c r="L73" s="13" t="s">
        <v>609</v>
      </c>
      <c r="M73" s="13" t="s">
        <v>416</v>
      </c>
      <c r="N73" s="15">
        <v>0</v>
      </c>
      <c r="O73" s="16">
        <v>44.804154729300848</v>
      </c>
      <c r="P73" s="17">
        <v>0</v>
      </c>
      <c r="Q73" s="17">
        <v>0</v>
      </c>
      <c r="R73" s="13"/>
      <c r="S73" s="13" t="s">
        <v>21</v>
      </c>
      <c r="T73" s="13" t="s">
        <v>613</v>
      </c>
      <c r="U73" s="13" t="s">
        <v>444</v>
      </c>
      <c r="V73" s="13" t="s">
        <v>549</v>
      </c>
      <c r="W73" s="14">
        <v>0</v>
      </c>
    </row>
    <row r="74" spans="11:23" customFormat="1" x14ac:dyDescent="0.2">
      <c r="K74" s="13" t="s">
        <v>118</v>
      </c>
      <c r="L74" s="13" t="s">
        <v>610</v>
      </c>
      <c r="M74" s="13" t="s">
        <v>418</v>
      </c>
      <c r="N74" s="15">
        <v>0</v>
      </c>
      <c r="O74" s="16">
        <v>69.910081816801437</v>
      </c>
      <c r="P74" s="17">
        <v>0</v>
      </c>
      <c r="Q74" s="17">
        <v>0</v>
      </c>
      <c r="R74" s="13"/>
      <c r="S74" s="13" t="s">
        <v>25</v>
      </c>
      <c r="T74" s="13" t="s">
        <v>404</v>
      </c>
      <c r="U74" s="13" t="s">
        <v>405</v>
      </c>
      <c r="V74" s="13" t="s">
        <v>549</v>
      </c>
      <c r="W74" s="14">
        <v>1</v>
      </c>
    </row>
    <row r="75" spans="11:23" customFormat="1" x14ac:dyDescent="0.2">
      <c r="K75" s="13" t="s">
        <v>118</v>
      </c>
      <c r="L75" s="13" t="s">
        <v>421</v>
      </c>
      <c r="M75" s="13" t="s">
        <v>443</v>
      </c>
      <c r="N75" s="15">
        <v>4</v>
      </c>
      <c r="O75" s="16">
        <v>0</v>
      </c>
      <c r="P75" s="17">
        <v>0</v>
      </c>
      <c r="Q75" s="17">
        <v>0</v>
      </c>
      <c r="R75" s="13"/>
      <c r="S75" s="13" t="s">
        <v>28</v>
      </c>
      <c r="T75" s="13" t="s">
        <v>395</v>
      </c>
      <c r="U75" s="13" t="s">
        <v>602</v>
      </c>
      <c r="V75" s="13" t="s">
        <v>549</v>
      </c>
      <c r="W75" s="14">
        <v>0</v>
      </c>
    </row>
    <row r="76" spans="11:23" customFormat="1" x14ac:dyDescent="0.2">
      <c r="K76" s="13" t="s">
        <v>118</v>
      </c>
      <c r="L76" s="13" t="s">
        <v>467</v>
      </c>
      <c r="M76" s="13" t="s">
        <v>422</v>
      </c>
      <c r="N76" s="15">
        <v>0</v>
      </c>
      <c r="O76" s="16">
        <v>4.4106793573890126</v>
      </c>
      <c r="P76" s="17">
        <v>0</v>
      </c>
      <c r="Q76" s="17">
        <v>0</v>
      </c>
      <c r="R76" s="13"/>
      <c r="S76" s="13" t="s">
        <v>28</v>
      </c>
      <c r="T76" s="13" t="s">
        <v>629</v>
      </c>
      <c r="U76" s="13" t="s">
        <v>630</v>
      </c>
      <c r="V76" s="13" t="s">
        <v>549</v>
      </c>
      <c r="W76" s="14">
        <v>1</v>
      </c>
    </row>
    <row r="77" spans="11:23" customFormat="1" x14ac:dyDescent="0.2">
      <c r="K77" s="13" t="s">
        <v>118</v>
      </c>
      <c r="L77" s="13" t="s">
        <v>613</v>
      </c>
      <c r="M77" s="13" t="s">
        <v>444</v>
      </c>
      <c r="N77" s="15">
        <v>0</v>
      </c>
      <c r="O77" s="16">
        <v>14.110890900046005</v>
      </c>
      <c r="P77" s="17">
        <v>0</v>
      </c>
      <c r="Q77" s="17">
        <v>0</v>
      </c>
      <c r="R77" s="13"/>
      <c r="S77" s="13" t="s">
        <v>28</v>
      </c>
      <c r="T77" s="13" t="s">
        <v>609</v>
      </c>
      <c r="U77" s="13" t="s">
        <v>416</v>
      </c>
      <c r="V77" s="13" t="s">
        <v>549</v>
      </c>
      <c r="W77" s="14">
        <v>0</v>
      </c>
    </row>
    <row r="78" spans="11:23" customFormat="1" x14ac:dyDescent="0.2">
      <c r="K78" s="13" t="s">
        <v>118</v>
      </c>
      <c r="L78" s="13" t="s">
        <v>612</v>
      </c>
      <c r="M78" s="13" t="s">
        <v>425</v>
      </c>
      <c r="N78" s="15">
        <v>7</v>
      </c>
      <c r="O78" s="16">
        <v>0</v>
      </c>
      <c r="P78" s="17">
        <v>0</v>
      </c>
      <c r="Q78" s="17">
        <v>0</v>
      </c>
      <c r="R78" s="13"/>
      <c r="S78" s="13" t="s">
        <v>28</v>
      </c>
      <c r="T78" s="13" t="s">
        <v>467</v>
      </c>
      <c r="U78" s="13" t="s">
        <v>422</v>
      </c>
      <c r="V78" s="13" t="s">
        <v>549</v>
      </c>
      <c r="W78" s="14">
        <v>0</v>
      </c>
    </row>
    <row r="79" spans="11:23" customFormat="1" x14ac:dyDescent="0.2">
      <c r="K79" s="13" t="s">
        <v>120</v>
      </c>
      <c r="L79" s="13" t="s">
        <v>387</v>
      </c>
      <c r="M79" s="13" t="s">
        <v>386</v>
      </c>
      <c r="N79" s="15">
        <v>0</v>
      </c>
      <c r="O79" s="16">
        <v>0</v>
      </c>
      <c r="P79" s="17">
        <v>643.32344999606573</v>
      </c>
      <c r="Q79" s="17">
        <v>0</v>
      </c>
      <c r="R79" s="13"/>
      <c r="S79" s="13" t="s">
        <v>29</v>
      </c>
      <c r="T79" s="13" t="s">
        <v>419</v>
      </c>
      <c r="U79" s="13" t="s">
        <v>442</v>
      </c>
      <c r="V79" s="13" t="s">
        <v>549</v>
      </c>
      <c r="W79" s="14">
        <v>0</v>
      </c>
    </row>
    <row r="80" spans="11:23" customFormat="1" x14ac:dyDescent="0.2">
      <c r="K80" s="13" t="s">
        <v>120</v>
      </c>
      <c r="L80" s="13" t="s">
        <v>389</v>
      </c>
      <c r="M80" s="13" t="s">
        <v>388</v>
      </c>
      <c r="N80" s="15">
        <v>0</v>
      </c>
      <c r="O80" s="16">
        <v>0</v>
      </c>
      <c r="P80" s="17">
        <v>106.90050000556209</v>
      </c>
      <c r="Q80" s="17">
        <v>0</v>
      </c>
      <c r="R80" s="13"/>
      <c r="S80" s="13" t="s">
        <v>29</v>
      </c>
      <c r="T80" s="13" t="s">
        <v>609</v>
      </c>
      <c r="U80" s="13" t="s">
        <v>416</v>
      </c>
      <c r="V80" s="13" t="s">
        <v>549</v>
      </c>
      <c r="W80" s="14">
        <v>0</v>
      </c>
    </row>
    <row r="81" spans="11:23" customFormat="1" x14ac:dyDescent="0.2">
      <c r="K81" s="13" t="s">
        <v>120</v>
      </c>
      <c r="L81" s="13" t="s">
        <v>542</v>
      </c>
      <c r="M81" s="13" t="s">
        <v>390</v>
      </c>
      <c r="N81" s="15">
        <v>0</v>
      </c>
      <c r="O81" s="16">
        <v>0</v>
      </c>
      <c r="P81" s="17">
        <v>10.402100002005675</v>
      </c>
      <c r="Q81" s="17">
        <v>0</v>
      </c>
      <c r="R81" s="13"/>
      <c r="S81" s="13" t="s">
        <v>29</v>
      </c>
      <c r="T81" s="13" t="s">
        <v>613</v>
      </c>
      <c r="U81" s="13" t="s">
        <v>444</v>
      </c>
      <c r="V81" s="13" t="s">
        <v>549</v>
      </c>
      <c r="W81" s="14">
        <v>0</v>
      </c>
    </row>
    <row r="82" spans="11:23" customFormat="1" x14ac:dyDescent="0.2">
      <c r="K82" s="13" t="s">
        <v>120</v>
      </c>
      <c r="L82" s="13" t="s">
        <v>401</v>
      </c>
      <c r="M82" s="13" t="s">
        <v>360</v>
      </c>
      <c r="N82" s="15">
        <v>0</v>
      </c>
      <c r="O82" s="16">
        <v>0</v>
      </c>
      <c r="P82" s="17">
        <v>38.421200008605325</v>
      </c>
      <c r="Q82" s="17">
        <v>0</v>
      </c>
      <c r="R82" s="13"/>
      <c r="S82" s="13" t="s">
        <v>29</v>
      </c>
      <c r="T82" s="13" t="s">
        <v>613</v>
      </c>
      <c r="U82" s="13" t="s">
        <v>444</v>
      </c>
      <c r="V82" s="13" t="s">
        <v>553</v>
      </c>
      <c r="W82" s="14">
        <v>0</v>
      </c>
    </row>
    <row r="83" spans="11:23" customFormat="1" x14ac:dyDescent="0.2">
      <c r="K83" s="13" t="s">
        <v>120</v>
      </c>
      <c r="L83" s="13" t="s">
        <v>404</v>
      </c>
      <c r="M83" s="13" t="s">
        <v>405</v>
      </c>
      <c r="N83" s="15">
        <v>0</v>
      </c>
      <c r="O83" s="16">
        <v>0</v>
      </c>
      <c r="P83" s="17">
        <v>20.381749995654605</v>
      </c>
      <c r="Q83" s="17">
        <v>20.381749995654605</v>
      </c>
      <c r="R83" s="13"/>
      <c r="S83" s="13" t="s">
        <v>31</v>
      </c>
      <c r="T83" s="13" t="s">
        <v>404</v>
      </c>
      <c r="U83" s="13" t="s">
        <v>405</v>
      </c>
      <c r="V83" s="13" t="s">
        <v>549</v>
      </c>
      <c r="W83" s="14">
        <v>1</v>
      </c>
    </row>
    <row r="84" spans="11:23" customFormat="1" x14ac:dyDescent="0.2">
      <c r="K84" s="13" t="s">
        <v>120</v>
      </c>
      <c r="L84" s="13" t="s">
        <v>413</v>
      </c>
      <c r="M84" s="13" t="s">
        <v>428</v>
      </c>
      <c r="N84" s="15">
        <v>1</v>
      </c>
      <c r="O84" s="16">
        <v>0</v>
      </c>
      <c r="P84" s="17">
        <v>0</v>
      </c>
      <c r="Q84" s="17">
        <v>0</v>
      </c>
      <c r="R84" s="13"/>
      <c r="S84" s="13" t="s">
        <v>32</v>
      </c>
      <c r="T84" s="13" t="s">
        <v>404</v>
      </c>
      <c r="U84" s="13" t="s">
        <v>405</v>
      </c>
      <c r="V84" s="13" t="s">
        <v>553</v>
      </c>
      <c r="W84" s="14">
        <v>0.8</v>
      </c>
    </row>
    <row r="85" spans="11:23" customFormat="1" x14ac:dyDescent="0.2">
      <c r="K85" s="13" t="s">
        <v>120</v>
      </c>
      <c r="L85" s="13" t="s">
        <v>606</v>
      </c>
      <c r="M85" s="13" t="s">
        <v>430</v>
      </c>
      <c r="N85" s="15">
        <v>1</v>
      </c>
      <c r="O85" s="16">
        <v>0</v>
      </c>
      <c r="P85" s="17">
        <v>0</v>
      </c>
      <c r="Q85" s="17">
        <v>0</v>
      </c>
      <c r="R85" s="13"/>
      <c r="S85" s="13" t="s">
        <v>32</v>
      </c>
      <c r="T85" s="13" t="s">
        <v>609</v>
      </c>
      <c r="U85" s="13" t="s">
        <v>416</v>
      </c>
      <c r="V85" s="13" t="s">
        <v>549</v>
      </c>
      <c r="W85" s="14">
        <v>0</v>
      </c>
    </row>
    <row r="86" spans="11:23" customFormat="1" x14ac:dyDescent="0.2">
      <c r="K86" s="13" t="s">
        <v>120</v>
      </c>
      <c r="L86" s="13" t="s">
        <v>607</v>
      </c>
      <c r="M86" s="13" t="s">
        <v>431</v>
      </c>
      <c r="N86" s="15">
        <v>2</v>
      </c>
      <c r="O86" s="16">
        <v>0</v>
      </c>
      <c r="P86" s="17">
        <v>0</v>
      </c>
      <c r="Q86" s="17">
        <v>0</v>
      </c>
      <c r="R86" s="13"/>
      <c r="S86" s="13" t="s">
        <v>34</v>
      </c>
      <c r="T86" s="13" t="s">
        <v>419</v>
      </c>
      <c r="U86" s="13" t="s">
        <v>442</v>
      </c>
      <c r="V86" s="13" t="s">
        <v>549</v>
      </c>
      <c r="W86" s="14">
        <v>0</v>
      </c>
    </row>
    <row r="87" spans="11:23" customFormat="1" x14ac:dyDescent="0.2">
      <c r="K87" s="13" t="s">
        <v>120</v>
      </c>
      <c r="L87" s="13" t="s">
        <v>415</v>
      </c>
      <c r="M87" s="13" t="s">
        <v>412</v>
      </c>
      <c r="N87" s="15">
        <v>0</v>
      </c>
      <c r="O87" s="16">
        <v>0</v>
      </c>
      <c r="P87" s="17">
        <v>3.9205999988165914</v>
      </c>
      <c r="Q87" s="17">
        <v>0</v>
      </c>
      <c r="R87" s="13"/>
      <c r="S87" s="13" t="s">
        <v>34</v>
      </c>
      <c r="T87" s="13" t="s">
        <v>467</v>
      </c>
      <c r="U87" s="13" t="s">
        <v>422</v>
      </c>
      <c r="V87" s="13" t="s">
        <v>549</v>
      </c>
      <c r="W87" s="14">
        <v>0</v>
      </c>
    </row>
    <row r="88" spans="11:23" customFormat="1" x14ac:dyDescent="0.2">
      <c r="K88" s="13" t="s">
        <v>120</v>
      </c>
      <c r="L88" s="13" t="s">
        <v>613</v>
      </c>
      <c r="M88" s="13" t="s">
        <v>444</v>
      </c>
      <c r="N88" s="15">
        <v>0</v>
      </c>
      <c r="O88" s="16">
        <v>21.690556730930233</v>
      </c>
      <c r="P88" s="17">
        <v>0</v>
      </c>
      <c r="Q88" s="17">
        <v>0</v>
      </c>
      <c r="R88" s="13"/>
      <c r="S88" s="13" t="s">
        <v>35</v>
      </c>
      <c r="T88" s="13" t="s">
        <v>629</v>
      </c>
      <c r="U88" s="13" t="s">
        <v>630</v>
      </c>
      <c r="V88" s="13" t="s">
        <v>549</v>
      </c>
      <c r="W88" s="14">
        <v>1.8</v>
      </c>
    </row>
    <row r="89" spans="11:23" customFormat="1" x14ac:dyDescent="0.2">
      <c r="K89" s="13" t="s">
        <v>120</v>
      </c>
      <c r="L89" s="13" t="s">
        <v>612</v>
      </c>
      <c r="M89" s="13" t="s">
        <v>425</v>
      </c>
      <c r="N89" s="15">
        <v>1</v>
      </c>
      <c r="O89" s="16">
        <v>0</v>
      </c>
      <c r="P89" s="17">
        <v>0</v>
      </c>
      <c r="Q89" s="17">
        <v>0</v>
      </c>
      <c r="R89" s="13"/>
      <c r="S89" s="13" t="s">
        <v>35</v>
      </c>
      <c r="T89" s="13" t="s">
        <v>467</v>
      </c>
      <c r="U89" s="13" t="s">
        <v>422</v>
      </c>
      <c r="V89" s="13" t="s">
        <v>549</v>
      </c>
      <c r="W89" s="14">
        <v>0</v>
      </c>
    </row>
    <row r="90" spans="11:23" customFormat="1" x14ac:dyDescent="0.2">
      <c r="K90" s="13" t="s">
        <v>122</v>
      </c>
      <c r="L90" s="13" t="s">
        <v>389</v>
      </c>
      <c r="M90" s="13" t="s">
        <v>388</v>
      </c>
      <c r="N90" s="15">
        <v>0</v>
      </c>
      <c r="O90" s="16">
        <v>0</v>
      </c>
      <c r="P90" s="17">
        <v>119.59760000292921</v>
      </c>
      <c r="Q90" s="17">
        <v>0</v>
      </c>
      <c r="R90" s="13"/>
      <c r="S90" s="13" t="s">
        <v>35</v>
      </c>
      <c r="T90" s="13" t="s">
        <v>613</v>
      </c>
      <c r="U90" s="13" t="s">
        <v>444</v>
      </c>
      <c r="V90" s="13" t="s">
        <v>549</v>
      </c>
      <c r="W90" s="14">
        <v>0</v>
      </c>
    </row>
    <row r="91" spans="11:23" customFormat="1" x14ac:dyDescent="0.2">
      <c r="K91" s="13" t="s">
        <v>122</v>
      </c>
      <c r="L91" s="13" t="s">
        <v>486</v>
      </c>
      <c r="M91" s="13" t="s">
        <v>439</v>
      </c>
      <c r="N91" s="15">
        <v>0</v>
      </c>
      <c r="O91" s="16">
        <v>0</v>
      </c>
      <c r="P91" s="17">
        <v>4.4467999972117136</v>
      </c>
      <c r="Q91" s="17">
        <v>0</v>
      </c>
      <c r="R91" s="13"/>
      <c r="S91" s="13" t="s">
        <v>36</v>
      </c>
      <c r="T91" s="13" t="s">
        <v>613</v>
      </c>
      <c r="U91" s="13" t="s">
        <v>444</v>
      </c>
      <c r="V91" s="13" t="s">
        <v>549</v>
      </c>
      <c r="W91" s="14">
        <v>0</v>
      </c>
    </row>
    <row r="92" spans="11:23" customFormat="1" x14ac:dyDescent="0.2">
      <c r="K92" s="13" t="s">
        <v>122</v>
      </c>
      <c r="L92" s="13" t="s">
        <v>445</v>
      </c>
      <c r="M92" s="13" t="s">
        <v>365</v>
      </c>
      <c r="N92" s="15">
        <v>0</v>
      </c>
      <c r="O92" s="16">
        <v>0</v>
      </c>
      <c r="P92" s="17">
        <v>0.39070000030514784</v>
      </c>
      <c r="Q92" s="17">
        <v>0</v>
      </c>
      <c r="R92" s="13"/>
      <c r="S92" s="13" t="s">
        <v>37</v>
      </c>
      <c r="T92" s="13" t="s">
        <v>404</v>
      </c>
      <c r="U92" s="13" t="s">
        <v>405</v>
      </c>
      <c r="V92" s="13" t="s">
        <v>550</v>
      </c>
      <c r="W92" s="14">
        <v>1.2</v>
      </c>
    </row>
    <row r="93" spans="11:23" customFormat="1" x14ac:dyDescent="0.2">
      <c r="K93" s="13" t="s">
        <v>122</v>
      </c>
      <c r="L93" s="13" t="s">
        <v>394</v>
      </c>
      <c r="M93" s="13" t="s">
        <v>359</v>
      </c>
      <c r="N93" s="15">
        <v>0</v>
      </c>
      <c r="O93" s="16">
        <v>0</v>
      </c>
      <c r="P93" s="17">
        <v>13.281400000790155</v>
      </c>
      <c r="Q93" s="17">
        <v>0</v>
      </c>
      <c r="R93" s="13"/>
      <c r="S93" s="13" t="s">
        <v>37</v>
      </c>
      <c r="T93" s="13" t="s">
        <v>629</v>
      </c>
      <c r="U93" s="13" t="s">
        <v>630</v>
      </c>
      <c r="V93" s="13" t="s">
        <v>549</v>
      </c>
      <c r="W93" s="14">
        <v>1.5</v>
      </c>
    </row>
    <row r="94" spans="11:23" customFormat="1" x14ac:dyDescent="0.2">
      <c r="K94" s="13" t="s">
        <v>122</v>
      </c>
      <c r="L94" s="13" t="s">
        <v>397</v>
      </c>
      <c r="M94" s="13" t="s">
        <v>398</v>
      </c>
      <c r="N94" s="15">
        <v>0</v>
      </c>
      <c r="O94" s="16">
        <v>0</v>
      </c>
      <c r="P94" s="17">
        <v>21.29255000428476</v>
      </c>
      <c r="Q94" s="17">
        <v>0</v>
      </c>
      <c r="R94" s="13"/>
      <c r="S94" s="13" t="s">
        <v>37</v>
      </c>
      <c r="T94" s="13" t="s">
        <v>629</v>
      </c>
      <c r="U94" s="13" t="s">
        <v>630</v>
      </c>
      <c r="V94" s="13" t="s">
        <v>553</v>
      </c>
      <c r="W94" s="14">
        <v>2</v>
      </c>
    </row>
    <row r="95" spans="11:23" customFormat="1" x14ac:dyDescent="0.2">
      <c r="K95" s="13" t="s">
        <v>122</v>
      </c>
      <c r="L95" s="13" t="s">
        <v>399</v>
      </c>
      <c r="M95" s="13" t="s">
        <v>400</v>
      </c>
      <c r="N95" s="15">
        <v>0</v>
      </c>
      <c r="O95" s="16">
        <v>0</v>
      </c>
      <c r="P95" s="17">
        <v>60.297350003928152</v>
      </c>
      <c r="Q95" s="17">
        <v>0</v>
      </c>
      <c r="R95" s="13"/>
      <c r="S95" s="13" t="s">
        <v>37</v>
      </c>
      <c r="T95" s="13" t="s">
        <v>467</v>
      </c>
      <c r="U95" s="13" t="s">
        <v>422</v>
      </c>
      <c r="V95" s="13" t="s">
        <v>549</v>
      </c>
      <c r="W95" s="14">
        <v>0</v>
      </c>
    </row>
    <row r="96" spans="11:23" customFormat="1" x14ac:dyDescent="0.2">
      <c r="K96" s="13" t="s">
        <v>122</v>
      </c>
      <c r="L96" s="13" t="s">
        <v>401</v>
      </c>
      <c r="M96" s="13" t="s">
        <v>360</v>
      </c>
      <c r="N96" s="15">
        <v>0</v>
      </c>
      <c r="O96" s="16">
        <v>0</v>
      </c>
      <c r="P96" s="17">
        <v>30.69094999775437</v>
      </c>
      <c r="Q96" s="17">
        <v>0</v>
      </c>
      <c r="R96" s="13"/>
      <c r="S96" s="13" t="s">
        <v>38</v>
      </c>
      <c r="T96" s="13" t="s">
        <v>609</v>
      </c>
      <c r="U96" s="13" t="s">
        <v>416</v>
      </c>
      <c r="V96" s="13" t="s">
        <v>549</v>
      </c>
      <c r="W96" s="14">
        <v>0</v>
      </c>
    </row>
    <row r="97" spans="11:23" customFormat="1" x14ac:dyDescent="0.2">
      <c r="K97" s="13" t="s">
        <v>122</v>
      </c>
      <c r="L97" s="13" t="s">
        <v>402</v>
      </c>
      <c r="M97" s="13" t="s">
        <v>403</v>
      </c>
      <c r="N97" s="15">
        <v>0</v>
      </c>
      <c r="O97" s="16">
        <v>0</v>
      </c>
      <c r="P97" s="17">
        <v>198.81025000999762</v>
      </c>
      <c r="Q97" s="17">
        <v>0</v>
      </c>
      <c r="R97" s="13"/>
      <c r="S97" s="13" t="s">
        <v>43</v>
      </c>
      <c r="T97" s="13" t="s">
        <v>467</v>
      </c>
      <c r="U97" s="13" t="s">
        <v>422</v>
      </c>
      <c r="V97" s="13" t="s">
        <v>549</v>
      </c>
      <c r="W97" s="14">
        <v>0</v>
      </c>
    </row>
    <row r="98" spans="11:23" customFormat="1" x14ac:dyDescent="0.2">
      <c r="K98" s="13" t="s">
        <v>122</v>
      </c>
      <c r="L98" s="13" t="s">
        <v>404</v>
      </c>
      <c r="M98" s="13" t="s">
        <v>405</v>
      </c>
      <c r="N98" s="15">
        <v>0</v>
      </c>
      <c r="O98" s="16">
        <v>0</v>
      </c>
      <c r="P98" s="17">
        <v>21.673649980167884</v>
      </c>
      <c r="Q98" s="17">
        <v>65.679459666267761</v>
      </c>
      <c r="R98" s="13"/>
      <c r="S98" s="13" t="s">
        <v>47</v>
      </c>
      <c r="T98" s="13" t="s">
        <v>629</v>
      </c>
      <c r="U98" s="13" t="s">
        <v>630</v>
      </c>
      <c r="V98" s="13" t="s">
        <v>549</v>
      </c>
      <c r="W98" s="14">
        <v>2.2000000000000002</v>
      </c>
    </row>
    <row r="99" spans="11:23" customFormat="1" x14ac:dyDescent="0.2">
      <c r="K99" s="13" t="s">
        <v>122</v>
      </c>
      <c r="L99" s="13" t="s">
        <v>381</v>
      </c>
      <c r="M99" s="13" t="s">
        <v>382</v>
      </c>
      <c r="N99" s="15">
        <v>2</v>
      </c>
      <c r="O99" s="16">
        <v>0</v>
      </c>
      <c r="P99" s="17">
        <v>0</v>
      </c>
      <c r="Q99" s="17">
        <v>0</v>
      </c>
      <c r="R99" s="13"/>
      <c r="S99" s="13" t="s">
        <v>49</v>
      </c>
      <c r="T99" s="13" t="s">
        <v>629</v>
      </c>
      <c r="U99" s="13" t="s">
        <v>630</v>
      </c>
      <c r="V99" s="13" t="s">
        <v>549</v>
      </c>
      <c r="W99" s="14">
        <v>1.2</v>
      </c>
    </row>
    <row r="100" spans="11:23" customFormat="1" x14ac:dyDescent="0.2">
      <c r="K100" s="13" t="s">
        <v>122</v>
      </c>
      <c r="L100" s="13" t="s">
        <v>606</v>
      </c>
      <c r="M100" s="13" t="s">
        <v>430</v>
      </c>
      <c r="N100" s="15">
        <v>1</v>
      </c>
      <c r="O100" s="16">
        <v>0</v>
      </c>
      <c r="P100" s="17">
        <v>0</v>
      </c>
      <c r="Q100" s="17">
        <v>0</v>
      </c>
      <c r="R100" s="13"/>
      <c r="S100" s="13" t="s">
        <v>51</v>
      </c>
      <c r="T100" s="13" t="s">
        <v>396</v>
      </c>
      <c r="U100" s="13" t="s">
        <v>604</v>
      </c>
      <c r="V100" s="13" t="s">
        <v>549</v>
      </c>
      <c r="W100" s="14">
        <v>1.5</v>
      </c>
    </row>
    <row r="101" spans="11:23" customFormat="1" x14ac:dyDescent="0.2">
      <c r="K101" s="13" t="s">
        <v>122</v>
      </c>
      <c r="L101" s="13" t="s">
        <v>415</v>
      </c>
      <c r="M101" s="13" t="s">
        <v>412</v>
      </c>
      <c r="N101" s="15">
        <v>0</v>
      </c>
      <c r="O101" s="16">
        <v>0</v>
      </c>
      <c r="P101" s="17">
        <v>3.5104499987755666</v>
      </c>
      <c r="Q101" s="17">
        <v>0</v>
      </c>
      <c r="R101" s="13"/>
      <c r="S101" s="13" t="s">
        <v>53</v>
      </c>
      <c r="T101" s="13" t="s">
        <v>629</v>
      </c>
      <c r="U101" s="13" t="s">
        <v>630</v>
      </c>
      <c r="V101" s="13" t="s">
        <v>550</v>
      </c>
      <c r="W101" s="14">
        <v>1</v>
      </c>
    </row>
    <row r="102" spans="11:23" customFormat="1" x14ac:dyDescent="0.2">
      <c r="K102" s="13" t="s">
        <v>122</v>
      </c>
      <c r="L102" s="13" t="s">
        <v>609</v>
      </c>
      <c r="M102" s="13" t="s">
        <v>416</v>
      </c>
      <c r="N102" s="15">
        <v>0</v>
      </c>
      <c r="O102" s="16">
        <v>35.102939330413527</v>
      </c>
      <c r="P102" s="17">
        <v>0</v>
      </c>
      <c r="Q102" s="17">
        <v>0</v>
      </c>
      <c r="R102" s="13"/>
      <c r="S102" s="13" t="s">
        <v>572</v>
      </c>
      <c r="T102" s="13" t="s">
        <v>629</v>
      </c>
      <c r="U102" s="13" t="s">
        <v>630</v>
      </c>
      <c r="V102" s="13" t="s">
        <v>550</v>
      </c>
      <c r="W102" s="14">
        <v>1</v>
      </c>
    </row>
    <row r="103" spans="11:23" customFormat="1" x14ac:dyDescent="0.2">
      <c r="K103" s="13" t="s">
        <v>122</v>
      </c>
      <c r="L103" s="13" t="s">
        <v>383</v>
      </c>
      <c r="M103" s="13" t="s">
        <v>420</v>
      </c>
      <c r="N103" s="15">
        <v>4</v>
      </c>
      <c r="O103" s="16">
        <v>0</v>
      </c>
      <c r="P103" s="17">
        <v>0</v>
      </c>
      <c r="Q103" s="17">
        <v>0</v>
      </c>
      <c r="R103" s="13"/>
      <c r="S103" s="13" t="s">
        <v>572</v>
      </c>
      <c r="T103" s="13" t="s">
        <v>609</v>
      </c>
      <c r="U103" s="13" t="s">
        <v>416</v>
      </c>
      <c r="V103" s="13" t="s">
        <v>549</v>
      </c>
      <c r="W103" s="14">
        <v>0</v>
      </c>
    </row>
    <row r="104" spans="11:23" customFormat="1" x14ac:dyDescent="0.2">
      <c r="K104" s="13" t="s">
        <v>122</v>
      </c>
      <c r="L104" s="13" t="s">
        <v>467</v>
      </c>
      <c r="M104" s="13" t="s">
        <v>422</v>
      </c>
      <c r="N104" s="15">
        <v>0</v>
      </c>
      <c r="O104" s="16">
        <v>8.2987360946562596</v>
      </c>
      <c r="P104" s="17">
        <v>0</v>
      </c>
      <c r="Q104" s="17">
        <v>0</v>
      </c>
      <c r="R104" s="13"/>
      <c r="S104" s="13" t="s">
        <v>572</v>
      </c>
      <c r="T104" s="13" t="s">
        <v>467</v>
      </c>
      <c r="U104" s="13" t="s">
        <v>422</v>
      </c>
      <c r="V104" s="13" t="s">
        <v>549</v>
      </c>
      <c r="W104" s="14">
        <v>0</v>
      </c>
    </row>
    <row r="105" spans="11:23" customFormat="1" x14ac:dyDescent="0.2">
      <c r="K105" s="13" t="s">
        <v>122</v>
      </c>
      <c r="L105" s="13" t="s">
        <v>613</v>
      </c>
      <c r="M105" s="13" t="s">
        <v>444</v>
      </c>
      <c r="N105" s="15">
        <v>0</v>
      </c>
      <c r="O105" s="16">
        <v>32.163968467762544</v>
      </c>
      <c r="P105" s="17">
        <v>0</v>
      </c>
      <c r="Q105" s="17">
        <v>0</v>
      </c>
      <c r="R105" s="13"/>
      <c r="S105" s="13" t="s">
        <v>55</v>
      </c>
      <c r="T105" s="13" t="s">
        <v>609</v>
      </c>
      <c r="U105" s="13" t="s">
        <v>416</v>
      </c>
      <c r="V105" s="13" t="s">
        <v>549</v>
      </c>
      <c r="W105" s="14">
        <v>0</v>
      </c>
    </row>
    <row r="106" spans="11:23" customFormat="1" x14ac:dyDescent="0.2">
      <c r="K106" s="13" t="s">
        <v>124</v>
      </c>
      <c r="L106" s="13" t="s">
        <v>387</v>
      </c>
      <c r="M106" s="13" t="s">
        <v>386</v>
      </c>
      <c r="N106" s="15">
        <v>0</v>
      </c>
      <c r="O106" s="16">
        <v>0</v>
      </c>
      <c r="P106" s="17">
        <v>338.67129999086319</v>
      </c>
      <c r="Q106" s="17">
        <v>0</v>
      </c>
      <c r="R106" s="13"/>
      <c r="S106" s="13" t="s">
        <v>59</v>
      </c>
      <c r="T106" s="13" t="s">
        <v>629</v>
      </c>
      <c r="U106" s="13" t="s">
        <v>630</v>
      </c>
      <c r="V106" s="13" t="s">
        <v>549</v>
      </c>
      <c r="W106" s="14">
        <v>1.2</v>
      </c>
    </row>
    <row r="107" spans="11:23" customFormat="1" x14ac:dyDescent="0.2">
      <c r="K107" s="13" t="s">
        <v>124</v>
      </c>
      <c r="L107" s="13" t="s">
        <v>389</v>
      </c>
      <c r="M107" s="13" t="s">
        <v>388</v>
      </c>
      <c r="N107" s="15">
        <v>0</v>
      </c>
      <c r="O107" s="16">
        <v>0</v>
      </c>
      <c r="P107" s="17">
        <v>133.77879316773934</v>
      </c>
      <c r="Q107" s="17">
        <v>0</v>
      </c>
      <c r="R107" s="13"/>
      <c r="S107" s="13" t="s">
        <v>63</v>
      </c>
      <c r="T107" s="13" t="s">
        <v>609</v>
      </c>
      <c r="U107" s="13" t="s">
        <v>416</v>
      </c>
      <c r="V107" s="13" t="s">
        <v>549</v>
      </c>
      <c r="W107" s="14">
        <v>0</v>
      </c>
    </row>
    <row r="108" spans="11:23" customFormat="1" x14ac:dyDescent="0.2">
      <c r="K108" s="13" t="s">
        <v>124</v>
      </c>
      <c r="L108" s="13" t="s">
        <v>542</v>
      </c>
      <c r="M108" s="13" t="s">
        <v>390</v>
      </c>
      <c r="N108" s="15">
        <v>0</v>
      </c>
      <c r="O108" s="16">
        <v>0</v>
      </c>
      <c r="P108" s="17">
        <v>13.200050003370318</v>
      </c>
      <c r="Q108" s="17">
        <v>0</v>
      </c>
      <c r="R108" s="13"/>
      <c r="S108" s="13" t="s">
        <v>63</v>
      </c>
      <c r="T108" s="13" t="s">
        <v>528</v>
      </c>
      <c r="U108" s="13" t="s">
        <v>384</v>
      </c>
      <c r="V108" s="13" t="s">
        <v>549</v>
      </c>
      <c r="W108" s="14">
        <v>0</v>
      </c>
    </row>
    <row r="109" spans="11:23" customFormat="1" x14ac:dyDescent="0.2">
      <c r="K109" s="13" t="s">
        <v>124</v>
      </c>
      <c r="L109" s="13" t="s">
        <v>486</v>
      </c>
      <c r="M109" s="13" t="s">
        <v>439</v>
      </c>
      <c r="N109" s="15">
        <v>0</v>
      </c>
      <c r="O109" s="16">
        <v>0</v>
      </c>
      <c r="P109" s="17">
        <v>11.651000000321424</v>
      </c>
      <c r="Q109" s="17">
        <v>0</v>
      </c>
      <c r="R109" s="13"/>
      <c r="S109" s="13" t="s">
        <v>65</v>
      </c>
      <c r="T109" s="13" t="s">
        <v>528</v>
      </c>
      <c r="U109" s="13" t="s">
        <v>384</v>
      </c>
      <c r="V109" s="13" t="s">
        <v>549</v>
      </c>
      <c r="W109" s="14">
        <v>0</v>
      </c>
    </row>
    <row r="110" spans="11:23" customFormat="1" x14ac:dyDescent="0.2">
      <c r="K110" s="13" t="s">
        <v>124</v>
      </c>
      <c r="L110" s="13" t="s">
        <v>394</v>
      </c>
      <c r="M110" s="13" t="s">
        <v>359</v>
      </c>
      <c r="N110" s="15">
        <v>0</v>
      </c>
      <c r="O110" s="16">
        <v>0</v>
      </c>
      <c r="P110" s="17">
        <v>40.514749999856342</v>
      </c>
      <c r="Q110" s="17">
        <v>0</v>
      </c>
      <c r="R110" s="13"/>
      <c r="S110" s="13" t="s">
        <v>66</v>
      </c>
      <c r="T110" s="13" t="s">
        <v>419</v>
      </c>
      <c r="U110" s="13" t="s">
        <v>442</v>
      </c>
      <c r="V110" s="13" t="s">
        <v>549</v>
      </c>
      <c r="W110" s="14">
        <v>0</v>
      </c>
    </row>
    <row r="111" spans="11:23" customFormat="1" x14ac:dyDescent="0.2">
      <c r="K111" s="13" t="s">
        <v>124</v>
      </c>
      <c r="L111" s="13" t="s">
        <v>395</v>
      </c>
      <c r="M111" s="13" t="s">
        <v>602</v>
      </c>
      <c r="N111" s="15">
        <v>3</v>
      </c>
      <c r="O111" s="16">
        <v>0</v>
      </c>
      <c r="P111" s="17">
        <v>0</v>
      </c>
      <c r="Q111" s="17">
        <v>0</v>
      </c>
      <c r="R111" s="13"/>
      <c r="S111" s="13" t="s">
        <v>67</v>
      </c>
      <c r="T111" s="13" t="s">
        <v>609</v>
      </c>
      <c r="U111" s="13" t="s">
        <v>416</v>
      </c>
      <c r="V111" s="13" t="s">
        <v>549</v>
      </c>
      <c r="W111" s="14">
        <v>0</v>
      </c>
    </row>
    <row r="112" spans="11:23" customFormat="1" x14ac:dyDescent="0.2">
      <c r="K112" s="13" t="s">
        <v>124</v>
      </c>
      <c r="L112" s="13" t="s">
        <v>399</v>
      </c>
      <c r="M112" s="13" t="s">
        <v>400</v>
      </c>
      <c r="N112" s="15">
        <v>0</v>
      </c>
      <c r="O112" s="16">
        <v>0</v>
      </c>
      <c r="P112" s="17">
        <v>18.663800010698079</v>
      </c>
      <c r="Q112" s="17">
        <v>0</v>
      </c>
      <c r="R112" s="13"/>
      <c r="S112" s="13" t="s">
        <v>67</v>
      </c>
      <c r="T112" s="13" t="s">
        <v>528</v>
      </c>
      <c r="U112" s="13" t="s">
        <v>384</v>
      </c>
      <c r="V112" s="13" t="s">
        <v>549</v>
      </c>
      <c r="W112" s="14">
        <v>0</v>
      </c>
    </row>
    <row r="113" spans="11:23" customFormat="1" x14ac:dyDescent="0.2">
      <c r="K113" s="13" t="s">
        <v>124</v>
      </c>
      <c r="L113" s="13" t="s">
        <v>402</v>
      </c>
      <c r="M113" s="13" t="s">
        <v>403</v>
      </c>
      <c r="N113" s="15">
        <v>0</v>
      </c>
      <c r="O113" s="16">
        <v>0</v>
      </c>
      <c r="P113" s="17">
        <v>59.192399997966618</v>
      </c>
      <c r="Q113" s="17">
        <v>0</v>
      </c>
      <c r="R113" s="13"/>
      <c r="S113" s="13" t="s">
        <v>68</v>
      </c>
      <c r="T113" s="13" t="s">
        <v>419</v>
      </c>
      <c r="U113" s="13" t="s">
        <v>442</v>
      </c>
      <c r="V113" s="13" t="s">
        <v>549</v>
      </c>
      <c r="W113" s="14">
        <v>0</v>
      </c>
    </row>
    <row r="114" spans="11:23" customFormat="1" x14ac:dyDescent="0.2">
      <c r="K114" s="13" t="s">
        <v>124</v>
      </c>
      <c r="L114" s="13" t="s">
        <v>381</v>
      </c>
      <c r="M114" s="13" t="s">
        <v>382</v>
      </c>
      <c r="N114" s="15">
        <v>2</v>
      </c>
      <c r="O114" s="16">
        <v>0</v>
      </c>
      <c r="P114" s="17">
        <v>0</v>
      </c>
      <c r="Q114" s="17">
        <v>0</v>
      </c>
      <c r="R114" s="13"/>
      <c r="S114" s="13" t="s">
        <v>72</v>
      </c>
      <c r="T114" s="13" t="s">
        <v>404</v>
      </c>
      <c r="U114" s="13" t="s">
        <v>405</v>
      </c>
      <c r="V114" s="13" t="s">
        <v>549</v>
      </c>
      <c r="W114" s="14">
        <v>1.8</v>
      </c>
    </row>
    <row r="115" spans="11:23" customFormat="1" x14ac:dyDescent="0.2">
      <c r="K115" s="13" t="s">
        <v>124</v>
      </c>
      <c r="L115" s="13" t="s">
        <v>413</v>
      </c>
      <c r="M115" s="13" t="s">
        <v>428</v>
      </c>
      <c r="N115" s="15">
        <v>4</v>
      </c>
      <c r="O115" s="16">
        <v>0</v>
      </c>
      <c r="P115" s="17">
        <v>0</v>
      </c>
      <c r="Q115" s="17">
        <v>0</v>
      </c>
      <c r="R115" s="13"/>
      <c r="S115" s="13" t="s">
        <v>75</v>
      </c>
      <c r="T115" s="13" t="s">
        <v>613</v>
      </c>
      <c r="U115" s="13" t="s">
        <v>444</v>
      </c>
      <c r="V115" s="13" t="s">
        <v>549</v>
      </c>
      <c r="W115" s="14">
        <v>0</v>
      </c>
    </row>
    <row r="116" spans="11:23" customFormat="1" x14ac:dyDescent="0.2">
      <c r="K116" s="13" t="s">
        <v>124</v>
      </c>
      <c r="L116" s="13" t="s">
        <v>605</v>
      </c>
      <c r="M116" s="13" t="s">
        <v>429</v>
      </c>
      <c r="N116" s="15">
        <v>1</v>
      </c>
      <c r="O116" s="16">
        <v>0</v>
      </c>
      <c r="P116" s="17">
        <v>0</v>
      </c>
      <c r="Q116" s="17">
        <v>0</v>
      </c>
      <c r="R116" s="13"/>
      <c r="S116" s="13" t="s">
        <v>76</v>
      </c>
      <c r="T116" s="13" t="s">
        <v>404</v>
      </c>
      <c r="U116" s="13" t="s">
        <v>405</v>
      </c>
      <c r="V116" s="13" t="s">
        <v>549</v>
      </c>
      <c r="W116" s="14">
        <v>1.5</v>
      </c>
    </row>
    <row r="117" spans="11:23" customFormat="1" x14ac:dyDescent="0.2">
      <c r="K117" s="13" t="s">
        <v>124</v>
      </c>
      <c r="L117" s="13" t="s">
        <v>606</v>
      </c>
      <c r="M117" s="13" t="s">
        <v>430</v>
      </c>
      <c r="N117" s="15">
        <v>2</v>
      </c>
      <c r="O117" s="16">
        <v>0</v>
      </c>
      <c r="P117" s="17">
        <v>0</v>
      </c>
      <c r="Q117" s="17">
        <v>0</v>
      </c>
      <c r="R117" s="13"/>
      <c r="S117" s="13" t="s">
        <v>76</v>
      </c>
      <c r="T117" s="13" t="s">
        <v>404</v>
      </c>
      <c r="U117" s="13" t="s">
        <v>405</v>
      </c>
      <c r="V117" s="13" t="s">
        <v>553</v>
      </c>
      <c r="W117" s="14">
        <v>1.5</v>
      </c>
    </row>
    <row r="118" spans="11:23" customFormat="1" x14ac:dyDescent="0.2">
      <c r="K118" s="13" t="s">
        <v>124</v>
      </c>
      <c r="L118" s="13" t="s">
        <v>415</v>
      </c>
      <c r="M118" s="13" t="s">
        <v>412</v>
      </c>
      <c r="N118" s="15">
        <v>0</v>
      </c>
      <c r="O118" s="16">
        <v>0</v>
      </c>
      <c r="P118" s="17">
        <v>5.6057000017067882</v>
      </c>
      <c r="Q118" s="17">
        <v>0</v>
      </c>
      <c r="R118" s="13"/>
      <c r="S118" s="13" t="s">
        <v>76</v>
      </c>
      <c r="T118" s="13" t="s">
        <v>467</v>
      </c>
      <c r="U118" s="13" t="s">
        <v>422</v>
      </c>
      <c r="V118" s="13" t="s">
        <v>549</v>
      </c>
      <c r="W118" s="14">
        <v>0</v>
      </c>
    </row>
    <row r="119" spans="11:23" customFormat="1" x14ac:dyDescent="0.2">
      <c r="K119" s="13" t="s">
        <v>124</v>
      </c>
      <c r="L119" s="13" t="s">
        <v>609</v>
      </c>
      <c r="M119" s="13" t="s">
        <v>416</v>
      </c>
      <c r="N119" s="15">
        <v>0</v>
      </c>
      <c r="O119" s="16">
        <v>36.660152744058919</v>
      </c>
      <c r="P119" s="17">
        <v>0</v>
      </c>
      <c r="Q119" s="17">
        <v>0</v>
      </c>
      <c r="R119" s="13"/>
      <c r="S119" s="13" t="s">
        <v>86</v>
      </c>
      <c r="T119" s="13" t="s">
        <v>419</v>
      </c>
      <c r="U119" s="13" t="s">
        <v>442</v>
      </c>
      <c r="V119" s="13" t="s">
        <v>549</v>
      </c>
      <c r="W119" s="14">
        <v>0</v>
      </c>
    </row>
    <row r="120" spans="11:23" customFormat="1" x14ac:dyDescent="0.2">
      <c r="K120" s="13" t="s">
        <v>124</v>
      </c>
      <c r="L120" s="13" t="s">
        <v>421</v>
      </c>
      <c r="M120" s="13" t="s">
        <v>443</v>
      </c>
      <c r="N120" s="15">
        <v>1</v>
      </c>
      <c r="O120" s="16">
        <v>0</v>
      </c>
      <c r="P120" s="17">
        <v>0</v>
      </c>
      <c r="Q120" s="17">
        <v>0</v>
      </c>
      <c r="R120" s="13"/>
      <c r="S120" s="13" t="s">
        <v>89</v>
      </c>
      <c r="T120" s="13" t="s">
        <v>419</v>
      </c>
      <c r="U120" s="13" t="s">
        <v>442</v>
      </c>
      <c r="V120" s="13" t="s">
        <v>549</v>
      </c>
      <c r="W120" s="14">
        <v>0</v>
      </c>
    </row>
    <row r="121" spans="11:23" customFormat="1" x14ac:dyDescent="0.2">
      <c r="K121" s="13" t="s">
        <v>124</v>
      </c>
      <c r="L121" s="13" t="s">
        <v>614</v>
      </c>
      <c r="M121" s="13" t="s">
        <v>447</v>
      </c>
      <c r="N121" s="15">
        <v>1</v>
      </c>
      <c r="O121" s="16">
        <v>0</v>
      </c>
      <c r="P121" s="17">
        <v>0</v>
      </c>
      <c r="Q121" s="17">
        <v>0</v>
      </c>
      <c r="R121" s="13"/>
      <c r="S121" s="13" t="s">
        <v>95</v>
      </c>
      <c r="T121" s="13" t="s">
        <v>404</v>
      </c>
      <c r="U121" s="13" t="s">
        <v>405</v>
      </c>
      <c r="V121" s="13" t="s">
        <v>553</v>
      </c>
      <c r="W121" s="14">
        <v>1.2</v>
      </c>
    </row>
    <row r="122" spans="11:23" customFormat="1" x14ac:dyDescent="0.2">
      <c r="K122" s="13" t="s">
        <v>126</v>
      </c>
      <c r="L122" s="13" t="s">
        <v>389</v>
      </c>
      <c r="M122" s="13" t="s">
        <v>388</v>
      </c>
      <c r="N122" s="15">
        <v>0</v>
      </c>
      <c r="O122" s="16">
        <v>0</v>
      </c>
      <c r="P122" s="17">
        <v>212.05784998829449</v>
      </c>
      <c r="Q122" s="17">
        <v>0</v>
      </c>
      <c r="R122" s="13"/>
      <c r="S122" s="13" t="s">
        <v>96</v>
      </c>
      <c r="T122" s="13" t="s">
        <v>610</v>
      </c>
      <c r="U122" s="13" t="s">
        <v>418</v>
      </c>
      <c r="V122" s="13" t="s">
        <v>549</v>
      </c>
      <c r="W122" s="14">
        <v>0</v>
      </c>
    </row>
    <row r="123" spans="11:23" customFormat="1" x14ac:dyDescent="0.2">
      <c r="K123" s="13" t="s">
        <v>126</v>
      </c>
      <c r="L123" s="13" t="s">
        <v>391</v>
      </c>
      <c r="M123" s="13" t="s">
        <v>358</v>
      </c>
      <c r="N123" s="15">
        <v>0</v>
      </c>
      <c r="O123" s="16">
        <v>0</v>
      </c>
      <c r="P123" s="17">
        <v>512.65364999373742</v>
      </c>
      <c r="Q123" s="17">
        <v>0</v>
      </c>
      <c r="R123" s="13"/>
      <c r="S123" s="13" t="s">
        <v>96</v>
      </c>
      <c r="T123" s="13" t="s">
        <v>613</v>
      </c>
      <c r="U123" s="13" t="s">
        <v>444</v>
      </c>
      <c r="V123" s="13" t="s">
        <v>549</v>
      </c>
      <c r="W123" s="14">
        <v>0</v>
      </c>
    </row>
    <row r="124" spans="11:23" customFormat="1" x14ac:dyDescent="0.2">
      <c r="K124" s="13" t="s">
        <v>126</v>
      </c>
      <c r="L124" s="13" t="s">
        <v>486</v>
      </c>
      <c r="M124" s="13" t="s">
        <v>439</v>
      </c>
      <c r="N124" s="15">
        <v>0</v>
      </c>
      <c r="O124" s="16">
        <v>0</v>
      </c>
      <c r="P124" s="17">
        <v>6.3476499991335666</v>
      </c>
      <c r="Q124" s="17">
        <v>0</v>
      </c>
      <c r="R124" s="13"/>
      <c r="S124" s="13" t="s">
        <v>98</v>
      </c>
      <c r="T124" s="13" t="s">
        <v>528</v>
      </c>
      <c r="U124" s="13" t="s">
        <v>384</v>
      </c>
      <c r="V124" s="13" t="s">
        <v>549</v>
      </c>
      <c r="W124" s="14">
        <v>0</v>
      </c>
    </row>
    <row r="125" spans="11:23" customFormat="1" x14ac:dyDescent="0.2">
      <c r="K125" s="13" t="s">
        <v>126</v>
      </c>
      <c r="L125" s="13" t="s">
        <v>399</v>
      </c>
      <c r="M125" s="13" t="s">
        <v>400</v>
      </c>
      <c r="N125" s="15">
        <v>0</v>
      </c>
      <c r="O125" s="16">
        <v>0</v>
      </c>
      <c r="P125" s="17">
        <v>30.071850014993068</v>
      </c>
      <c r="Q125" s="17">
        <v>0</v>
      </c>
      <c r="R125" s="13"/>
      <c r="S125" s="13" t="s">
        <v>98</v>
      </c>
      <c r="T125" s="13" t="s">
        <v>613</v>
      </c>
      <c r="U125" s="13" t="s">
        <v>444</v>
      </c>
      <c r="V125" s="13" t="s">
        <v>549</v>
      </c>
      <c r="W125" s="14">
        <v>0</v>
      </c>
    </row>
    <row r="126" spans="11:23" customFormat="1" x14ac:dyDescent="0.2">
      <c r="K126" s="13" t="s">
        <v>126</v>
      </c>
      <c r="L126" s="13" t="s">
        <v>401</v>
      </c>
      <c r="M126" s="13" t="s">
        <v>360</v>
      </c>
      <c r="N126" s="15">
        <v>0</v>
      </c>
      <c r="O126" s="16">
        <v>0</v>
      </c>
      <c r="P126" s="17">
        <v>211.02560000309018</v>
      </c>
      <c r="Q126" s="17">
        <v>0</v>
      </c>
      <c r="R126" s="13"/>
      <c r="S126" s="13" t="s">
        <v>99</v>
      </c>
      <c r="T126" s="13" t="s">
        <v>404</v>
      </c>
      <c r="U126" s="13" t="s">
        <v>405</v>
      </c>
      <c r="V126" s="13" t="s">
        <v>549</v>
      </c>
      <c r="W126" s="14">
        <v>1.8</v>
      </c>
    </row>
    <row r="127" spans="11:23" customFormat="1" x14ac:dyDescent="0.2">
      <c r="K127" s="13" t="s">
        <v>126</v>
      </c>
      <c r="L127" s="13" t="s">
        <v>448</v>
      </c>
      <c r="M127" s="13" t="s">
        <v>366</v>
      </c>
      <c r="N127" s="15">
        <v>0</v>
      </c>
      <c r="O127" s="16">
        <v>0</v>
      </c>
      <c r="P127" s="17">
        <v>198.29814998246147</v>
      </c>
      <c r="Q127" s="17">
        <v>0</v>
      </c>
      <c r="R127" s="13"/>
      <c r="S127" s="13" t="s">
        <v>101</v>
      </c>
      <c r="T127" s="13" t="s">
        <v>528</v>
      </c>
      <c r="U127" s="13" t="s">
        <v>384</v>
      </c>
      <c r="V127" s="13" t="s">
        <v>549</v>
      </c>
      <c r="W127" s="14">
        <v>0</v>
      </c>
    </row>
    <row r="128" spans="11:23" customFormat="1" x14ac:dyDescent="0.2">
      <c r="K128" s="13" t="s">
        <v>126</v>
      </c>
      <c r="L128" s="13" t="s">
        <v>404</v>
      </c>
      <c r="M128" s="13" t="s">
        <v>405</v>
      </c>
      <c r="N128" s="15">
        <v>0</v>
      </c>
      <c r="O128" s="16">
        <v>0</v>
      </c>
      <c r="P128" s="17">
        <v>32.644650003994144</v>
      </c>
      <c r="Q128" s="17">
        <v>145.01526691167737</v>
      </c>
      <c r="R128" s="13"/>
      <c r="S128" s="13" t="s">
        <v>102</v>
      </c>
      <c r="T128" s="13" t="s">
        <v>467</v>
      </c>
      <c r="U128" s="13" t="s">
        <v>422</v>
      </c>
      <c r="V128" s="13" t="s">
        <v>549</v>
      </c>
      <c r="W128" s="14">
        <v>0</v>
      </c>
    </row>
    <row r="129" spans="11:23" customFormat="1" x14ac:dyDescent="0.2">
      <c r="K129" s="13" t="s">
        <v>128</v>
      </c>
      <c r="L129" s="13" t="s">
        <v>389</v>
      </c>
      <c r="M129" s="13" t="s">
        <v>388</v>
      </c>
      <c r="N129" s="15">
        <v>0</v>
      </c>
      <c r="O129" s="16">
        <v>0</v>
      </c>
      <c r="P129" s="17">
        <v>176.01595001019226</v>
      </c>
      <c r="Q129" s="17">
        <v>0</v>
      </c>
      <c r="R129" s="13"/>
      <c r="S129" s="13" t="s">
        <v>103</v>
      </c>
      <c r="T129" s="13" t="s">
        <v>613</v>
      </c>
      <c r="U129" s="13" t="s">
        <v>444</v>
      </c>
      <c r="V129" s="13" t="s">
        <v>549</v>
      </c>
      <c r="W129" s="14">
        <v>0</v>
      </c>
    </row>
    <row r="130" spans="11:23" customFormat="1" x14ac:dyDescent="0.2">
      <c r="K130" s="13" t="s">
        <v>128</v>
      </c>
      <c r="L130" s="13" t="s">
        <v>486</v>
      </c>
      <c r="M130" s="13" t="s">
        <v>439</v>
      </c>
      <c r="N130" s="15">
        <v>0</v>
      </c>
      <c r="O130" s="16">
        <v>0</v>
      </c>
      <c r="P130" s="17">
        <v>2.8762500005273615</v>
      </c>
      <c r="Q130" s="17">
        <v>0</v>
      </c>
      <c r="R130" s="13"/>
      <c r="S130" s="13" t="s">
        <v>104</v>
      </c>
      <c r="T130" s="13" t="s">
        <v>613</v>
      </c>
      <c r="U130" s="13" t="s">
        <v>444</v>
      </c>
      <c r="V130" s="13" t="s">
        <v>549</v>
      </c>
      <c r="W130" s="14">
        <v>0</v>
      </c>
    </row>
    <row r="131" spans="11:23" customFormat="1" x14ac:dyDescent="0.2">
      <c r="K131" s="13" t="s">
        <v>128</v>
      </c>
      <c r="L131" s="13" t="s">
        <v>440</v>
      </c>
      <c r="M131" s="13" t="s">
        <v>441</v>
      </c>
      <c r="N131" s="15">
        <v>1</v>
      </c>
      <c r="O131" s="16">
        <v>0</v>
      </c>
      <c r="P131" s="17">
        <v>0</v>
      </c>
      <c r="Q131" s="17">
        <v>0</v>
      </c>
      <c r="R131" s="13"/>
      <c r="S131" s="13" t="s">
        <v>105</v>
      </c>
      <c r="T131" s="13" t="s">
        <v>404</v>
      </c>
      <c r="U131" s="13" t="s">
        <v>405</v>
      </c>
      <c r="V131" s="13" t="s">
        <v>549</v>
      </c>
      <c r="W131" s="14">
        <v>1.5</v>
      </c>
    </row>
    <row r="132" spans="11:23" customFormat="1" x14ac:dyDescent="0.2">
      <c r="K132" s="13" t="s">
        <v>128</v>
      </c>
      <c r="L132" s="13" t="s">
        <v>394</v>
      </c>
      <c r="M132" s="13" t="s">
        <v>359</v>
      </c>
      <c r="N132" s="15">
        <v>0</v>
      </c>
      <c r="O132" s="16">
        <v>0</v>
      </c>
      <c r="P132" s="17">
        <v>8.8132499948011258</v>
      </c>
      <c r="Q132" s="17">
        <v>0</v>
      </c>
      <c r="R132" s="13"/>
      <c r="S132" s="13" t="s">
        <v>105</v>
      </c>
      <c r="T132" s="13" t="s">
        <v>467</v>
      </c>
      <c r="U132" s="13" t="s">
        <v>422</v>
      </c>
      <c r="V132" s="13" t="s">
        <v>549</v>
      </c>
      <c r="W132" s="14">
        <v>0</v>
      </c>
    </row>
    <row r="133" spans="11:23" customFormat="1" x14ac:dyDescent="0.2">
      <c r="K133" s="13" t="s">
        <v>128</v>
      </c>
      <c r="L133" s="13" t="s">
        <v>399</v>
      </c>
      <c r="M133" s="13" t="s">
        <v>400</v>
      </c>
      <c r="N133" s="15">
        <v>0</v>
      </c>
      <c r="O133" s="16">
        <v>0</v>
      </c>
      <c r="P133" s="17">
        <v>45.037499995487742</v>
      </c>
      <c r="Q133" s="17">
        <v>0</v>
      </c>
      <c r="R133" s="13"/>
      <c r="S133" s="13" t="s">
        <v>105</v>
      </c>
      <c r="T133" s="13" t="s">
        <v>528</v>
      </c>
      <c r="U133" s="13" t="s">
        <v>384</v>
      </c>
      <c r="V133" s="13" t="s">
        <v>549</v>
      </c>
      <c r="W133" s="14">
        <v>0</v>
      </c>
    </row>
    <row r="134" spans="11:23" customFormat="1" x14ac:dyDescent="0.2">
      <c r="K134" s="13" t="s">
        <v>128</v>
      </c>
      <c r="L134" s="13" t="s">
        <v>401</v>
      </c>
      <c r="M134" s="13" t="s">
        <v>360</v>
      </c>
      <c r="N134" s="15">
        <v>0</v>
      </c>
      <c r="O134" s="16">
        <v>0</v>
      </c>
      <c r="P134" s="17">
        <v>344.91644996321361</v>
      </c>
      <c r="Q134" s="17">
        <v>0</v>
      </c>
      <c r="R134" s="13"/>
      <c r="S134" s="13" t="s">
        <v>105</v>
      </c>
      <c r="T134" s="13" t="s">
        <v>613</v>
      </c>
      <c r="U134" s="13" t="s">
        <v>444</v>
      </c>
      <c r="V134" s="13" t="s">
        <v>549</v>
      </c>
      <c r="W134" s="14">
        <v>0</v>
      </c>
    </row>
    <row r="135" spans="11:23" customFormat="1" x14ac:dyDescent="0.2">
      <c r="K135" s="13" t="s">
        <v>128</v>
      </c>
      <c r="L135" s="13" t="s">
        <v>402</v>
      </c>
      <c r="M135" s="13" t="s">
        <v>403</v>
      </c>
      <c r="N135" s="15">
        <v>0</v>
      </c>
      <c r="O135" s="16">
        <v>0</v>
      </c>
      <c r="P135" s="17">
        <v>675.07449999073765</v>
      </c>
      <c r="Q135" s="17">
        <v>0</v>
      </c>
      <c r="R135" s="13"/>
      <c r="S135" s="13" t="s">
        <v>575</v>
      </c>
      <c r="T135" s="13" t="s">
        <v>404</v>
      </c>
      <c r="U135" s="13" t="s">
        <v>405</v>
      </c>
      <c r="V135" s="13" t="s">
        <v>549</v>
      </c>
      <c r="W135" s="14">
        <v>1</v>
      </c>
    </row>
    <row r="136" spans="11:23" customFormat="1" x14ac:dyDescent="0.2">
      <c r="K136" s="13" t="s">
        <v>128</v>
      </c>
      <c r="L136" s="13" t="s">
        <v>404</v>
      </c>
      <c r="M136" s="13" t="s">
        <v>405</v>
      </c>
      <c r="N136" s="15">
        <v>0</v>
      </c>
      <c r="O136" s="16">
        <v>0</v>
      </c>
      <c r="P136" s="17">
        <v>48.17555001315533</v>
      </c>
      <c r="Q136" s="17">
        <v>233.03163820073843</v>
      </c>
      <c r="R136" s="13"/>
      <c r="S136" s="13" t="s">
        <v>111</v>
      </c>
      <c r="T136" s="13" t="s">
        <v>467</v>
      </c>
      <c r="U136" s="13" t="s">
        <v>422</v>
      </c>
      <c r="V136" s="13" t="s">
        <v>549</v>
      </c>
      <c r="W136" s="14">
        <v>0</v>
      </c>
    </row>
    <row r="137" spans="11:23" customFormat="1" x14ac:dyDescent="0.2">
      <c r="K137" s="13" t="s">
        <v>128</v>
      </c>
      <c r="L137" s="13" t="s">
        <v>406</v>
      </c>
      <c r="M137" s="13" t="s">
        <v>361</v>
      </c>
      <c r="N137" s="15">
        <v>0</v>
      </c>
      <c r="O137" s="16">
        <v>0</v>
      </c>
      <c r="P137" s="17">
        <v>6.7973999961086315</v>
      </c>
      <c r="Q137" s="17">
        <v>19.395217296181535</v>
      </c>
      <c r="R137" s="13"/>
      <c r="S137" s="13" t="s">
        <v>577</v>
      </c>
      <c r="T137" s="13" t="s">
        <v>404</v>
      </c>
      <c r="U137" s="13" t="s">
        <v>405</v>
      </c>
      <c r="V137" s="13" t="s">
        <v>549</v>
      </c>
      <c r="W137" s="14">
        <v>1</v>
      </c>
    </row>
    <row r="138" spans="11:23" customFormat="1" x14ac:dyDescent="0.2">
      <c r="K138" s="13" t="s">
        <v>128</v>
      </c>
      <c r="L138" s="13" t="s">
        <v>381</v>
      </c>
      <c r="M138" s="13" t="s">
        <v>382</v>
      </c>
      <c r="N138" s="15">
        <v>6</v>
      </c>
      <c r="O138" s="16">
        <v>0</v>
      </c>
      <c r="P138" s="17">
        <v>0</v>
      </c>
      <c r="Q138" s="17">
        <v>0</v>
      </c>
      <c r="R138" s="13"/>
      <c r="S138" s="13" t="s">
        <v>577</v>
      </c>
      <c r="T138" s="13" t="s">
        <v>419</v>
      </c>
      <c r="U138" s="13" t="s">
        <v>442</v>
      </c>
      <c r="V138" s="13" t="s">
        <v>549</v>
      </c>
      <c r="W138" s="14">
        <v>0</v>
      </c>
    </row>
    <row r="139" spans="11:23" customFormat="1" x14ac:dyDescent="0.2">
      <c r="K139" s="13" t="s">
        <v>128</v>
      </c>
      <c r="L139" s="13" t="s">
        <v>411</v>
      </c>
      <c r="M139" s="13" t="s">
        <v>362</v>
      </c>
      <c r="N139" s="15">
        <v>0</v>
      </c>
      <c r="O139" s="16">
        <v>15.958011031371331</v>
      </c>
      <c r="P139" s="17">
        <v>0</v>
      </c>
      <c r="Q139" s="17">
        <v>0</v>
      </c>
      <c r="R139" s="13"/>
      <c r="S139" s="13" t="s">
        <v>113</v>
      </c>
      <c r="T139" s="13" t="s">
        <v>395</v>
      </c>
      <c r="U139" s="13" t="s">
        <v>602</v>
      </c>
      <c r="V139" s="13" t="s">
        <v>549</v>
      </c>
      <c r="W139" s="14">
        <v>0</v>
      </c>
    </row>
    <row r="140" spans="11:23" customFormat="1" x14ac:dyDescent="0.2">
      <c r="K140" s="13" t="s">
        <v>128</v>
      </c>
      <c r="L140" s="13" t="s">
        <v>607</v>
      </c>
      <c r="M140" s="13" t="s">
        <v>431</v>
      </c>
      <c r="N140" s="15">
        <v>4</v>
      </c>
      <c r="O140" s="16">
        <v>0</v>
      </c>
      <c r="P140" s="17">
        <v>0</v>
      </c>
      <c r="Q140" s="17">
        <v>0</v>
      </c>
      <c r="R140" s="13"/>
      <c r="S140" s="13" t="s">
        <v>132</v>
      </c>
      <c r="T140" s="13" t="s">
        <v>404</v>
      </c>
      <c r="U140" s="13" t="s">
        <v>405</v>
      </c>
      <c r="V140" s="13" t="s">
        <v>549</v>
      </c>
      <c r="W140" s="14">
        <v>1</v>
      </c>
    </row>
    <row r="141" spans="11:23" customFormat="1" x14ac:dyDescent="0.2">
      <c r="K141" s="13" t="s">
        <v>128</v>
      </c>
      <c r="L141" s="13" t="s">
        <v>415</v>
      </c>
      <c r="M141" s="13" t="s">
        <v>412</v>
      </c>
      <c r="N141" s="15">
        <v>0</v>
      </c>
      <c r="O141" s="16">
        <v>0</v>
      </c>
      <c r="P141" s="17">
        <v>1.86745000004007</v>
      </c>
      <c r="Q141" s="17">
        <v>0</v>
      </c>
      <c r="R141" s="13"/>
      <c r="S141" s="13" t="s">
        <v>132</v>
      </c>
      <c r="T141" s="13" t="s">
        <v>404</v>
      </c>
      <c r="U141" s="13" t="s">
        <v>405</v>
      </c>
      <c r="V141" s="13" t="s">
        <v>553</v>
      </c>
      <c r="W141" s="14">
        <v>1.2</v>
      </c>
    </row>
    <row r="142" spans="11:23" customFormat="1" x14ac:dyDescent="0.2">
      <c r="K142" s="13" t="s">
        <v>128</v>
      </c>
      <c r="L142" s="13" t="s">
        <v>609</v>
      </c>
      <c r="M142" s="13" t="s">
        <v>416</v>
      </c>
      <c r="N142" s="15">
        <v>0</v>
      </c>
      <c r="O142" s="16">
        <v>41.988407415931277</v>
      </c>
      <c r="P142" s="17">
        <v>0</v>
      </c>
      <c r="Q142" s="17">
        <v>0</v>
      </c>
      <c r="R142" s="13"/>
      <c r="S142" s="13" t="s">
        <v>132</v>
      </c>
      <c r="T142" s="13" t="s">
        <v>406</v>
      </c>
      <c r="U142" s="13" t="s">
        <v>361</v>
      </c>
      <c r="V142" s="13" t="s">
        <v>549</v>
      </c>
      <c r="W142" s="14">
        <v>2</v>
      </c>
    </row>
    <row r="143" spans="11:23" customFormat="1" x14ac:dyDescent="0.2">
      <c r="K143" s="13" t="s">
        <v>128</v>
      </c>
      <c r="L143" s="13" t="s">
        <v>467</v>
      </c>
      <c r="M143" s="13" t="s">
        <v>422</v>
      </c>
      <c r="N143" s="15">
        <v>0</v>
      </c>
      <c r="O143" s="16">
        <v>18.62947292793578</v>
      </c>
      <c r="P143" s="17">
        <v>0</v>
      </c>
      <c r="Q143" s="17">
        <v>0</v>
      </c>
      <c r="R143" s="13"/>
      <c r="S143" s="13" t="s">
        <v>132</v>
      </c>
      <c r="T143" s="13" t="s">
        <v>467</v>
      </c>
      <c r="U143" s="13" t="s">
        <v>422</v>
      </c>
      <c r="V143" s="13" t="s">
        <v>549</v>
      </c>
      <c r="W143" s="14">
        <v>0</v>
      </c>
    </row>
    <row r="144" spans="11:23" customFormat="1" x14ac:dyDescent="0.2">
      <c r="K144" s="13" t="s">
        <v>130</v>
      </c>
      <c r="L144" s="13" t="s">
        <v>435</v>
      </c>
      <c r="M144" s="13" t="s">
        <v>364</v>
      </c>
      <c r="N144" s="15">
        <v>0</v>
      </c>
      <c r="O144" s="16">
        <v>0</v>
      </c>
      <c r="P144" s="17">
        <v>26.511350000012989</v>
      </c>
      <c r="Q144" s="17">
        <v>0</v>
      </c>
      <c r="R144" s="13"/>
      <c r="S144" s="13" t="s">
        <v>132</v>
      </c>
      <c r="T144" s="13" t="s">
        <v>467</v>
      </c>
      <c r="U144" s="13" t="s">
        <v>422</v>
      </c>
      <c r="V144" s="13" t="s">
        <v>552</v>
      </c>
      <c r="W144" s="14">
        <v>1</v>
      </c>
    </row>
    <row r="145" spans="11:23" customFormat="1" x14ac:dyDescent="0.2">
      <c r="K145" s="13" t="s">
        <v>130</v>
      </c>
      <c r="L145" s="13" t="s">
        <v>387</v>
      </c>
      <c r="M145" s="13" t="s">
        <v>386</v>
      </c>
      <c r="N145" s="15">
        <v>0</v>
      </c>
      <c r="O145" s="16">
        <v>0</v>
      </c>
      <c r="P145" s="17">
        <v>2328.7558499803044</v>
      </c>
      <c r="Q145" s="17">
        <v>0</v>
      </c>
      <c r="R145" s="13"/>
      <c r="S145" s="13" t="s">
        <v>132</v>
      </c>
      <c r="T145" s="13" t="s">
        <v>528</v>
      </c>
      <c r="U145" s="13" t="s">
        <v>384</v>
      </c>
      <c r="V145" s="13" t="s">
        <v>549</v>
      </c>
      <c r="W145" s="14">
        <v>4</v>
      </c>
    </row>
    <row r="146" spans="11:23" customFormat="1" x14ac:dyDescent="0.2">
      <c r="K146" s="13" t="s">
        <v>130</v>
      </c>
      <c r="L146" s="13" t="s">
        <v>389</v>
      </c>
      <c r="M146" s="13" t="s">
        <v>388</v>
      </c>
      <c r="N146" s="15">
        <v>0</v>
      </c>
      <c r="O146" s="16">
        <v>0</v>
      </c>
      <c r="P146" s="17">
        <v>1184.2337625249268</v>
      </c>
      <c r="Q146" s="17">
        <v>0</v>
      </c>
      <c r="R146" s="13"/>
      <c r="S146" s="13" t="s">
        <v>132</v>
      </c>
      <c r="T146" s="13" t="s">
        <v>528</v>
      </c>
      <c r="U146" s="13" t="s">
        <v>384</v>
      </c>
      <c r="V146" s="13" t="s">
        <v>549</v>
      </c>
      <c r="W146" s="14">
        <v>0</v>
      </c>
    </row>
    <row r="147" spans="11:23" customFormat="1" x14ac:dyDescent="0.2">
      <c r="K147" s="13" t="s">
        <v>130</v>
      </c>
      <c r="L147" s="13" t="s">
        <v>542</v>
      </c>
      <c r="M147" s="13" t="s">
        <v>390</v>
      </c>
      <c r="N147" s="15">
        <v>0</v>
      </c>
      <c r="O147" s="16">
        <v>0</v>
      </c>
      <c r="P147" s="17">
        <v>181.22249998933228</v>
      </c>
      <c r="Q147" s="17">
        <v>0</v>
      </c>
      <c r="R147" s="13"/>
      <c r="S147" s="13" t="s">
        <v>132</v>
      </c>
      <c r="T147" s="13" t="s">
        <v>528</v>
      </c>
      <c r="U147" s="13" t="s">
        <v>384</v>
      </c>
      <c r="V147" s="13" t="s">
        <v>553</v>
      </c>
      <c r="W147" s="14">
        <v>1.2</v>
      </c>
    </row>
    <row r="148" spans="11:23" customFormat="1" x14ac:dyDescent="0.2">
      <c r="K148" s="13" t="s">
        <v>130</v>
      </c>
      <c r="L148" s="13" t="s">
        <v>392</v>
      </c>
      <c r="M148" s="13" t="s">
        <v>437</v>
      </c>
      <c r="N148" s="15">
        <v>0</v>
      </c>
      <c r="O148" s="16">
        <v>0</v>
      </c>
      <c r="P148" s="17">
        <v>158.52369999411809</v>
      </c>
      <c r="Q148" s="17">
        <v>0</v>
      </c>
      <c r="R148" s="13"/>
      <c r="S148" s="13" t="s">
        <v>132</v>
      </c>
      <c r="T148" s="13" t="s">
        <v>528</v>
      </c>
      <c r="U148" s="13" t="s">
        <v>384</v>
      </c>
      <c r="V148" s="13" t="s">
        <v>550</v>
      </c>
      <c r="W148" s="14">
        <v>1.9</v>
      </c>
    </row>
    <row r="149" spans="11:23" customFormat="1" x14ac:dyDescent="0.2">
      <c r="K149" s="13" t="s">
        <v>130</v>
      </c>
      <c r="L149" s="13" t="s">
        <v>440</v>
      </c>
      <c r="M149" s="13" t="s">
        <v>441</v>
      </c>
      <c r="N149" s="15">
        <v>3</v>
      </c>
      <c r="O149" s="16">
        <v>0</v>
      </c>
      <c r="P149" s="17">
        <v>0</v>
      </c>
      <c r="Q149" s="17">
        <v>0</v>
      </c>
      <c r="R149" s="13"/>
      <c r="S149" s="13" t="s">
        <v>132</v>
      </c>
      <c r="T149" s="13" t="s">
        <v>528</v>
      </c>
      <c r="U149" s="13" t="s">
        <v>384</v>
      </c>
      <c r="V149" s="13" t="s">
        <v>551</v>
      </c>
      <c r="W149" s="14">
        <v>2.5</v>
      </c>
    </row>
    <row r="150" spans="11:23" customFormat="1" x14ac:dyDescent="0.2">
      <c r="K150" s="13" t="s">
        <v>130</v>
      </c>
      <c r="L150" s="13" t="s">
        <v>394</v>
      </c>
      <c r="M150" s="13" t="s">
        <v>359</v>
      </c>
      <c r="N150" s="15">
        <v>0</v>
      </c>
      <c r="O150" s="16">
        <v>0</v>
      </c>
      <c r="P150" s="17">
        <v>3.434350001653633</v>
      </c>
      <c r="Q150" s="17">
        <v>0</v>
      </c>
      <c r="R150" s="13"/>
      <c r="S150" s="13" t="s">
        <v>132</v>
      </c>
      <c r="T150" s="13" t="s">
        <v>528</v>
      </c>
      <c r="U150" s="13" t="s">
        <v>384</v>
      </c>
      <c r="V150" s="13" t="s">
        <v>552</v>
      </c>
      <c r="W150" s="14">
        <v>1</v>
      </c>
    </row>
    <row r="151" spans="11:23" customFormat="1" x14ac:dyDescent="0.2">
      <c r="K151" s="13" t="s">
        <v>130</v>
      </c>
      <c r="L151" s="13" t="s">
        <v>397</v>
      </c>
      <c r="M151" s="13" t="s">
        <v>398</v>
      </c>
      <c r="N151" s="15">
        <v>0</v>
      </c>
      <c r="O151" s="16">
        <v>0</v>
      </c>
      <c r="P151" s="17">
        <v>184.62470002880639</v>
      </c>
      <c r="Q151" s="17">
        <v>0</v>
      </c>
      <c r="R151" s="13"/>
      <c r="S151" s="13" t="s">
        <v>135</v>
      </c>
      <c r="T151" s="13" t="s">
        <v>404</v>
      </c>
      <c r="U151" s="13" t="s">
        <v>405</v>
      </c>
      <c r="V151" s="13" t="s">
        <v>549</v>
      </c>
      <c r="W151" s="14">
        <v>1.8</v>
      </c>
    </row>
    <row r="152" spans="11:23" customFormat="1" x14ac:dyDescent="0.2">
      <c r="K152" s="13" t="s">
        <v>130</v>
      </c>
      <c r="L152" s="13" t="s">
        <v>399</v>
      </c>
      <c r="M152" s="13" t="s">
        <v>400</v>
      </c>
      <c r="N152" s="15">
        <v>0</v>
      </c>
      <c r="O152" s="16">
        <v>0</v>
      </c>
      <c r="P152" s="17">
        <v>11.838250003989785</v>
      </c>
      <c r="Q152" s="17">
        <v>0</v>
      </c>
      <c r="R152" s="13"/>
      <c r="S152" s="13" t="s">
        <v>135</v>
      </c>
      <c r="T152" s="13" t="s">
        <v>406</v>
      </c>
      <c r="U152" s="13" t="s">
        <v>361</v>
      </c>
      <c r="V152" s="13" t="s">
        <v>549</v>
      </c>
      <c r="W152" s="14">
        <v>0</v>
      </c>
    </row>
    <row r="153" spans="11:23" customFormat="1" x14ac:dyDescent="0.2">
      <c r="K153" s="13" t="s">
        <v>130</v>
      </c>
      <c r="L153" s="13" t="s">
        <v>402</v>
      </c>
      <c r="M153" s="13" t="s">
        <v>403</v>
      </c>
      <c r="N153" s="15">
        <v>0</v>
      </c>
      <c r="O153" s="16">
        <v>0</v>
      </c>
      <c r="P153" s="17">
        <v>8201.3824998608306</v>
      </c>
      <c r="Q153" s="17">
        <v>0</v>
      </c>
      <c r="R153" s="13"/>
      <c r="S153" s="13" t="s">
        <v>135</v>
      </c>
      <c r="T153" s="13" t="s">
        <v>406</v>
      </c>
      <c r="U153" s="13" t="s">
        <v>361</v>
      </c>
      <c r="V153" s="13" t="s">
        <v>549</v>
      </c>
      <c r="W153" s="14">
        <v>1</v>
      </c>
    </row>
    <row r="154" spans="11:23" customFormat="1" x14ac:dyDescent="0.2">
      <c r="K154" s="13" t="s">
        <v>130</v>
      </c>
      <c r="L154" s="13" t="s">
        <v>448</v>
      </c>
      <c r="M154" s="13" t="s">
        <v>366</v>
      </c>
      <c r="N154" s="15">
        <v>0</v>
      </c>
      <c r="O154" s="16">
        <v>0</v>
      </c>
      <c r="P154" s="17">
        <v>591.80535003508646</v>
      </c>
      <c r="Q154" s="17">
        <v>0</v>
      </c>
      <c r="R154" s="13"/>
      <c r="S154" s="13" t="s">
        <v>135</v>
      </c>
      <c r="T154" s="13" t="s">
        <v>609</v>
      </c>
      <c r="U154" s="13" t="s">
        <v>416</v>
      </c>
      <c r="V154" s="13" t="s">
        <v>549</v>
      </c>
      <c r="W154" s="14">
        <v>0</v>
      </c>
    </row>
    <row r="155" spans="11:23" customFormat="1" x14ac:dyDescent="0.2">
      <c r="K155" s="13" t="s">
        <v>130</v>
      </c>
      <c r="L155" s="13" t="s">
        <v>404</v>
      </c>
      <c r="M155" s="13" t="s">
        <v>405</v>
      </c>
      <c r="N155" s="15">
        <v>0</v>
      </c>
      <c r="O155" s="16">
        <v>0</v>
      </c>
      <c r="P155" s="17">
        <v>552.79614995007785</v>
      </c>
      <c r="Q155" s="17">
        <v>1848.9495515771409</v>
      </c>
      <c r="R155" s="13"/>
      <c r="S155" s="13" t="s">
        <v>135</v>
      </c>
      <c r="T155" s="13" t="s">
        <v>622</v>
      </c>
      <c r="U155" s="13" t="s">
        <v>524</v>
      </c>
      <c r="V155" s="13" t="s">
        <v>549</v>
      </c>
      <c r="W155" s="14">
        <v>0</v>
      </c>
    </row>
    <row r="156" spans="11:23" customFormat="1" x14ac:dyDescent="0.2">
      <c r="K156" s="13" t="s">
        <v>130</v>
      </c>
      <c r="L156" s="13" t="s">
        <v>381</v>
      </c>
      <c r="M156" s="13" t="s">
        <v>382</v>
      </c>
      <c r="N156" s="15">
        <v>47</v>
      </c>
      <c r="O156" s="16">
        <v>0</v>
      </c>
      <c r="P156" s="17">
        <v>0</v>
      </c>
      <c r="Q156" s="17">
        <v>0</v>
      </c>
      <c r="R156" s="13"/>
      <c r="S156" s="13" t="s">
        <v>135</v>
      </c>
      <c r="T156" s="13" t="s">
        <v>467</v>
      </c>
      <c r="U156" s="13" t="s">
        <v>422</v>
      </c>
      <c r="V156" s="13" t="s">
        <v>549</v>
      </c>
      <c r="W156" s="14">
        <v>0</v>
      </c>
    </row>
    <row r="157" spans="11:23" customFormat="1" x14ac:dyDescent="0.2">
      <c r="K157" s="13" t="s">
        <v>130</v>
      </c>
      <c r="L157" s="13" t="s">
        <v>407</v>
      </c>
      <c r="M157" s="13" t="s">
        <v>408</v>
      </c>
      <c r="N157" s="15">
        <v>87</v>
      </c>
      <c r="O157" s="16">
        <v>0</v>
      </c>
      <c r="P157" s="17">
        <v>0</v>
      </c>
      <c r="Q157" s="17">
        <v>0</v>
      </c>
      <c r="R157" s="13"/>
      <c r="S157" s="13" t="s">
        <v>135</v>
      </c>
      <c r="T157" s="13" t="s">
        <v>467</v>
      </c>
      <c r="U157" s="13" t="s">
        <v>422</v>
      </c>
      <c r="V157" s="13" t="s">
        <v>553</v>
      </c>
      <c r="W157" s="14">
        <v>0</v>
      </c>
    </row>
    <row r="158" spans="11:23" customFormat="1" x14ac:dyDescent="0.2">
      <c r="K158" s="13" t="s">
        <v>130</v>
      </c>
      <c r="L158" s="13" t="s">
        <v>411</v>
      </c>
      <c r="M158" s="13" t="s">
        <v>362</v>
      </c>
      <c r="N158" s="15">
        <v>2</v>
      </c>
      <c r="O158" s="16">
        <v>0</v>
      </c>
      <c r="P158" s="17">
        <v>0</v>
      </c>
      <c r="Q158" s="17">
        <v>0</v>
      </c>
      <c r="R158" s="13"/>
      <c r="S158" s="13" t="s">
        <v>135</v>
      </c>
      <c r="T158" s="13" t="s">
        <v>528</v>
      </c>
      <c r="U158" s="13" t="s">
        <v>384</v>
      </c>
      <c r="V158" s="13" t="s">
        <v>549</v>
      </c>
      <c r="W158" s="14">
        <v>0</v>
      </c>
    </row>
    <row r="159" spans="11:23" customFormat="1" x14ac:dyDescent="0.2">
      <c r="K159" s="13" t="s">
        <v>130</v>
      </c>
      <c r="L159" s="13" t="s">
        <v>413</v>
      </c>
      <c r="M159" s="13" t="s">
        <v>428</v>
      </c>
      <c r="N159" s="15">
        <v>3</v>
      </c>
      <c r="O159" s="16">
        <v>0</v>
      </c>
      <c r="P159" s="17">
        <v>0</v>
      </c>
      <c r="Q159" s="17">
        <v>0</v>
      </c>
      <c r="R159" s="13"/>
      <c r="S159" s="13" t="s">
        <v>135</v>
      </c>
      <c r="T159" s="13" t="s">
        <v>528</v>
      </c>
      <c r="U159" s="13" t="s">
        <v>384</v>
      </c>
      <c r="V159" s="13" t="s">
        <v>553</v>
      </c>
      <c r="W159" s="14">
        <v>0</v>
      </c>
    </row>
    <row r="160" spans="11:23" customFormat="1" x14ac:dyDescent="0.2">
      <c r="K160" s="13" t="s">
        <v>130</v>
      </c>
      <c r="L160" s="13" t="s">
        <v>603</v>
      </c>
      <c r="M160" s="13" t="s">
        <v>385</v>
      </c>
      <c r="N160" s="15">
        <v>0</v>
      </c>
      <c r="O160" s="16">
        <v>51.865273239990891</v>
      </c>
      <c r="P160" s="17">
        <v>0</v>
      </c>
      <c r="Q160" s="17">
        <v>0</v>
      </c>
      <c r="R160" s="13"/>
      <c r="S160" s="13" t="s">
        <v>135</v>
      </c>
      <c r="T160" s="13" t="s">
        <v>528</v>
      </c>
      <c r="U160" s="13" t="s">
        <v>384</v>
      </c>
      <c r="V160" s="13" t="s">
        <v>550</v>
      </c>
      <c r="W160" s="14">
        <v>0</v>
      </c>
    </row>
    <row r="161" spans="11:23" customFormat="1" x14ac:dyDescent="0.2">
      <c r="K161" s="13" t="s">
        <v>130</v>
      </c>
      <c r="L161" s="13" t="s">
        <v>605</v>
      </c>
      <c r="M161" s="13" t="s">
        <v>429</v>
      </c>
      <c r="N161" s="15">
        <v>0</v>
      </c>
      <c r="O161" s="16">
        <v>9.2772840849987119</v>
      </c>
      <c r="P161" s="17">
        <v>0</v>
      </c>
      <c r="Q161" s="17">
        <v>0</v>
      </c>
      <c r="R161" s="13"/>
      <c r="S161" s="13" t="s">
        <v>135</v>
      </c>
      <c r="T161" s="13" t="s">
        <v>528</v>
      </c>
      <c r="U161" s="13" t="s">
        <v>384</v>
      </c>
      <c r="V161" s="13" t="s">
        <v>551</v>
      </c>
      <c r="W161" s="14">
        <v>0</v>
      </c>
    </row>
    <row r="162" spans="11:23" customFormat="1" x14ac:dyDescent="0.2">
      <c r="K162" s="13" t="s">
        <v>130</v>
      </c>
      <c r="L162" s="13" t="s">
        <v>605</v>
      </c>
      <c r="M162" s="13" t="s">
        <v>429</v>
      </c>
      <c r="N162" s="15">
        <v>1</v>
      </c>
      <c r="O162" s="16">
        <v>0</v>
      </c>
      <c r="P162" s="17">
        <v>0</v>
      </c>
      <c r="Q162" s="17">
        <v>0</v>
      </c>
      <c r="R162" s="13"/>
      <c r="S162" s="13" t="s">
        <v>135</v>
      </c>
      <c r="T162" s="13" t="s">
        <v>528</v>
      </c>
      <c r="U162" s="13" t="s">
        <v>384</v>
      </c>
      <c r="V162" s="13" t="s">
        <v>552</v>
      </c>
      <c r="W162" s="14">
        <v>0</v>
      </c>
    </row>
    <row r="163" spans="11:23" customFormat="1" x14ac:dyDescent="0.2">
      <c r="K163" s="13" t="s">
        <v>130</v>
      </c>
      <c r="L163" s="13" t="s">
        <v>606</v>
      </c>
      <c r="M163" s="13" t="s">
        <v>430</v>
      </c>
      <c r="N163" s="15">
        <v>41</v>
      </c>
      <c r="O163" s="16">
        <v>0</v>
      </c>
      <c r="P163" s="17">
        <v>0</v>
      </c>
      <c r="Q163" s="17">
        <v>0</v>
      </c>
      <c r="R163" s="13"/>
      <c r="S163" s="13" t="s">
        <v>135</v>
      </c>
      <c r="T163" s="13" t="s">
        <v>528</v>
      </c>
      <c r="U163" s="13" t="s">
        <v>384</v>
      </c>
      <c r="V163" s="13" t="s">
        <v>554</v>
      </c>
      <c r="W163" s="14">
        <v>0</v>
      </c>
    </row>
    <row r="164" spans="11:23" customFormat="1" x14ac:dyDescent="0.2">
      <c r="K164" s="13" t="s">
        <v>130</v>
      </c>
      <c r="L164" s="13" t="s">
        <v>607</v>
      </c>
      <c r="M164" s="13" t="s">
        <v>431</v>
      </c>
      <c r="N164" s="15">
        <v>4</v>
      </c>
      <c r="O164" s="16">
        <v>0</v>
      </c>
      <c r="P164" s="17">
        <v>0</v>
      </c>
      <c r="Q164" s="17">
        <v>0</v>
      </c>
      <c r="R164" s="13"/>
      <c r="S164" s="13" t="s">
        <v>135</v>
      </c>
      <c r="T164" s="13" t="s">
        <v>613</v>
      </c>
      <c r="U164" s="13" t="s">
        <v>444</v>
      </c>
      <c r="V164" s="13" t="s">
        <v>549</v>
      </c>
      <c r="W164" s="14">
        <v>0</v>
      </c>
    </row>
    <row r="165" spans="11:23" customFormat="1" x14ac:dyDescent="0.2">
      <c r="K165" s="13" t="s">
        <v>130</v>
      </c>
      <c r="L165" s="13" t="s">
        <v>615</v>
      </c>
      <c r="M165" s="13" t="s">
        <v>449</v>
      </c>
      <c r="N165" s="15">
        <v>1</v>
      </c>
      <c r="O165" s="16">
        <v>0</v>
      </c>
      <c r="P165" s="17">
        <v>0</v>
      </c>
      <c r="Q165" s="17">
        <v>0</v>
      </c>
      <c r="R165" s="13"/>
      <c r="S165" s="13" t="s">
        <v>135</v>
      </c>
      <c r="T165" s="13" t="s">
        <v>613</v>
      </c>
      <c r="U165" s="13" t="s">
        <v>444</v>
      </c>
      <c r="V165" s="13" t="s">
        <v>553</v>
      </c>
      <c r="W165" s="14">
        <v>0</v>
      </c>
    </row>
    <row r="166" spans="11:23" customFormat="1" x14ac:dyDescent="0.2">
      <c r="K166" s="13" t="s">
        <v>130</v>
      </c>
      <c r="L166" s="13" t="s">
        <v>415</v>
      </c>
      <c r="M166" s="13" t="s">
        <v>412</v>
      </c>
      <c r="N166" s="15">
        <v>0</v>
      </c>
      <c r="O166" s="16">
        <v>0</v>
      </c>
      <c r="P166" s="17">
        <v>28.378949998081268</v>
      </c>
      <c r="Q166" s="17">
        <v>0</v>
      </c>
      <c r="R166" s="13"/>
      <c r="S166" s="13" t="s">
        <v>135</v>
      </c>
      <c r="T166" s="13" t="s">
        <v>611</v>
      </c>
      <c r="U166" s="13" t="s">
        <v>423</v>
      </c>
      <c r="V166" s="13" t="s">
        <v>549</v>
      </c>
      <c r="W166" s="14">
        <v>0</v>
      </c>
    </row>
    <row r="167" spans="11:23" customFormat="1" x14ac:dyDescent="0.2">
      <c r="K167" s="13" t="s">
        <v>130</v>
      </c>
      <c r="L167" s="13" t="s">
        <v>419</v>
      </c>
      <c r="M167" s="13" t="s">
        <v>442</v>
      </c>
      <c r="N167" s="15">
        <v>0</v>
      </c>
      <c r="O167" s="16">
        <v>385.56529369636303</v>
      </c>
      <c r="P167" s="17">
        <v>0</v>
      </c>
      <c r="Q167" s="17">
        <v>0</v>
      </c>
      <c r="R167" s="13"/>
      <c r="S167" s="13" t="s">
        <v>580</v>
      </c>
      <c r="T167" s="13" t="s">
        <v>609</v>
      </c>
      <c r="U167" s="13" t="s">
        <v>416</v>
      </c>
      <c r="V167" s="13" t="s">
        <v>549</v>
      </c>
      <c r="W167" s="14">
        <v>0</v>
      </c>
    </row>
    <row r="168" spans="11:23" customFormat="1" x14ac:dyDescent="0.2">
      <c r="K168" s="13" t="s">
        <v>130</v>
      </c>
      <c r="L168" s="13" t="s">
        <v>609</v>
      </c>
      <c r="M168" s="13" t="s">
        <v>416</v>
      </c>
      <c r="N168" s="15">
        <v>0</v>
      </c>
      <c r="O168" s="16">
        <v>20.639328209615769</v>
      </c>
      <c r="P168" s="17">
        <v>0</v>
      </c>
      <c r="Q168" s="17">
        <v>0</v>
      </c>
      <c r="R168" s="13"/>
      <c r="S168" s="13" t="s">
        <v>580</v>
      </c>
      <c r="T168" s="13" t="s">
        <v>528</v>
      </c>
      <c r="U168" s="13" t="s">
        <v>384</v>
      </c>
      <c r="V168" s="13" t="s">
        <v>549</v>
      </c>
      <c r="W168" s="14">
        <v>0</v>
      </c>
    </row>
    <row r="169" spans="11:23" customFormat="1" x14ac:dyDescent="0.2">
      <c r="K169" s="13" t="s">
        <v>130</v>
      </c>
      <c r="L169" s="13" t="s">
        <v>610</v>
      </c>
      <c r="M169" s="13" t="s">
        <v>418</v>
      </c>
      <c r="N169" s="15">
        <v>0</v>
      </c>
      <c r="O169" s="16">
        <v>18.766880184829482</v>
      </c>
      <c r="P169" s="17">
        <v>0</v>
      </c>
      <c r="Q169" s="17">
        <v>0</v>
      </c>
      <c r="R169" s="13"/>
      <c r="S169" s="13" t="s">
        <v>580</v>
      </c>
      <c r="T169" s="13" t="s">
        <v>528</v>
      </c>
      <c r="U169" s="13" t="s">
        <v>384</v>
      </c>
      <c r="V169" s="13" t="s">
        <v>553</v>
      </c>
      <c r="W169" s="14">
        <v>0</v>
      </c>
    </row>
    <row r="170" spans="11:23" customFormat="1" x14ac:dyDescent="0.2">
      <c r="K170" s="13" t="s">
        <v>130</v>
      </c>
      <c r="L170" s="13" t="s">
        <v>383</v>
      </c>
      <c r="M170" s="13" t="s">
        <v>420</v>
      </c>
      <c r="N170" s="15">
        <v>3</v>
      </c>
      <c r="O170" s="16">
        <v>0</v>
      </c>
      <c r="P170" s="17">
        <v>0</v>
      </c>
      <c r="Q170" s="17">
        <v>0</v>
      </c>
      <c r="R170" s="13"/>
      <c r="S170" s="13" t="s">
        <v>580</v>
      </c>
      <c r="T170" s="13" t="s">
        <v>613</v>
      </c>
      <c r="U170" s="13" t="s">
        <v>444</v>
      </c>
      <c r="V170" s="13" t="s">
        <v>549</v>
      </c>
      <c r="W170" s="14">
        <v>0</v>
      </c>
    </row>
    <row r="171" spans="11:23" customFormat="1" x14ac:dyDescent="0.2">
      <c r="K171" s="13" t="s">
        <v>130</v>
      </c>
      <c r="L171" s="13" t="s">
        <v>614</v>
      </c>
      <c r="M171" s="13" t="s">
        <v>447</v>
      </c>
      <c r="N171" s="15">
        <v>1</v>
      </c>
      <c r="O171" s="16">
        <v>0</v>
      </c>
      <c r="P171" s="17">
        <v>0</v>
      </c>
      <c r="Q171" s="17">
        <v>0</v>
      </c>
      <c r="R171" s="13"/>
      <c r="S171" s="13" t="s">
        <v>581</v>
      </c>
      <c r="T171" s="13" t="s">
        <v>528</v>
      </c>
      <c r="U171" s="13" t="s">
        <v>384</v>
      </c>
      <c r="V171" s="13" t="s">
        <v>549</v>
      </c>
      <c r="W171" s="14">
        <v>0</v>
      </c>
    </row>
    <row r="172" spans="11:23" customFormat="1" x14ac:dyDescent="0.2">
      <c r="K172" s="13" t="s">
        <v>130</v>
      </c>
      <c r="L172" s="13" t="s">
        <v>612</v>
      </c>
      <c r="M172" s="13" t="s">
        <v>425</v>
      </c>
      <c r="N172" s="15">
        <v>2</v>
      </c>
      <c r="O172" s="16">
        <v>0</v>
      </c>
      <c r="P172" s="17">
        <v>0</v>
      </c>
      <c r="Q172" s="17">
        <v>0</v>
      </c>
      <c r="R172" s="13"/>
      <c r="S172" s="13" t="s">
        <v>139</v>
      </c>
      <c r="T172" s="13" t="s">
        <v>609</v>
      </c>
      <c r="U172" s="13" t="s">
        <v>416</v>
      </c>
      <c r="V172" s="13" t="s">
        <v>549</v>
      </c>
      <c r="W172" s="14">
        <v>0</v>
      </c>
    </row>
    <row r="173" spans="11:23" customFormat="1" x14ac:dyDescent="0.2">
      <c r="K173" s="13" t="s">
        <v>130</v>
      </c>
      <c r="L173" s="13" t="s">
        <v>433</v>
      </c>
      <c r="M173" s="13" t="s">
        <v>434</v>
      </c>
      <c r="N173" s="15">
        <v>0</v>
      </c>
      <c r="O173" s="16">
        <v>0</v>
      </c>
      <c r="P173" s="17">
        <v>7.4890499963800412</v>
      </c>
      <c r="Q173" s="17">
        <v>0</v>
      </c>
      <c r="R173" s="13"/>
      <c r="S173" s="13" t="s">
        <v>139</v>
      </c>
      <c r="T173" s="13" t="s">
        <v>528</v>
      </c>
      <c r="U173" s="13" t="s">
        <v>384</v>
      </c>
      <c r="V173" s="13" t="s">
        <v>549</v>
      </c>
      <c r="W173" s="14">
        <v>0</v>
      </c>
    </row>
    <row r="174" spans="11:23" customFormat="1" x14ac:dyDescent="0.2">
      <c r="K174" s="13" t="s">
        <v>4</v>
      </c>
      <c r="L174" s="13" t="s">
        <v>389</v>
      </c>
      <c r="M174" s="13" t="s">
        <v>388</v>
      </c>
      <c r="N174" s="15">
        <v>0</v>
      </c>
      <c r="O174" s="16">
        <v>0</v>
      </c>
      <c r="P174" s="17">
        <v>7.7212499993876538</v>
      </c>
      <c r="Q174" s="17">
        <v>0</v>
      </c>
      <c r="R174" s="13"/>
      <c r="S174" s="13" t="s">
        <v>139</v>
      </c>
      <c r="T174" s="13" t="s">
        <v>613</v>
      </c>
      <c r="U174" s="13" t="s">
        <v>444</v>
      </c>
      <c r="V174" s="13" t="s">
        <v>549</v>
      </c>
      <c r="W174" s="14">
        <v>0</v>
      </c>
    </row>
    <row r="175" spans="11:23" customFormat="1" x14ac:dyDescent="0.2">
      <c r="K175" s="13" t="s">
        <v>4</v>
      </c>
      <c r="L175" s="13" t="s">
        <v>399</v>
      </c>
      <c r="M175" s="13" t="s">
        <v>400</v>
      </c>
      <c r="N175" s="15">
        <v>0</v>
      </c>
      <c r="O175" s="16">
        <v>0</v>
      </c>
      <c r="P175" s="17">
        <v>118.1298499959357</v>
      </c>
      <c r="Q175" s="17">
        <v>0</v>
      </c>
      <c r="R175" s="13"/>
      <c r="S175" s="13" t="s">
        <v>141</v>
      </c>
      <c r="T175" s="13" t="s">
        <v>613</v>
      </c>
      <c r="U175" s="13" t="s">
        <v>444</v>
      </c>
      <c r="V175" s="13" t="s">
        <v>549</v>
      </c>
      <c r="W175" s="14">
        <v>0</v>
      </c>
    </row>
    <row r="176" spans="11:23" customFormat="1" x14ac:dyDescent="0.2">
      <c r="K176" s="13" t="s">
        <v>4</v>
      </c>
      <c r="L176" s="13" t="s">
        <v>402</v>
      </c>
      <c r="M176" s="13" t="s">
        <v>403</v>
      </c>
      <c r="N176" s="15">
        <v>0</v>
      </c>
      <c r="O176" s="16">
        <v>0</v>
      </c>
      <c r="P176" s="17">
        <v>6505.4045497890038</v>
      </c>
      <c r="Q176" s="17">
        <v>0</v>
      </c>
      <c r="R176" s="13"/>
      <c r="S176" s="13" t="s">
        <v>141</v>
      </c>
      <c r="T176" s="13" t="s">
        <v>611</v>
      </c>
      <c r="U176" s="13" t="s">
        <v>423</v>
      </c>
      <c r="V176" s="13" t="s">
        <v>549</v>
      </c>
      <c r="W176" s="14">
        <v>0</v>
      </c>
    </row>
    <row r="177" spans="11:23" customFormat="1" x14ac:dyDescent="0.2">
      <c r="K177" s="13" t="s">
        <v>4</v>
      </c>
      <c r="L177" s="13" t="s">
        <v>448</v>
      </c>
      <c r="M177" s="13" t="s">
        <v>366</v>
      </c>
      <c r="N177" s="15">
        <v>0</v>
      </c>
      <c r="O177" s="16">
        <v>0</v>
      </c>
      <c r="P177" s="17">
        <v>13371.787149720025</v>
      </c>
      <c r="Q177" s="17">
        <v>0</v>
      </c>
      <c r="R177" s="13"/>
      <c r="S177" s="13" t="s">
        <v>143</v>
      </c>
      <c r="T177" s="13" t="s">
        <v>404</v>
      </c>
      <c r="U177" s="13" t="s">
        <v>405</v>
      </c>
      <c r="V177" s="13" t="s">
        <v>549</v>
      </c>
      <c r="W177" s="14">
        <v>0.8</v>
      </c>
    </row>
    <row r="178" spans="11:23" customFormat="1" x14ac:dyDescent="0.2">
      <c r="K178" s="13" t="s">
        <v>4</v>
      </c>
      <c r="L178" s="13" t="s">
        <v>451</v>
      </c>
      <c r="M178" s="13" t="s">
        <v>369</v>
      </c>
      <c r="N178" s="15">
        <v>0</v>
      </c>
      <c r="O178" s="16">
        <v>0</v>
      </c>
      <c r="P178" s="17">
        <v>20003.042799504354</v>
      </c>
      <c r="Q178" s="17">
        <v>0</v>
      </c>
      <c r="R178" s="13"/>
      <c r="S178" s="13" t="s">
        <v>143</v>
      </c>
      <c r="T178" s="13" t="s">
        <v>404</v>
      </c>
      <c r="U178" s="13" t="s">
        <v>405</v>
      </c>
      <c r="V178" s="13" t="s">
        <v>550</v>
      </c>
      <c r="W178" s="14">
        <v>1.4</v>
      </c>
    </row>
    <row r="179" spans="11:23" customFormat="1" x14ac:dyDescent="0.2">
      <c r="K179" s="13" t="s">
        <v>4</v>
      </c>
      <c r="L179" s="13" t="s">
        <v>381</v>
      </c>
      <c r="M179" s="13" t="s">
        <v>382</v>
      </c>
      <c r="N179" s="15">
        <v>3</v>
      </c>
      <c r="O179" s="16">
        <v>0</v>
      </c>
      <c r="P179" s="17">
        <v>0</v>
      </c>
      <c r="Q179" s="17">
        <v>0</v>
      </c>
      <c r="R179" s="13"/>
      <c r="S179" s="13" t="s">
        <v>143</v>
      </c>
      <c r="T179" s="13" t="s">
        <v>609</v>
      </c>
      <c r="U179" s="13" t="s">
        <v>416</v>
      </c>
      <c r="V179" s="13" t="s">
        <v>549</v>
      </c>
      <c r="W179" s="14">
        <v>0</v>
      </c>
    </row>
    <row r="180" spans="11:23" customFormat="1" x14ac:dyDescent="0.2">
      <c r="K180" s="13" t="s">
        <v>4</v>
      </c>
      <c r="L180" s="13" t="s">
        <v>452</v>
      </c>
      <c r="M180" s="13" t="s">
        <v>453</v>
      </c>
      <c r="N180" s="15">
        <v>16</v>
      </c>
      <c r="O180" s="16">
        <v>0</v>
      </c>
      <c r="P180" s="17">
        <v>0</v>
      </c>
      <c r="Q180" s="17">
        <v>0</v>
      </c>
      <c r="R180" s="13"/>
      <c r="S180" s="13" t="s">
        <v>143</v>
      </c>
      <c r="T180" s="13" t="s">
        <v>528</v>
      </c>
      <c r="U180" s="13" t="s">
        <v>384</v>
      </c>
      <c r="V180" s="13" t="s">
        <v>549</v>
      </c>
      <c r="W180" s="14">
        <v>0</v>
      </c>
    </row>
    <row r="181" spans="11:23" customFormat="1" x14ac:dyDescent="0.2">
      <c r="K181" s="13" t="s">
        <v>4</v>
      </c>
      <c r="L181" s="13" t="s">
        <v>411</v>
      </c>
      <c r="M181" s="13" t="s">
        <v>362</v>
      </c>
      <c r="N181" s="15">
        <v>0</v>
      </c>
      <c r="O181" s="16">
        <v>11.057124399623302</v>
      </c>
      <c r="P181" s="17">
        <v>0</v>
      </c>
      <c r="Q181" s="17">
        <v>0</v>
      </c>
      <c r="R181" s="13"/>
      <c r="S181" s="13" t="s">
        <v>143</v>
      </c>
      <c r="T181" s="13" t="s">
        <v>528</v>
      </c>
      <c r="U181" s="13" t="s">
        <v>384</v>
      </c>
      <c r="V181" s="13" t="s">
        <v>553</v>
      </c>
      <c r="W181" s="14">
        <v>0</v>
      </c>
    </row>
    <row r="182" spans="11:23" customFormat="1" x14ac:dyDescent="0.2">
      <c r="K182" s="13" t="s">
        <v>4</v>
      </c>
      <c r="L182" s="13" t="s">
        <v>411</v>
      </c>
      <c r="M182" s="13" t="s">
        <v>362</v>
      </c>
      <c r="N182" s="15">
        <v>2</v>
      </c>
      <c r="O182" s="16">
        <v>0</v>
      </c>
      <c r="P182" s="17">
        <v>0</v>
      </c>
      <c r="Q182" s="17">
        <v>0</v>
      </c>
      <c r="R182" s="13"/>
      <c r="S182" s="13" t="s">
        <v>143</v>
      </c>
      <c r="T182" s="13" t="s">
        <v>528</v>
      </c>
      <c r="U182" s="13" t="s">
        <v>384</v>
      </c>
      <c r="V182" s="13" t="s">
        <v>550</v>
      </c>
      <c r="W182" s="14">
        <v>0</v>
      </c>
    </row>
    <row r="183" spans="11:23" customFormat="1" x14ac:dyDescent="0.2">
      <c r="K183" s="13" t="s">
        <v>4</v>
      </c>
      <c r="L183" s="13" t="s">
        <v>606</v>
      </c>
      <c r="M183" s="13" t="s">
        <v>430</v>
      </c>
      <c r="N183" s="15">
        <v>10</v>
      </c>
      <c r="O183" s="16">
        <v>0</v>
      </c>
      <c r="P183" s="17">
        <v>0</v>
      </c>
      <c r="Q183" s="17">
        <v>0</v>
      </c>
      <c r="R183" s="13"/>
      <c r="S183" s="13" t="s">
        <v>143</v>
      </c>
      <c r="T183" s="13" t="s">
        <v>528</v>
      </c>
      <c r="U183" s="13" t="s">
        <v>384</v>
      </c>
      <c r="V183" s="13" t="s">
        <v>551</v>
      </c>
      <c r="W183" s="14">
        <v>0</v>
      </c>
    </row>
    <row r="184" spans="11:23" customFormat="1" x14ac:dyDescent="0.2">
      <c r="K184" s="13" t="s">
        <v>7</v>
      </c>
      <c r="L184" s="13" t="s">
        <v>387</v>
      </c>
      <c r="M184" s="13" t="s">
        <v>386</v>
      </c>
      <c r="N184" s="15">
        <v>0</v>
      </c>
      <c r="O184" s="16">
        <v>0</v>
      </c>
      <c r="P184" s="17">
        <v>6.0767500000067516</v>
      </c>
      <c r="Q184" s="17">
        <v>0</v>
      </c>
      <c r="R184" s="13"/>
      <c r="S184" s="13" t="s">
        <v>143</v>
      </c>
      <c r="T184" s="13" t="s">
        <v>613</v>
      </c>
      <c r="U184" s="13" t="s">
        <v>444</v>
      </c>
      <c r="V184" s="13" t="s">
        <v>549</v>
      </c>
      <c r="W184" s="14">
        <v>0</v>
      </c>
    </row>
    <row r="185" spans="11:23" customFormat="1" x14ac:dyDescent="0.2">
      <c r="K185" s="13" t="s">
        <v>7</v>
      </c>
      <c r="L185" s="13" t="s">
        <v>389</v>
      </c>
      <c r="M185" s="13" t="s">
        <v>388</v>
      </c>
      <c r="N185" s="15">
        <v>0</v>
      </c>
      <c r="O185" s="16">
        <v>0</v>
      </c>
      <c r="P185" s="17">
        <v>215.33859995417697</v>
      </c>
      <c r="Q185" s="17">
        <v>0</v>
      </c>
      <c r="R185" s="13"/>
      <c r="S185" s="13" t="s">
        <v>145</v>
      </c>
      <c r="T185" s="13" t="s">
        <v>404</v>
      </c>
      <c r="U185" s="13" t="s">
        <v>405</v>
      </c>
      <c r="V185" s="13" t="s">
        <v>549</v>
      </c>
      <c r="W185" s="14">
        <v>1.2</v>
      </c>
    </row>
    <row r="186" spans="11:23" customFormat="1" x14ac:dyDescent="0.2">
      <c r="K186" s="13" t="s">
        <v>7</v>
      </c>
      <c r="L186" s="13" t="s">
        <v>391</v>
      </c>
      <c r="M186" s="13" t="s">
        <v>358</v>
      </c>
      <c r="N186" s="15">
        <v>0</v>
      </c>
      <c r="O186" s="16">
        <v>0</v>
      </c>
      <c r="P186" s="17">
        <v>3.8000003481749442E-3</v>
      </c>
      <c r="Q186" s="17">
        <v>0</v>
      </c>
      <c r="R186" s="13"/>
      <c r="S186" s="13" t="s">
        <v>145</v>
      </c>
      <c r="T186" s="13" t="s">
        <v>404</v>
      </c>
      <c r="U186" s="13" t="s">
        <v>405</v>
      </c>
      <c r="V186" s="13" t="s">
        <v>553</v>
      </c>
      <c r="W186" s="14">
        <v>2.4</v>
      </c>
    </row>
    <row r="187" spans="11:23" customFormat="1" x14ac:dyDescent="0.2">
      <c r="K187" s="13" t="s">
        <v>7</v>
      </c>
      <c r="L187" s="13" t="s">
        <v>399</v>
      </c>
      <c r="M187" s="13" t="s">
        <v>400</v>
      </c>
      <c r="N187" s="15">
        <v>0</v>
      </c>
      <c r="O187" s="16">
        <v>0</v>
      </c>
      <c r="P187" s="17">
        <v>28.603100008512243</v>
      </c>
      <c r="Q187" s="17">
        <v>0</v>
      </c>
      <c r="R187" s="13"/>
      <c r="S187" s="13" t="s">
        <v>145</v>
      </c>
      <c r="T187" s="13" t="s">
        <v>404</v>
      </c>
      <c r="U187" s="13" t="s">
        <v>405</v>
      </c>
      <c r="V187" s="13" t="s">
        <v>550</v>
      </c>
      <c r="W187" s="14">
        <v>1.2</v>
      </c>
    </row>
    <row r="188" spans="11:23" customFormat="1" x14ac:dyDescent="0.2">
      <c r="K188" s="13" t="s">
        <v>7</v>
      </c>
      <c r="L188" s="13" t="s">
        <v>401</v>
      </c>
      <c r="M188" s="13" t="s">
        <v>360</v>
      </c>
      <c r="N188" s="15">
        <v>0</v>
      </c>
      <c r="O188" s="16">
        <v>0</v>
      </c>
      <c r="P188" s="17">
        <v>143.13679999449982</v>
      </c>
      <c r="Q188" s="17">
        <v>0</v>
      </c>
      <c r="R188" s="13"/>
      <c r="S188" s="13" t="s">
        <v>145</v>
      </c>
      <c r="T188" s="13" t="s">
        <v>404</v>
      </c>
      <c r="U188" s="13" t="s">
        <v>405</v>
      </c>
      <c r="V188" s="13" t="s">
        <v>551</v>
      </c>
      <c r="W188" s="14">
        <v>1.2</v>
      </c>
    </row>
    <row r="189" spans="11:23" customFormat="1" x14ac:dyDescent="0.2">
      <c r="K189" s="13" t="s">
        <v>7</v>
      </c>
      <c r="L189" s="13" t="s">
        <v>402</v>
      </c>
      <c r="M189" s="13" t="s">
        <v>403</v>
      </c>
      <c r="N189" s="15">
        <v>0</v>
      </c>
      <c r="O189" s="16">
        <v>0</v>
      </c>
      <c r="P189" s="17">
        <v>12185.729149614486</v>
      </c>
      <c r="Q189" s="17">
        <v>0</v>
      </c>
      <c r="R189" s="13"/>
      <c r="S189" s="13" t="s">
        <v>145</v>
      </c>
      <c r="T189" s="13" t="s">
        <v>528</v>
      </c>
      <c r="U189" s="13" t="s">
        <v>384</v>
      </c>
      <c r="V189" s="13" t="s">
        <v>549</v>
      </c>
      <c r="W189" s="14">
        <v>0</v>
      </c>
    </row>
    <row r="190" spans="11:23" customFormat="1" x14ac:dyDescent="0.2">
      <c r="K190" s="13" t="s">
        <v>7</v>
      </c>
      <c r="L190" s="13" t="s">
        <v>448</v>
      </c>
      <c r="M190" s="13" t="s">
        <v>366</v>
      </c>
      <c r="N190" s="15">
        <v>0</v>
      </c>
      <c r="O190" s="16">
        <v>0</v>
      </c>
      <c r="P190" s="17">
        <v>239.22899998240544</v>
      </c>
      <c r="Q190" s="17">
        <v>0</v>
      </c>
      <c r="R190" s="13"/>
      <c r="S190" s="13" t="s">
        <v>145</v>
      </c>
      <c r="T190" s="13" t="s">
        <v>613</v>
      </c>
      <c r="U190" s="13" t="s">
        <v>444</v>
      </c>
      <c r="V190" s="13" t="s">
        <v>549</v>
      </c>
      <c r="W190" s="14">
        <v>0</v>
      </c>
    </row>
    <row r="191" spans="11:23" customFormat="1" x14ac:dyDescent="0.2">
      <c r="K191" s="13" t="s">
        <v>7</v>
      </c>
      <c r="L191" s="13" t="s">
        <v>456</v>
      </c>
      <c r="M191" s="13" t="s">
        <v>457</v>
      </c>
      <c r="N191" s="15">
        <v>0</v>
      </c>
      <c r="O191" s="16">
        <v>0</v>
      </c>
      <c r="P191" s="17">
        <v>832.31149999194338</v>
      </c>
      <c r="Q191" s="17">
        <v>0</v>
      </c>
      <c r="R191" s="13"/>
      <c r="S191" s="13" t="s">
        <v>147</v>
      </c>
      <c r="T191" s="13" t="s">
        <v>528</v>
      </c>
      <c r="U191" s="13" t="s">
        <v>384</v>
      </c>
      <c r="V191" s="13" t="s">
        <v>549</v>
      </c>
      <c r="W191" s="14">
        <v>0</v>
      </c>
    </row>
    <row r="192" spans="11:23" customFormat="1" x14ac:dyDescent="0.2">
      <c r="K192" s="13" t="s">
        <v>7</v>
      </c>
      <c r="L192" s="13" t="s">
        <v>404</v>
      </c>
      <c r="M192" s="13" t="s">
        <v>405</v>
      </c>
      <c r="N192" s="15">
        <v>0</v>
      </c>
      <c r="O192" s="16">
        <v>0</v>
      </c>
      <c r="P192" s="17">
        <v>243.04504999982265</v>
      </c>
      <c r="Q192" s="17">
        <v>863.72750115126291</v>
      </c>
      <c r="R192" s="13"/>
      <c r="S192" s="13" t="s">
        <v>147</v>
      </c>
      <c r="T192" s="13" t="s">
        <v>528</v>
      </c>
      <c r="U192" s="13" t="s">
        <v>384</v>
      </c>
      <c r="V192" s="13" t="s">
        <v>553</v>
      </c>
      <c r="W192" s="14">
        <v>0</v>
      </c>
    </row>
    <row r="193" spans="11:23" customFormat="1" x14ac:dyDescent="0.2">
      <c r="K193" s="13" t="s">
        <v>7</v>
      </c>
      <c r="L193" s="13" t="s">
        <v>451</v>
      </c>
      <c r="M193" s="13" t="s">
        <v>369</v>
      </c>
      <c r="N193" s="15">
        <v>0</v>
      </c>
      <c r="O193" s="16">
        <v>0</v>
      </c>
      <c r="P193" s="17">
        <v>13893.473749546201</v>
      </c>
      <c r="Q193" s="17">
        <v>0</v>
      </c>
      <c r="R193" s="13"/>
      <c r="S193" s="13" t="s">
        <v>151</v>
      </c>
      <c r="T193" s="13" t="s">
        <v>528</v>
      </c>
      <c r="U193" s="13" t="s">
        <v>384</v>
      </c>
      <c r="V193" s="13" t="s">
        <v>549</v>
      </c>
      <c r="W193" s="14">
        <v>0</v>
      </c>
    </row>
    <row r="194" spans="11:23" customFormat="1" x14ac:dyDescent="0.2">
      <c r="K194" s="13" t="s">
        <v>7</v>
      </c>
      <c r="L194" s="13" t="s">
        <v>613</v>
      </c>
      <c r="M194" s="13" t="s">
        <v>444</v>
      </c>
      <c r="N194" s="15">
        <v>0</v>
      </c>
      <c r="O194" s="16">
        <v>8.3485627508597346</v>
      </c>
      <c r="P194" s="17">
        <v>0</v>
      </c>
      <c r="Q194" s="17">
        <v>0</v>
      </c>
      <c r="R194" s="13"/>
      <c r="S194" s="13" t="s">
        <v>151</v>
      </c>
      <c r="T194" s="13" t="s">
        <v>528</v>
      </c>
      <c r="U194" s="13" t="s">
        <v>384</v>
      </c>
      <c r="V194" s="13" t="s">
        <v>553</v>
      </c>
      <c r="W194" s="14">
        <v>0</v>
      </c>
    </row>
    <row r="195" spans="11:23" customFormat="1" x14ac:dyDescent="0.2">
      <c r="K195" s="13" t="s">
        <v>8</v>
      </c>
      <c r="L195" s="13" t="s">
        <v>435</v>
      </c>
      <c r="M195" s="13" t="s">
        <v>364</v>
      </c>
      <c r="N195" s="15">
        <v>0</v>
      </c>
      <c r="O195" s="16">
        <v>0</v>
      </c>
      <c r="P195" s="17">
        <v>2.2000000000215367</v>
      </c>
      <c r="Q195" s="17">
        <v>0</v>
      </c>
      <c r="R195" s="13"/>
      <c r="S195" s="13" t="s">
        <v>153</v>
      </c>
      <c r="T195" s="13" t="s">
        <v>609</v>
      </c>
      <c r="U195" s="13" t="s">
        <v>416</v>
      </c>
      <c r="V195" s="13" t="s">
        <v>549</v>
      </c>
      <c r="W195" s="14">
        <v>0</v>
      </c>
    </row>
    <row r="196" spans="11:23" customFormat="1" x14ac:dyDescent="0.2">
      <c r="K196" s="13" t="s">
        <v>8</v>
      </c>
      <c r="L196" s="13" t="s">
        <v>387</v>
      </c>
      <c r="M196" s="13" t="s">
        <v>386</v>
      </c>
      <c r="N196" s="15">
        <v>0</v>
      </c>
      <c r="O196" s="16">
        <v>0</v>
      </c>
      <c r="P196" s="17">
        <v>545.72900001464598</v>
      </c>
      <c r="Q196" s="17">
        <v>0</v>
      </c>
      <c r="R196" s="13"/>
      <c r="S196" s="13" t="s">
        <v>153</v>
      </c>
      <c r="T196" s="13" t="s">
        <v>467</v>
      </c>
      <c r="U196" s="13" t="s">
        <v>422</v>
      </c>
      <c r="V196" s="13" t="s">
        <v>549</v>
      </c>
      <c r="W196" s="14">
        <v>0</v>
      </c>
    </row>
    <row r="197" spans="11:23" customFormat="1" x14ac:dyDescent="0.2">
      <c r="K197" s="13" t="s">
        <v>8</v>
      </c>
      <c r="L197" s="13" t="s">
        <v>389</v>
      </c>
      <c r="M197" s="13" t="s">
        <v>388</v>
      </c>
      <c r="N197" s="15">
        <v>0</v>
      </c>
      <c r="O197" s="16">
        <v>0</v>
      </c>
      <c r="P197" s="17">
        <v>28.730600007743902</v>
      </c>
      <c r="Q197" s="17">
        <v>0</v>
      </c>
      <c r="R197" s="13"/>
      <c r="S197" s="13" t="s">
        <v>153</v>
      </c>
      <c r="T197" s="13" t="s">
        <v>528</v>
      </c>
      <c r="U197" s="13" t="s">
        <v>384</v>
      </c>
      <c r="V197" s="13" t="s">
        <v>549</v>
      </c>
      <c r="W197" s="14">
        <v>0</v>
      </c>
    </row>
    <row r="198" spans="11:23" customFormat="1" x14ac:dyDescent="0.2">
      <c r="K198" s="13" t="s">
        <v>8</v>
      </c>
      <c r="L198" s="13" t="s">
        <v>392</v>
      </c>
      <c r="M198" s="13" t="s">
        <v>437</v>
      </c>
      <c r="N198" s="15">
        <v>0</v>
      </c>
      <c r="O198" s="16">
        <v>0</v>
      </c>
      <c r="P198" s="17">
        <v>15.286300000930829</v>
      </c>
      <c r="Q198" s="17">
        <v>0</v>
      </c>
      <c r="R198" s="13"/>
      <c r="S198" s="13" t="s">
        <v>153</v>
      </c>
      <c r="T198" s="13" t="s">
        <v>528</v>
      </c>
      <c r="U198" s="13" t="s">
        <v>384</v>
      </c>
      <c r="V198" s="13" t="s">
        <v>553</v>
      </c>
      <c r="W198" s="14">
        <v>0</v>
      </c>
    </row>
    <row r="199" spans="11:23" customFormat="1" x14ac:dyDescent="0.2">
      <c r="K199" s="13" t="s">
        <v>8</v>
      </c>
      <c r="L199" s="13" t="s">
        <v>399</v>
      </c>
      <c r="M199" s="13" t="s">
        <v>400</v>
      </c>
      <c r="N199" s="15">
        <v>0</v>
      </c>
      <c r="O199" s="16">
        <v>0</v>
      </c>
      <c r="P199" s="17">
        <v>164.80785000918701</v>
      </c>
      <c r="Q199" s="17">
        <v>0</v>
      </c>
      <c r="R199" s="13"/>
      <c r="S199" s="13" t="s">
        <v>153</v>
      </c>
      <c r="T199" s="13" t="s">
        <v>528</v>
      </c>
      <c r="U199" s="13" t="s">
        <v>384</v>
      </c>
      <c r="V199" s="13" t="s">
        <v>550</v>
      </c>
      <c r="W199" s="14">
        <v>0</v>
      </c>
    </row>
    <row r="200" spans="11:23" customFormat="1" x14ac:dyDescent="0.2">
      <c r="K200" s="13" t="s">
        <v>8</v>
      </c>
      <c r="L200" s="13" t="s">
        <v>401</v>
      </c>
      <c r="M200" s="13" t="s">
        <v>360</v>
      </c>
      <c r="N200" s="15">
        <v>0</v>
      </c>
      <c r="O200" s="16">
        <v>0</v>
      </c>
      <c r="P200" s="17">
        <v>3550.7443499008755</v>
      </c>
      <c r="Q200" s="17">
        <v>0</v>
      </c>
      <c r="R200" s="13"/>
      <c r="S200" s="13" t="s">
        <v>155</v>
      </c>
      <c r="T200" s="13" t="s">
        <v>404</v>
      </c>
      <c r="U200" s="13" t="s">
        <v>405</v>
      </c>
      <c r="V200" s="13" t="s">
        <v>549</v>
      </c>
      <c r="W200" s="14">
        <v>3</v>
      </c>
    </row>
    <row r="201" spans="11:23" customFormat="1" x14ac:dyDescent="0.2">
      <c r="K201" s="13" t="s">
        <v>8</v>
      </c>
      <c r="L201" s="13" t="s">
        <v>402</v>
      </c>
      <c r="M201" s="13" t="s">
        <v>403</v>
      </c>
      <c r="N201" s="15">
        <v>0</v>
      </c>
      <c r="O201" s="16">
        <v>0</v>
      </c>
      <c r="P201" s="17">
        <v>12659.854249611959</v>
      </c>
      <c r="Q201" s="17">
        <v>0</v>
      </c>
      <c r="R201" s="13"/>
      <c r="S201" s="13" t="s">
        <v>155</v>
      </c>
      <c r="T201" s="13" t="s">
        <v>467</v>
      </c>
      <c r="U201" s="13" t="s">
        <v>422</v>
      </c>
      <c r="V201" s="13" t="s">
        <v>549</v>
      </c>
      <c r="W201" s="14">
        <v>0</v>
      </c>
    </row>
    <row r="202" spans="11:23" customFormat="1" x14ac:dyDescent="0.2">
      <c r="K202" s="13" t="s">
        <v>8</v>
      </c>
      <c r="L202" s="13" t="s">
        <v>448</v>
      </c>
      <c r="M202" s="13" t="s">
        <v>366</v>
      </c>
      <c r="N202" s="15">
        <v>0</v>
      </c>
      <c r="O202" s="16">
        <v>0</v>
      </c>
      <c r="P202" s="17">
        <v>841.78474995133922</v>
      </c>
      <c r="Q202" s="17">
        <v>0</v>
      </c>
      <c r="R202" s="13"/>
      <c r="S202" s="13" t="s">
        <v>155</v>
      </c>
      <c r="T202" s="13" t="s">
        <v>528</v>
      </c>
      <c r="U202" s="13" t="s">
        <v>384</v>
      </c>
      <c r="V202" s="13" t="s">
        <v>549</v>
      </c>
      <c r="W202" s="14">
        <v>0</v>
      </c>
    </row>
    <row r="203" spans="11:23" customFormat="1" x14ac:dyDescent="0.2">
      <c r="K203" s="13" t="s">
        <v>8</v>
      </c>
      <c r="L203" s="13" t="s">
        <v>456</v>
      </c>
      <c r="M203" s="13" t="s">
        <v>457</v>
      </c>
      <c r="N203" s="15">
        <v>0</v>
      </c>
      <c r="O203" s="16">
        <v>0</v>
      </c>
      <c r="P203" s="17">
        <v>13415.090299751404</v>
      </c>
      <c r="Q203" s="17">
        <v>0</v>
      </c>
      <c r="R203" s="13"/>
      <c r="S203" s="13" t="s">
        <v>155</v>
      </c>
      <c r="T203" s="13" t="s">
        <v>528</v>
      </c>
      <c r="U203" s="13" t="s">
        <v>384</v>
      </c>
      <c r="V203" s="13" t="s">
        <v>553</v>
      </c>
      <c r="W203" s="14">
        <v>0</v>
      </c>
    </row>
    <row r="204" spans="11:23" customFormat="1" x14ac:dyDescent="0.2">
      <c r="K204" s="13" t="s">
        <v>8</v>
      </c>
      <c r="L204" s="13" t="s">
        <v>451</v>
      </c>
      <c r="M204" s="13" t="s">
        <v>369</v>
      </c>
      <c r="N204" s="15">
        <v>0</v>
      </c>
      <c r="O204" s="16">
        <v>0</v>
      </c>
      <c r="P204" s="17">
        <v>31222.027399248083</v>
      </c>
      <c r="Q204" s="17">
        <v>0</v>
      </c>
      <c r="R204" s="13"/>
      <c r="S204" s="13" t="s">
        <v>155</v>
      </c>
      <c r="T204" s="13" t="s">
        <v>613</v>
      </c>
      <c r="U204" s="13" t="s">
        <v>444</v>
      </c>
      <c r="V204" s="13" t="s">
        <v>549</v>
      </c>
      <c r="W204" s="14">
        <v>0</v>
      </c>
    </row>
    <row r="205" spans="11:23" customFormat="1" x14ac:dyDescent="0.2">
      <c r="K205" s="13" t="s">
        <v>8</v>
      </c>
      <c r="L205" s="13" t="s">
        <v>381</v>
      </c>
      <c r="M205" s="13" t="s">
        <v>382</v>
      </c>
      <c r="N205" s="15">
        <v>25</v>
      </c>
      <c r="O205" s="16">
        <v>0</v>
      </c>
      <c r="P205" s="17">
        <v>0</v>
      </c>
      <c r="Q205" s="17">
        <v>0</v>
      </c>
      <c r="R205" s="13"/>
      <c r="S205" s="13" t="s">
        <v>155</v>
      </c>
      <c r="T205" s="13" t="s">
        <v>613</v>
      </c>
      <c r="U205" s="13" t="s">
        <v>444</v>
      </c>
      <c r="V205" s="13" t="s">
        <v>553</v>
      </c>
      <c r="W205" s="14">
        <v>0</v>
      </c>
    </row>
    <row r="206" spans="11:23" customFormat="1" x14ac:dyDescent="0.2">
      <c r="K206" s="13" t="s">
        <v>8</v>
      </c>
      <c r="L206" s="13" t="s">
        <v>407</v>
      </c>
      <c r="M206" s="13" t="s">
        <v>408</v>
      </c>
      <c r="N206" s="15">
        <v>3</v>
      </c>
      <c r="O206" s="16">
        <v>0</v>
      </c>
      <c r="P206" s="17">
        <v>0</v>
      </c>
      <c r="Q206" s="17">
        <v>0</v>
      </c>
      <c r="R206" s="13"/>
      <c r="S206" s="13" t="s">
        <v>158</v>
      </c>
      <c r="T206" s="13" t="s">
        <v>404</v>
      </c>
      <c r="U206" s="13" t="s">
        <v>405</v>
      </c>
      <c r="V206" s="13" t="s">
        <v>549</v>
      </c>
      <c r="W206" s="14">
        <v>1.5</v>
      </c>
    </row>
    <row r="207" spans="11:23" customFormat="1" x14ac:dyDescent="0.2">
      <c r="K207" s="13" t="s">
        <v>8</v>
      </c>
      <c r="L207" s="13" t="s">
        <v>413</v>
      </c>
      <c r="M207" s="13" t="s">
        <v>428</v>
      </c>
      <c r="N207" s="15">
        <v>1</v>
      </c>
      <c r="O207" s="16">
        <v>0</v>
      </c>
      <c r="P207" s="17">
        <v>0</v>
      </c>
      <c r="Q207" s="17">
        <v>0</v>
      </c>
      <c r="R207" s="13"/>
      <c r="S207" s="13" t="s">
        <v>158</v>
      </c>
      <c r="T207" s="13" t="s">
        <v>404</v>
      </c>
      <c r="U207" s="13" t="s">
        <v>405</v>
      </c>
      <c r="V207" s="13" t="s">
        <v>553</v>
      </c>
      <c r="W207" s="14">
        <v>1.8</v>
      </c>
    </row>
    <row r="208" spans="11:23" customFormat="1" x14ac:dyDescent="0.2">
      <c r="K208" s="13" t="s">
        <v>8</v>
      </c>
      <c r="L208" s="13" t="s">
        <v>608</v>
      </c>
      <c r="M208" s="13" t="s">
        <v>432</v>
      </c>
      <c r="N208" s="15">
        <v>21</v>
      </c>
      <c r="O208" s="16">
        <v>0</v>
      </c>
      <c r="P208" s="17">
        <v>0</v>
      </c>
      <c r="Q208" s="17">
        <v>0</v>
      </c>
      <c r="R208" s="13"/>
      <c r="S208" s="13" t="s">
        <v>158</v>
      </c>
      <c r="T208" s="13" t="s">
        <v>528</v>
      </c>
      <c r="U208" s="13" t="s">
        <v>384</v>
      </c>
      <c r="V208" s="13" t="s">
        <v>549</v>
      </c>
      <c r="W208" s="14">
        <v>0</v>
      </c>
    </row>
    <row r="209" spans="11:23" customFormat="1" x14ac:dyDescent="0.2">
      <c r="K209" s="13" t="s">
        <v>8</v>
      </c>
      <c r="L209" s="13" t="s">
        <v>419</v>
      </c>
      <c r="M209" s="13" t="s">
        <v>442</v>
      </c>
      <c r="N209" s="15">
        <v>0</v>
      </c>
      <c r="O209" s="16">
        <v>34.198951108820751</v>
      </c>
      <c r="P209" s="17">
        <v>0</v>
      </c>
      <c r="Q209" s="17">
        <v>0</v>
      </c>
      <c r="R209" s="13"/>
      <c r="S209" s="13" t="s">
        <v>158</v>
      </c>
      <c r="T209" s="13" t="s">
        <v>528</v>
      </c>
      <c r="U209" s="13" t="s">
        <v>384</v>
      </c>
      <c r="V209" s="13" t="s">
        <v>553</v>
      </c>
      <c r="W209" s="14">
        <v>0</v>
      </c>
    </row>
    <row r="210" spans="11:23" customFormat="1" x14ac:dyDescent="0.2">
      <c r="K210" s="13" t="s">
        <v>8</v>
      </c>
      <c r="L210" s="13" t="s">
        <v>421</v>
      </c>
      <c r="M210" s="13" t="s">
        <v>443</v>
      </c>
      <c r="N210" s="15">
        <v>1</v>
      </c>
      <c r="O210" s="16">
        <v>0</v>
      </c>
      <c r="P210" s="17">
        <v>0</v>
      </c>
      <c r="Q210" s="17">
        <v>0</v>
      </c>
      <c r="R210" s="13"/>
      <c r="S210" s="13" t="s">
        <v>158</v>
      </c>
      <c r="T210" s="13" t="s">
        <v>528</v>
      </c>
      <c r="U210" s="13" t="s">
        <v>384</v>
      </c>
      <c r="V210" s="13" t="s">
        <v>550</v>
      </c>
      <c r="W210" s="14">
        <v>0</v>
      </c>
    </row>
    <row r="211" spans="11:23" customFormat="1" x14ac:dyDescent="0.2">
      <c r="K211" s="13" t="s">
        <v>8</v>
      </c>
      <c r="L211" s="13" t="s">
        <v>446</v>
      </c>
      <c r="M211" s="13" t="s">
        <v>371</v>
      </c>
      <c r="N211" s="15">
        <v>2</v>
      </c>
      <c r="O211" s="16">
        <v>0</v>
      </c>
      <c r="P211" s="17">
        <v>0</v>
      </c>
      <c r="Q211" s="17">
        <v>0</v>
      </c>
      <c r="R211" s="13"/>
      <c r="S211" s="13" t="s">
        <v>160</v>
      </c>
      <c r="T211" s="13" t="s">
        <v>528</v>
      </c>
      <c r="U211" s="13" t="s">
        <v>384</v>
      </c>
      <c r="V211" s="13" t="s">
        <v>549</v>
      </c>
      <c r="W211" s="14">
        <v>0</v>
      </c>
    </row>
    <row r="212" spans="11:23" customFormat="1" x14ac:dyDescent="0.2">
      <c r="K212" s="13" t="s">
        <v>8</v>
      </c>
      <c r="L212" s="13" t="s">
        <v>454</v>
      </c>
      <c r="M212" s="13" t="s">
        <v>455</v>
      </c>
      <c r="N212" s="15">
        <v>0</v>
      </c>
      <c r="O212" s="16">
        <v>0</v>
      </c>
      <c r="P212" s="17">
        <v>7986.2837497785722</v>
      </c>
      <c r="Q212" s="17">
        <v>0</v>
      </c>
      <c r="R212" s="13"/>
      <c r="S212" s="13" t="s">
        <v>160</v>
      </c>
      <c r="T212" s="13" t="s">
        <v>528</v>
      </c>
      <c r="U212" s="13" t="s">
        <v>384</v>
      </c>
      <c r="V212" s="13" t="s">
        <v>553</v>
      </c>
      <c r="W212" s="14">
        <v>0</v>
      </c>
    </row>
    <row r="213" spans="11:23" customFormat="1" x14ac:dyDescent="0.2">
      <c r="K213" s="13" t="s">
        <v>9</v>
      </c>
      <c r="L213" s="13" t="s">
        <v>435</v>
      </c>
      <c r="M213" s="13" t="s">
        <v>364</v>
      </c>
      <c r="N213" s="15">
        <v>1</v>
      </c>
      <c r="O213" s="16">
        <v>0</v>
      </c>
      <c r="P213" s="17">
        <v>0</v>
      </c>
      <c r="Q213" s="17">
        <v>0</v>
      </c>
      <c r="R213" s="13"/>
      <c r="S213" s="13" t="s">
        <v>160</v>
      </c>
      <c r="T213" s="13" t="s">
        <v>528</v>
      </c>
      <c r="U213" s="13" t="s">
        <v>384</v>
      </c>
      <c r="V213" s="13" t="s">
        <v>550</v>
      </c>
      <c r="W213" s="14">
        <v>0</v>
      </c>
    </row>
    <row r="214" spans="11:23" customFormat="1" x14ac:dyDescent="0.2">
      <c r="K214" s="13" t="s">
        <v>9</v>
      </c>
      <c r="L214" s="13" t="s">
        <v>389</v>
      </c>
      <c r="M214" s="13" t="s">
        <v>388</v>
      </c>
      <c r="N214" s="15">
        <v>0</v>
      </c>
      <c r="O214" s="16">
        <v>0</v>
      </c>
      <c r="P214" s="17">
        <v>16.499721910532131</v>
      </c>
      <c r="Q214" s="17">
        <v>0</v>
      </c>
      <c r="R214" s="13"/>
      <c r="S214" s="13" t="s">
        <v>162</v>
      </c>
      <c r="T214" s="13" t="s">
        <v>404</v>
      </c>
      <c r="U214" s="13" t="s">
        <v>405</v>
      </c>
      <c r="V214" s="13" t="s">
        <v>549</v>
      </c>
      <c r="W214" s="14">
        <v>1</v>
      </c>
    </row>
    <row r="215" spans="11:23" customFormat="1" x14ac:dyDescent="0.2">
      <c r="K215" s="13" t="s">
        <v>9</v>
      </c>
      <c r="L215" s="13" t="s">
        <v>402</v>
      </c>
      <c r="M215" s="13" t="s">
        <v>403</v>
      </c>
      <c r="N215" s="15">
        <v>0</v>
      </c>
      <c r="O215" s="16">
        <v>0</v>
      </c>
      <c r="P215" s="17">
        <v>794.65094996295386</v>
      </c>
      <c r="Q215" s="17">
        <v>0</v>
      </c>
      <c r="R215" s="13"/>
      <c r="S215" s="13" t="s">
        <v>162</v>
      </c>
      <c r="T215" s="13" t="s">
        <v>404</v>
      </c>
      <c r="U215" s="13" t="s">
        <v>405</v>
      </c>
      <c r="V215" s="13" t="s">
        <v>553</v>
      </c>
      <c r="W215" s="14">
        <v>1.6</v>
      </c>
    </row>
    <row r="216" spans="11:23" customFormat="1" x14ac:dyDescent="0.2">
      <c r="K216" s="13" t="s">
        <v>9</v>
      </c>
      <c r="L216" s="13" t="s">
        <v>448</v>
      </c>
      <c r="M216" s="13" t="s">
        <v>366</v>
      </c>
      <c r="N216" s="15">
        <v>0</v>
      </c>
      <c r="O216" s="16">
        <v>0</v>
      </c>
      <c r="P216" s="17">
        <v>159.1435500088507</v>
      </c>
      <c r="Q216" s="17">
        <v>0</v>
      </c>
      <c r="R216" s="13"/>
      <c r="S216" s="13" t="s">
        <v>162</v>
      </c>
      <c r="T216" s="13" t="s">
        <v>528</v>
      </c>
      <c r="U216" s="13" t="s">
        <v>384</v>
      </c>
      <c r="V216" s="13" t="s">
        <v>549</v>
      </c>
      <c r="W216" s="14">
        <v>0</v>
      </c>
    </row>
    <row r="217" spans="11:23" customFormat="1" x14ac:dyDescent="0.2">
      <c r="K217" s="13" t="s">
        <v>9</v>
      </c>
      <c r="L217" s="13" t="s">
        <v>451</v>
      </c>
      <c r="M217" s="13" t="s">
        <v>369</v>
      </c>
      <c r="N217" s="15">
        <v>0</v>
      </c>
      <c r="O217" s="16">
        <v>0</v>
      </c>
      <c r="P217" s="17">
        <v>970.29422188233661</v>
      </c>
      <c r="Q217" s="17">
        <v>0</v>
      </c>
      <c r="R217" s="13"/>
      <c r="S217" s="13" t="s">
        <v>167</v>
      </c>
      <c r="T217" s="13" t="s">
        <v>609</v>
      </c>
      <c r="U217" s="13" t="s">
        <v>416</v>
      </c>
      <c r="V217" s="13" t="s">
        <v>549</v>
      </c>
      <c r="W217" s="14">
        <v>0</v>
      </c>
    </row>
    <row r="218" spans="11:23" customFormat="1" x14ac:dyDescent="0.2">
      <c r="K218" s="13" t="s">
        <v>9</v>
      </c>
      <c r="L218" s="13" t="s">
        <v>381</v>
      </c>
      <c r="M218" s="13" t="s">
        <v>382</v>
      </c>
      <c r="N218" s="15">
        <v>9</v>
      </c>
      <c r="O218" s="16">
        <v>0</v>
      </c>
      <c r="P218" s="17">
        <v>0</v>
      </c>
      <c r="Q218" s="17">
        <v>0</v>
      </c>
      <c r="R218" s="13"/>
      <c r="S218" s="13" t="s">
        <v>167</v>
      </c>
      <c r="T218" s="13" t="s">
        <v>610</v>
      </c>
      <c r="U218" s="13" t="s">
        <v>418</v>
      </c>
      <c r="V218" s="13" t="s">
        <v>549</v>
      </c>
      <c r="W218" s="14">
        <v>0</v>
      </c>
    </row>
    <row r="219" spans="11:23" customFormat="1" x14ac:dyDescent="0.2">
      <c r="K219" s="13" t="s">
        <v>9</v>
      </c>
      <c r="L219" s="13" t="s">
        <v>413</v>
      </c>
      <c r="M219" s="13" t="s">
        <v>428</v>
      </c>
      <c r="N219" s="15">
        <v>1</v>
      </c>
      <c r="O219" s="16">
        <v>0</v>
      </c>
      <c r="P219" s="17">
        <v>0</v>
      </c>
      <c r="Q219" s="17">
        <v>0</v>
      </c>
      <c r="R219" s="13"/>
      <c r="S219" s="13" t="s">
        <v>167</v>
      </c>
      <c r="T219" s="13" t="s">
        <v>467</v>
      </c>
      <c r="U219" s="13" t="s">
        <v>422</v>
      </c>
      <c r="V219" s="13" t="s">
        <v>549</v>
      </c>
      <c r="W219" s="14">
        <v>0</v>
      </c>
    </row>
    <row r="220" spans="11:23" customFormat="1" x14ac:dyDescent="0.2">
      <c r="K220" s="13" t="s">
        <v>9</v>
      </c>
      <c r="L220" s="13" t="s">
        <v>607</v>
      </c>
      <c r="M220" s="13" t="s">
        <v>431</v>
      </c>
      <c r="N220" s="15">
        <v>4</v>
      </c>
      <c r="O220" s="16">
        <v>0</v>
      </c>
      <c r="P220" s="17">
        <v>0</v>
      </c>
      <c r="Q220" s="17">
        <v>0</v>
      </c>
      <c r="R220" s="13"/>
      <c r="S220" s="13" t="s">
        <v>172</v>
      </c>
      <c r="T220" s="13" t="s">
        <v>404</v>
      </c>
      <c r="U220" s="13" t="s">
        <v>405</v>
      </c>
      <c r="V220" s="13" t="s">
        <v>549</v>
      </c>
      <c r="W220" s="14">
        <v>0.8</v>
      </c>
    </row>
    <row r="221" spans="11:23" customFormat="1" x14ac:dyDescent="0.2">
      <c r="K221" s="13" t="s">
        <v>9</v>
      </c>
      <c r="L221" s="13" t="s">
        <v>608</v>
      </c>
      <c r="M221" s="13" t="s">
        <v>432</v>
      </c>
      <c r="N221" s="15">
        <v>5</v>
      </c>
      <c r="O221" s="16">
        <v>0</v>
      </c>
      <c r="P221" s="17">
        <v>0</v>
      </c>
      <c r="Q221" s="17">
        <v>0</v>
      </c>
      <c r="R221" s="13"/>
      <c r="S221" s="13" t="s">
        <v>172</v>
      </c>
      <c r="T221" s="13" t="s">
        <v>404</v>
      </c>
      <c r="U221" s="13" t="s">
        <v>405</v>
      </c>
      <c r="V221" s="13" t="s">
        <v>549</v>
      </c>
      <c r="W221" s="14">
        <v>1.2</v>
      </c>
    </row>
    <row r="222" spans="11:23" customFormat="1" x14ac:dyDescent="0.2">
      <c r="K222" s="13" t="s">
        <v>9</v>
      </c>
      <c r="L222" s="13" t="s">
        <v>419</v>
      </c>
      <c r="M222" s="13" t="s">
        <v>442</v>
      </c>
      <c r="N222" s="15">
        <v>0</v>
      </c>
      <c r="O222" s="16">
        <v>120.46944345241835</v>
      </c>
      <c r="P222" s="17">
        <v>0</v>
      </c>
      <c r="Q222" s="17">
        <v>0</v>
      </c>
      <c r="R222" s="13"/>
      <c r="S222" s="13" t="s">
        <v>172</v>
      </c>
      <c r="T222" s="13" t="s">
        <v>609</v>
      </c>
      <c r="U222" s="13" t="s">
        <v>416</v>
      </c>
      <c r="V222" s="13" t="s">
        <v>549</v>
      </c>
      <c r="W222" s="14">
        <v>0</v>
      </c>
    </row>
    <row r="223" spans="11:23" customFormat="1" x14ac:dyDescent="0.2">
      <c r="K223" s="13" t="s">
        <v>9</v>
      </c>
      <c r="L223" s="13" t="s">
        <v>421</v>
      </c>
      <c r="M223" s="13" t="s">
        <v>443</v>
      </c>
      <c r="N223" s="15">
        <v>1</v>
      </c>
      <c r="O223" s="16">
        <v>0</v>
      </c>
      <c r="P223" s="17">
        <v>0</v>
      </c>
      <c r="Q223" s="17">
        <v>0</v>
      </c>
      <c r="R223" s="13"/>
      <c r="S223" s="13" t="s">
        <v>172</v>
      </c>
      <c r="T223" s="13" t="s">
        <v>613</v>
      </c>
      <c r="U223" s="13" t="s">
        <v>444</v>
      </c>
      <c r="V223" s="13" t="s">
        <v>549</v>
      </c>
      <c r="W223" s="14">
        <v>0</v>
      </c>
    </row>
    <row r="224" spans="11:23" customFormat="1" x14ac:dyDescent="0.2">
      <c r="K224" s="13" t="s">
        <v>9</v>
      </c>
      <c r="L224" s="13" t="s">
        <v>383</v>
      </c>
      <c r="M224" s="13" t="s">
        <v>420</v>
      </c>
      <c r="N224" s="15">
        <v>2</v>
      </c>
      <c r="O224" s="16">
        <v>0</v>
      </c>
      <c r="P224" s="17">
        <v>0</v>
      </c>
      <c r="Q224" s="17">
        <v>0</v>
      </c>
      <c r="R224" s="13"/>
      <c r="S224" s="13" t="s">
        <v>172</v>
      </c>
      <c r="T224" s="13" t="s">
        <v>611</v>
      </c>
      <c r="U224" s="13" t="s">
        <v>423</v>
      </c>
      <c r="V224" s="13" t="s">
        <v>549</v>
      </c>
      <c r="W224" s="14">
        <v>0</v>
      </c>
    </row>
    <row r="225" spans="11:23" customFormat="1" x14ac:dyDescent="0.2">
      <c r="K225" s="13" t="s">
        <v>9</v>
      </c>
      <c r="L225" s="13" t="s">
        <v>467</v>
      </c>
      <c r="M225" s="13" t="s">
        <v>422</v>
      </c>
      <c r="N225" s="15">
        <v>0</v>
      </c>
      <c r="O225" s="16">
        <v>84.841035667161663</v>
      </c>
      <c r="P225" s="17">
        <v>0</v>
      </c>
      <c r="Q225" s="17">
        <v>0</v>
      </c>
      <c r="R225" s="13"/>
      <c r="S225" s="13" t="s">
        <v>174</v>
      </c>
      <c r="T225" s="13" t="s">
        <v>404</v>
      </c>
      <c r="U225" s="13" t="s">
        <v>405</v>
      </c>
      <c r="V225" s="13" t="s">
        <v>549</v>
      </c>
      <c r="W225" s="14">
        <v>1.1000000000000001</v>
      </c>
    </row>
    <row r="226" spans="11:23" customFormat="1" x14ac:dyDescent="0.2">
      <c r="K226" s="13" t="s">
        <v>9</v>
      </c>
      <c r="L226" s="13" t="s">
        <v>458</v>
      </c>
      <c r="M226" s="13" t="s">
        <v>459</v>
      </c>
      <c r="N226" s="15">
        <v>0</v>
      </c>
      <c r="O226" s="16">
        <v>0</v>
      </c>
      <c r="P226" s="17">
        <v>1084.2889999761851</v>
      </c>
      <c r="Q226" s="17">
        <v>0</v>
      </c>
      <c r="R226" s="13"/>
      <c r="S226" s="13" t="s">
        <v>174</v>
      </c>
      <c r="T226" s="13" t="s">
        <v>404</v>
      </c>
      <c r="U226" s="13" t="s">
        <v>405</v>
      </c>
      <c r="V226" s="13" t="s">
        <v>553</v>
      </c>
      <c r="W226" s="14">
        <v>1.5</v>
      </c>
    </row>
    <row r="227" spans="11:23" customFormat="1" x14ac:dyDescent="0.2">
      <c r="K227" s="13" t="s">
        <v>10</v>
      </c>
      <c r="L227" s="13" t="s">
        <v>435</v>
      </c>
      <c r="M227" s="13" t="s">
        <v>364</v>
      </c>
      <c r="N227" s="15">
        <v>0</v>
      </c>
      <c r="O227" s="16">
        <v>0</v>
      </c>
      <c r="P227" s="17">
        <v>3.9488499993139179</v>
      </c>
      <c r="Q227" s="17">
        <v>0</v>
      </c>
      <c r="R227" s="13"/>
      <c r="S227" s="13" t="s">
        <v>174</v>
      </c>
      <c r="T227" s="13" t="s">
        <v>419</v>
      </c>
      <c r="U227" s="13" t="s">
        <v>442</v>
      </c>
      <c r="V227" s="13" t="s">
        <v>549</v>
      </c>
      <c r="W227" s="14">
        <v>0</v>
      </c>
    </row>
    <row r="228" spans="11:23" customFormat="1" x14ac:dyDescent="0.2">
      <c r="K228" s="13" t="s">
        <v>10</v>
      </c>
      <c r="L228" s="13" t="s">
        <v>389</v>
      </c>
      <c r="M228" s="13" t="s">
        <v>388</v>
      </c>
      <c r="N228" s="15">
        <v>0</v>
      </c>
      <c r="O228" s="16">
        <v>0</v>
      </c>
      <c r="P228" s="17">
        <v>1.5832000004145783</v>
      </c>
      <c r="Q228" s="17">
        <v>0</v>
      </c>
      <c r="R228" s="13"/>
      <c r="S228" s="13" t="s">
        <v>174</v>
      </c>
      <c r="T228" s="13" t="s">
        <v>609</v>
      </c>
      <c r="U228" s="13" t="s">
        <v>416</v>
      </c>
      <c r="V228" s="13" t="s">
        <v>549</v>
      </c>
      <c r="W228" s="14">
        <v>0</v>
      </c>
    </row>
    <row r="229" spans="11:23" customFormat="1" x14ac:dyDescent="0.2">
      <c r="K229" s="13" t="s">
        <v>10</v>
      </c>
      <c r="L229" s="13" t="s">
        <v>402</v>
      </c>
      <c r="M229" s="13" t="s">
        <v>403</v>
      </c>
      <c r="N229" s="15">
        <v>0</v>
      </c>
      <c r="O229" s="16">
        <v>0</v>
      </c>
      <c r="P229" s="17">
        <v>2033.5559499515641</v>
      </c>
      <c r="Q229" s="17">
        <v>0</v>
      </c>
      <c r="R229" s="13"/>
      <c r="S229" s="13" t="s">
        <v>174</v>
      </c>
      <c r="T229" s="13" t="s">
        <v>610</v>
      </c>
      <c r="U229" s="13" t="s">
        <v>418</v>
      </c>
      <c r="V229" s="13" t="s">
        <v>549</v>
      </c>
      <c r="W229" s="14">
        <v>0</v>
      </c>
    </row>
    <row r="230" spans="11:23" customFormat="1" x14ac:dyDescent="0.2">
      <c r="K230" s="13" t="s">
        <v>10</v>
      </c>
      <c r="L230" s="13" t="s">
        <v>451</v>
      </c>
      <c r="M230" s="13" t="s">
        <v>369</v>
      </c>
      <c r="N230" s="15">
        <v>0</v>
      </c>
      <c r="O230" s="16">
        <v>0</v>
      </c>
      <c r="P230" s="17">
        <v>2035.1391499519787</v>
      </c>
      <c r="Q230" s="17">
        <v>0</v>
      </c>
      <c r="R230" s="13"/>
      <c r="S230" s="13" t="s">
        <v>176</v>
      </c>
      <c r="T230" s="13" t="s">
        <v>609</v>
      </c>
      <c r="U230" s="13" t="s">
        <v>416</v>
      </c>
      <c r="V230" s="13" t="s">
        <v>549</v>
      </c>
      <c r="W230" s="14">
        <v>0</v>
      </c>
    </row>
    <row r="231" spans="11:23" customFormat="1" x14ac:dyDescent="0.2">
      <c r="K231" s="13" t="s">
        <v>10</v>
      </c>
      <c r="L231" s="13" t="s">
        <v>381</v>
      </c>
      <c r="M231" s="13" t="s">
        <v>382</v>
      </c>
      <c r="N231" s="15">
        <v>5</v>
      </c>
      <c r="O231" s="16">
        <v>0</v>
      </c>
      <c r="P231" s="17">
        <v>0</v>
      </c>
      <c r="Q231" s="17">
        <v>0</v>
      </c>
      <c r="R231" s="13"/>
      <c r="S231" s="13" t="s">
        <v>176</v>
      </c>
      <c r="T231" s="13" t="s">
        <v>467</v>
      </c>
      <c r="U231" s="13" t="s">
        <v>422</v>
      </c>
      <c r="V231" s="13" t="s">
        <v>549</v>
      </c>
      <c r="W231" s="14">
        <v>0</v>
      </c>
    </row>
    <row r="232" spans="11:23" customFormat="1" x14ac:dyDescent="0.2">
      <c r="K232" s="13" t="s">
        <v>10</v>
      </c>
      <c r="L232" s="13" t="s">
        <v>411</v>
      </c>
      <c r="M232" s="13" t="s">
        <v>362</v>
      </c>
      <c r="N232" s="15">
        <v>1</v>
      </c>
      <c r="O232" s="16">
        <v>0</v>
      </c>
      <c r="P232" s="17">
        <v>0</v>
      </c>
      <c r="Q232" s="17">
        <v>0</v>
      </c>
      <c r="R232" s="13"/>
      <c r="S232" s="13" t="s">
        <v>176</v>
      </c>
      <c r="T232" s="13" t="s">
        <v>467</v>
      </c>
      <c r="U232" s="13" t="s">
        <v>422</v>
      </c>
      <c r="V232" s="13" t="s">
        <v>553</v>
      </c>
      <c r="W232" s="14">
        <v>0</v>
      </c>
    </row>
    <row r="233" spans="11:23" customFormat="1" x14ac:dyDescent="0.2">
      <c r="K233" s="13" t="s">
        <v>10</v>
      </c>
      <c r="L233" s="13" t="s">
        <v>608</v>
      </c>
      <c r="M233" s="13" t="s">
        <v>432</v>
      </c>
      <c r="N233" s="15">
        <v>9</v>
      </c>
      <c r="O233" s="16">
        <v>0</v>
      </c>
      <c r="P233" s="17">
        <v>0</v>
      </c>
      <c r="Q233" s="17">
        <v>0</v>
      </c>
      <c r="R233" s="13"/>
      <c r="S233" s="13" t="s">
        <v>176</v>
      </c>
      <c r="T233" s="13" t="s">
        <v>467</v>
      </c>
      <c r="U233" s="13" t="s">
        <v>422</v>
      </c>
      <c r="V233" s="13" t="s">
        <v>551</v>
      </c>
      <c r="W233" s="14">
        <v>0</v>
      </c>
    </row>
    <row r="234" spans="11:23" customFormat="1" x14ac:dyDescent="0.2">
      <c r="K234" s="13" t="s">
        <v>11</v>
      </c>
      <c r="L234" s="13" t="s">
        <v>435</v>
      </c>
      <c r="M234" s="13" t="s">
        <v>364</v>
      </c>
      <c r="N234" s="15">
        <v>0</v>
      </c>
      <c r="O234" s="16">
        <v>0</v>
      </c>
      <c r="P234" s="17">
        <v>24703.320199380505</v>
      </c>
      <c r="Q234" s="17">
        <v>0</v>
      </c>
      <c r="R234" s="13"/>
      <c r="S234" s="13" t="s">
        <v>176</v>
      </c>
      <c r="T234" s="13" t="s">
        <v>467</v>
      </c>
      <c r="U234" s="13" t="s">
        <v>422</v>
      </c>
      <c r="V234" s="13" t="s">
        <v>552</v>
      </c>
      <c r="W234" s="14">
        <v>0</v>
      </c>
    </row>
    <row r="235" spans="11:23" customFormat="1" x14ac:dyDescent="0.2">
      <c r="K235" s="13" t="s">
        <v>11</v>
      </c>
      <c r="L235" s="13" t="s">
        <v>438</v>
      </c>
      <c r="M235" s="13" t="s">
        <v>461</v>
      </c>
      <c r="N235" s="15">
        <v>0</v>
      </c>
      <c r="O235" s="16">
        <v>0</v>
      </c>
      <c r="P235" s="17">
        <v>1185.5599999358208</v>
      </c>
      <c r="Q235" s="17">
        <v>0</v>
      </c>
      <c r="R235" s="13"/>
      <c r="S235" s="13" t="s">
        <v>176</v>
      </c>
      <c r="T235" s="13" t="s">
        <v>467</v>
      </c>
      <c r="U235" s="13" t="s">
        <v>422</v>
      </c>
      <c r="V235" s="13" t="s">
        <v>554</v>
      </c>
      <c r="W235" s="14">
        <v>0</v>
      </c>
    </row>
    <row r="236" spans="11:23" customFormat="1" x14ac:dyDescent="0.2">
      <c r="K236" s="13" t="s">
        <v>11</v>
      </c>
      <c r="L236" s="13" t="s">
        <v>399</v>
      </c>
      <c r="M236" s="13" t="s">
        <v>400</v>
      </c>
      <c r="N236" s="15">
        <v>0</v>
      </c>
      <c r="O236" s="16">
        <v>0</v>
      </c>
      <c r="P236" s="17">
        <v>70.630049995488434</v>
      </c>
      <c r="Q236" s="17">
        <v>0</v>
      </c>
      <c r="R236" s="13"/>
      <c r="S236" s="13" t="s">
        <v>176</v>
      </c>
      <c r="T236" s="13" t="s">
        <v>467</v>
      </c>
      <c r="U236" s="13" t="s">
        <v>422</v>
      </c>
      <c r="V236" s="13" t="s">
        <v>555</v>
      </c>
      <c r="W236" s="14">
        <v>0</v>
      </c>
    </row>
    <row r="237" spans="11:23" customFormat="1" x14ac:dyDescent="0.2">
      <c r="K237" s="13" t="s">
        <v>11</v>
      </c>
      <c r="L237" s="13" t="s">
        <v>401</v>
      </c>
      <c r="M237" s="13" t="s">
        <v>360</v>
      </c>
      <c r="N237" s="15">
        <v>0</v>
      </c>
      <c r="O237" s="16">
        <v>0</v>
      </c>
      <c r="P237" s="17">
        <v>59737.993398542931</v>
      </c>
      <c r="Q237" s="17">
        <v>0</v>
      </c>
      <c r="R237" s="13"/>
      <c r="S237" s="13" t="s">
        <v>176</v>
      </c>
      <c r="T237" s="13" t="s">
        <v>613</v>
      </c>
      <c r="U237" s="13" t="s">
        <v>444</v>
      </c>
      <c r="V237" s="13" t="s">
        <v>549</v>
      </c>
      <c r="W237" s="14">
        <v>0</v>
      </c>
    </row>
    <row r="238" spans="11:23" customFormat="1" x14ac:dyDescent="0.2">
      <c r="K238" s="13" t="s">
        <v>11</v>
      </c>
      <c r="L238" s="13" t="s">
        <v>402</v>
      </c>
      <c r="M238" s="13" t="s">
        <v>403</v>
      </c>
      <c r="N238" s="15">
        <v>0</v>
      </c>
      <c r="O238" s="16">
        <v>0</v>
      </c>
      <c r="P238" s="17">
        <v>4664.9622498941972</v>
      </c>
      <c r="Q238" s="17">
        <v>0</v>
      </c>
      <c r="R238" s="13"/>
      <c r="S238" s="13" t="s">
        <v>176</v>
      </c>
      <c r="T238" s="13" t="s">
        <v>613</v>
      </c>
      <c r="U238" s="13" t="s">
        <v>444</v>
      </c>
      <c r="V238" s="13" t="s">
        <v>553</v>
      </c>
      <c r="W238" s="14">
        <v>0</v>
      </c>
    </row>
    <row r="239" spans="11:23" customFormat="1" x14ac:dyDescent="0.2">
      <c r="K239" s="13" t="s">
        <v>11</v>
      </c>
      <c r="L239" s="13" t="s">
        <v>462</v>
      </c>
      <c r="M239" s="13" t="s">
        <v>370</v>
      </c>
      <c r="N239" s="15">
        <v>0</v>
      </c>
      <c r="O239" s="16">
        <v>0</v>
      </c>
      <c r="P239" s="17">
        <v>10761.944099706454</v>
      </c>
      <c r="Q239" s="17">
        <v>0</v>
      </c>
      <c r="R239" s="13"/>
      <c r="S239" s="13" t="s">
        <v>178</v>
      </c>
      <c r="T239" s="13" t="s">
        <v>395</v>
      </c>
      <c r="U239" s="13" t="s">
        <v>602</v>
      </c>
      <c r="V239" s="13" t="s">
        <v>549</v>
      </c>
      <c r="W239" s="14">
        <v>0</v>
      </c>
    </row>
    <row r="240" spans="11:23" customFormat="1" x14ac:dyDescent="0.2">
      <c r="K240" s="13" t="s">
        <v>11</v>
      </c>
      <c r="L240" s="13" t="s">
        <v>463</v>
      </c>
      <c r="M240" s="13" t="s">
        <v>372</v>
      </c>
      <c r="N240" s="15">
        <v>0</v>
      </c>
      <c r="O240" s="16">
        <v>0</v>
      </c>
      <c r="P240" s="17">
        <v>76421.089798074885</v>
      </c>
      <c r="Q240" s="17">
        <v>0</v>
      </c>
      <c r="R240" s="13"/>
      <c r="S240" s="13" t="s">
        <v>178</v>
      </c>
      <c r="T240" s="13" t="s">
        <v>404</v>
      </c>
      <c r="U240" s="13" t="s">
        <v>405</v>
      </c>
      <c r="V240" s="13" t="s">
        <v>549</v>
      </c>
      <c r="W240" s="14">
        <v>1.7</v>
      </c>
    </row>
    <row r="241" spans="11:23" customFormat="1" x14ac:dyDescent="0.2">
      <c r="K241" s="13" t="s">
        <v>11</v>
      </c>
      <c r="L241" s="13" t="s">
        <v>381</v>
      </c>
      <c r="M241" s="13" t="s">
        <v>382</v>
      </c>
      <c r="N241" s="15">
        <v>8</v>
      </c>
      <c r="O241" s="16">
        <v>0</v>
      </c>
      <c r="P241" s="17">
        <v>0</v>
      </c>
      <c r="Q241" s="17">
        <v>0</v>
      </c>
      <c r="R241" s="13"/>
      <c r="S241" s="13" t="s">
        <v>178</v>
      </c>
      <c r="T241" s="13" t="s">
        <v>419</v>
      </c>
      <c r="U241" s="13" t="s">
        <v>442</v>
      </c>
      <c r="V241" s="13" t="s">
        <v>549</v>
      </c>
      <c r="W241" s="14">
        <v>0</v>
      </c>
    </row>
    <row r="242" spans="11:23" customFormat="1" x14ac:dyDescent="0.2">
      <c r="K242" s="13" t="s">
        <v>11</v>
      </c>
      <c r="L242" s="13" t="s">
        <v>413</v>
      </c>
      <c r="M242" s="13" t="s">
        <v>428</v>
      </c>
      <c r="N242" s="15">
        <v>2</v>
      </c>
      <c r="O242" s="16">
        <v>0</v>
      </c>
      <c r="P242" s="17">
        <v>0</v>
      </c>
      <c r="Q242" s="17">
        <v>0</v>
      </c>
      <c r="R242" s="13"/>
      <c r="S242" s="13" t="s">
        <v>178</v>
      </c>
      <c r="T242" s="13" t="s">
        <v>613</v>
      </c>
      <c r="U242" s="13" t="s">
        <v>444</v>
      </c>
      <c r="V242" s="13" t="s">
        <v>549</v>
      </c>
      <c r="W242" s="14">
        <v>0</v>
      </c>
    </row>
    <row r="243" spans="11:23" customFormat="1" x14ac:dyDescent="0.2">
      <c r="K243" s="13" t="s">
        <v>11</v>
      </c>
      <c r="L243" s="13" t="s">
        <v>607</v>
      </c>
      <c r="M243" s="13" t="s">
        <v>431</v>
      </c>
      <c r="N243" s="15">
        <v>2</v>
      </c>
      <c r="O243" s="16">
        <v>0</v>
      </c>
      <c r="P243" s="17">
        <v>0</v>
      </c>
      <c r="Q243" s="17">
        <v>0</v>
      </c>
      <c r="R243" s="13"/>
      <c r="S243" s="13" t="s">
        <v>178</v>
      </c>
      <c r="T243" s="13" t="s">
        <v>613</v>
      </c>
      <c r="U243" s="13" t="s">
        <v>444</v>
      </c>
      <c r="V243" s="13" t="s">
        <v>553</v>
      </c>
      <c r="W243" s="14">
        <v>0</v>
      </c>
    </row>
    <row r="244" spans="11:23" customFormat="1" x14ac:dyDescent="0.2">
      <c r="K244" s="13" t="s">
        <v>11</v>
      </c>
      <c r="L244" s="13" t="s">
        <v>610</v>
      </c>
      <c r="M244" s="13" t="s">
        <v>418</v>
      </c>
      <c r="N244" s="15">
        <v>0</v>
      </c>
      <c r="O244" s="16">
        <v>28.891781871715306</v>
      </c>
      <c r="P244" s="17">
        <v>0</v>
      </c>
      <c r="Q244" s="17">
        <v>0</v>
      </c>
      <c r="R244" s="13"/>
      <c r="S244" s="13" t="s">
        <v>178</v>
      </c>
      <c r="T244" s="13" t="s">
        <v>613</v>
      </c>
      <c r="U244" s="13" t="s">
        <v>444</v>
      </c>
      <c r="V244" s="13" t="s">
        <v>550</v>
      </c>
      <c r="W244" s="14">
        <v>0</v>
      </c>
    </row>
    <row r="245" spans="11:23" customFormat="1" x14ac:dyDescent="0.2">
      <c r="K245" s="13" t="s">
        <v>11</v>
      </c>
      <c r="L245" s="13" t="s">
        <v>467</v>
      </c>
      <c r="M245" s="13" t="s">
        <v>422</v>
      </c>
      <c r="N245" s="15">
        <v>0</v>
      </c>
      <c r="O245" s="16">
        <v>841.8266726828316</v>
      </c>
      <c r="P245" s="17">
        <v>0</v>
      </c>
      <c r="Q245" s="17">
        <v>0</v>
      </c>
      <c r="R245" s="13"/>
      <c r="S245" s="13" t="s">
        <v>178</v>
      </c>
      <c r="T245" s="13" t="s">
        <v>613</v>
      </c>
      <c r="U245" s="13" t="s">
        <v>444</v>
      </c>
      <c r="V245" s="13" t="s">
        <v>551</v>
      </c>
      <c r="W245" s="14">
        <v>0</v>
      </c>
    </row>
    <row r="246" spans="11:23" customFormat="1" x14ac:dyDescent="0.2">
      <c r="K246" s="13" t="s">
        <v>11</v>
      </c>
      <c r="L246" s="13" t="s">
        <v>454</v>
      </c>
      <c r="M246" s="13" t="s">
        <v>455</v>
      </c>
      <c r="N246" s="15">
        <v>0</v>
      </c>
      <c r="O246" s="16">
        <v>0</v>
      </c>
      <c r="P246" s="17">
        <v>8694.7255498369523</v>
      </c>
      <c r="Q246" s="17">
        <v>0</v>
      </c>
      <c r="R246" s="13"/>
      <c r="S246" s="13" t="s">
        <v>180</v>
      </c>
      <c r="T246" s="13" t="s">
        <v>613</v>
      </c>
      <c r="U246" s="13" t="s">
        <v>444</v>
      </c>
      <c r="V246" s="13" t="s">
        <v>549</v>
      </c>
      <c r="W246" s="14">
        <v>0</v>
      </c>
    </row>
    <row r="247" spans="11:23" customFormat="1" x14ac:dyDescent="0.2">
      <c r="K247" s="13" t="s">
        <v>11</v>
      </c>
      <c r="L247" s="13" t="s">
        <v>464</v>
      </c>
      <c r="M247" s="13" t="s">
        <v>373</v>
      </c>
      <c r="N247" s="15">
        <v>0</v>
      </c>
      <c r="O247" s="16">
        <v>1192.5384212271058</v>
      </c>
      <c r="P247" s="17">
        <v>0</v>
      </c>
      <c r="Q247" s="17">
        <v>0</v>
      </c>
      <c r="R247" s="13"/>
      <c r="S247" s="13" t="s">
        <v>182</v>
      </c>
      <c r="T247" s="13" t="s">
        <v>404</v>
      </c>
      <c r="U247" s="13" t="s">
        <v>405</v>
      </c>
      <c r="V247" s="13" t="s">
        <v>549</v>
      </c>
      <c r="W247" s="14">
        <v>1.2</v>
      </c>
    </row>
    <row r="248" spans="11:23" customFormat="1" x14ac:dyDescent="0.2">
      <c r="K248" s="13" t="s">
        <v>12</v>
      </c>
      <c r="L248" s="13" t="s">
        <v>435</v>
      </c>
      <c r="M248" s="13" t="s">
        <v>364</v>
      </c>
      <c r="N248" s="15">
        <v>0</v>
      </c>
      <c r="O248" s="16">
        <v>0</v>
      </c>
      <c r="P248" s="17">
        <v>4.6730500000312896</v>
      </c>
      <c r="Q248" s="17">
        <v>0</v>
      </c>
      <c r="R248" s="13"/>
      <c r="S248" s="13" t="s">
        <v>182</v>
      </c>
      <c r="T248" s="13" t="s">
        <v>419</v>
      </c>
      <c r="U248" s="13" t="s">
        <v>442</v>
      </c>
      <c r="V248" s="13" t="s">
        <v>549</v>
      </c>
      <c r="W248" s="14">
        <v>0</v>
      </c>
    </row>
    <row r="249" spans="11:23" customFormat="1" x14ac:dyDescent="0.2">
      <c r="K249" s="13" t="s">
        <v>12</v>
      </c>
      <c r="L249" s="13" t="s">
        <v>435</v>
      </c>
      <c r="M249" s="13" t="s">
        <v>364</v>
      </c>
      <c r="N249" s="15">
        <v>1</v>
      </c>
      <c r="O249" s="16">
        <v>0</v>
      </c>
      <c r="P249" s="17">
        <v>0</v>
      </c>
      <c r="Q249" s="17">
        <v>0</v>
      </c>
      <c r="R249" s="13"/>
      <c r="S249" s="13" t="s">
        <v>182</v>
      </c>
      <c r="T249" s="13" t="s">
        <v>467</v>
      </c>
      <c r="U249" s="13" t="s">
        <v>422</v>
      </c>
      <c r="V249" s="13" t="s">
        <v>549</v>
      </c>
      <c r="W249" s="14">
        <v>0</v>
      </c>
    </row>
    <row r="250" spans="11:23" customFormat="1" x14ac:dyDescent="0.2">
      <c r="K250" s="13" t="s">
        <v>12</v>
      </c>
      <c r="L250" s="13" t="s">
        <v>387</v>
      </c>
      <c r="M250" s="13" t="s">
        <v>386</v>
      </c>
      <c r="N250" s="15">
        <v>0</v>
      </c>
      <c r="O250" s="16">
        <v>0</v>
      </c>
      <c r="P250" s="17">
        <v>608.45975364760409</v>
      </c>
      <c r="Q250" s="17">
        <v>0</v>
      </c>
      <c r="R250" s="13"/>
      <c r="S250" s="13" t="s">
        <v>182</v>
      </c>
      <c r="T250" s="13" t="s">
        <v>613</v>
      </c>
      <c r="U250" s="13" t="s">
        <v>444</v>
      </c>
      <c r="V250" s="13" t="s">
        <v>549</v>
      </c>
      <c r="W250" s="14">
        <v>0</v>
      </c>
    </row>
    <row r="251" spans="11:23" customFormat="1" x14ac:dyDescent="0.2">
      <c r="K251" s="13" t="s">
        <v>12</v>
      </c>
      <c r="L251" s="13" t="s">
        <v>389</v>
      </c>
      <c r="M251" s="13" t="s">
        <v>388</v>
      </c>
      <c r="N251" s="15">
        <v>0</v>
      </c>
      <c r="O251" s="16">
        <v>0</v>
      </c>
      <c r="P251" s="17">
        <v>117.22229997694222</v>
      </c>
      <c r="Q251" s="17">
        <v>0</v>
      </c>
      <c r="R251" s="13"/>
      <c r="S251" s="13" t="s">
        <v>182</v>
      </c>
      <c r="T251" s="13" t="s">
        <v>613</v>
      </c>
      <c r="U251" s="13" t="s">
        <v>444</v>
      </c>
      <c r="V251" s="13" t="s">
        <v>553</v>
      </c>
      <c r="W251" s="14">
        <v>0</v>
      </c>
    </row>
    <row r="252" spans="11:23" customFormat="1" x14ac:dyDescent="0.2">
      <c r="K252" s="13" t="s">
        <v>12</v>
      </c>
      <c r="L252" s="13" t="s">
        <v>512</v>
      </c>
      <c r="M252" s="13" t="s">
        <v>466</v>
      </c>
      <c r="N252" s="15">
        <v>0</v>
      </c>
      <c r="O252" s="16">
        <v>0</v>
      </c>
      <c r="P252" s="17">
        <v>88.86060000373223</v>
      </c>
      <c r="Q252" s="17">
        <v>0</v>
      </c>
      <c r="R252" s="13"/>
      <c r="S252" s="13" t="s">
        <v>182</v>
      </c>
      <c r="T252" s="13" t="s">
        <v>613</v>
      </c>
      <c r="U252" s="13" t="s">
        <v>444</v>
      </c>
      <c r="V252" s="13" t="s">
        <v>550</v>
      </c>
      <c r="W252" s="14">
        <v>0</v>
      </c>
    </row>
    <row r="253" spans="11:23" customFormat="1" x14ac:dyDescent="0.2">
      <c r="K253" s="13" t="s">
        <v>12</v>
      </c>
      <c r="L253" s="13" t="s">
        <v>401</v>
      </c>
      <c r="M253" s="13" t="s">
        <v>360</v>
      </c>
      <c r="N253" s="15">
        <v>0</v>
      </c>
      <c r="O253" s="16">
        <v>0</v>
      </c>
      <c r="P253" s="17">
        <v>1654.8278499194039</v>
      </c>
      <c r="Q253" s="17">
        <v>0</v>
      </c>
      <c r="R253" s="13"/>
      <c r="S253" s="13" t="s">
        <v>184</v>
      </c>
      <c r="T253" s="13" t="s">
        <v>395</v>
      </c>
      <c r="U253" s="13" t="s">
        <v>602</v>
      </c>
      <c r="V253" s="13" t="s">
        <v>549</v>
      </c>
      <c r="W253" s="14">
        <v>0</v>
      </c>
    </row>
    <row r="254" spans="11:23" customFormat="1" x14ac:dyDescent="0.2">
      <c r="K254" s="13" t="s">
        <v>12</v>
      </c>
      <c r="L254" s="13" t="s">
        <v>402</v>
      </c>
      <c r="M254" s="13" t="s">
        <v>403</v>
      </c>
      <c r="N254" s="15">
        <v>0</v>
      </c>
      <c r="O254" s="16">
        <v>0</v>
      </c>
      <c r="P254" s="17">
        <v>13272.275339870757</v>
      </c>
      <c r="Q254" s="17">
        <v>0</v>
      </c>
      <c r="R254" s="13"/>
      <c r="S254" s="13" t="s">
        <v>184</v>
      </c>
      <c r="T254" s="13" t="s">
        <v>404</v>
      </c>
      <c r="U254" s="13" t="s">
        <v>405</v>
      </c>
      <c r="V254" s="13" t="s">
        <v>549</v>
      </c>
      <c r="W254" s="14">
        <v>1.7</v>
      </c>
    </row>
    <row r="255" spans="11:23" customFormat="1" x14ac:dyDescent="0.2">
      <c r="K255" s="13" t="s">
        <v>12</v>
      </c>
      <c r="L255" s="13" t="s">
        <v>462</v>
      </c>
      <c r="M255" s="13" t="s">
        <v>370</v>
      </c>
      <c r="N255" s="15">
        <v>0</v>
      </c>
      <c r="O255" s="16">
        <v>0</v>
      </c>
      <c r="P255" s="17">
        <v>275.05099999403859</v>
      </c>
      <c r="Q255" s="17">
        <v>0</v>
      </c>
      <c r="R255" s="13"/>
      <c r="S255" s="13" t="s">
        <v>184</v>
      </c>
      <c r="T255" s="13" t="s">
        <v>609</v>
      </c>
      <c r="U255" s="13" t="s">
        <v>416</v>
      </c>
      <c r="V255" s="13" t="s">
        <v>549</v>
      </c>
      <c r="W255" s="14">
        <v>0</v>
      </c>
    </row>
    <row r="256" spans="11:23" customFormat="1" x14ac:dyDescent="0.2">
      <c r="K256" s="13" t="s">
        <v>12</v>
      </c>
      <c r="L256" s="13" t="s">
        <v>404</v>
      </c>
      <c r="M256" s="13" t="s">
        <v>405</v>
      </c>
      <c r="N256" s="15">
        <v>0</v>
      </c>
      <c r="O256" s="16">
        <v>0</v>
      </c>
      <c r="P256" s="17">
        <v>95.812849983156184</v>
      </c>
      <c r="Q256" s="17">
        <v>471.76284193264382</v>
      </c>
      <c r="R256" s="13"/>
      <c r="S256" s="13" t="s">
        <v>184</v>
      </c>
      <c r="T256" s="13" t="s">
        <v>613</v>
      </c>
      <c r="U256" s="13" t="s">
        <v>444</v>
      </c>
      <c r="V256" s="13" t="s">
        <v>549</v>
      </c>
      <c r="W256" s="14">
        <v>0</v>
      </c>
    </row>
    <row r="257" spans="11:23" customFormat="1" x14ac:dyDescent="0.2">
      <c r="K257" s="13" t="s">
        <v>12</v>
      </c>
      <c r="L257" s="13" t="s">
        <v>451</v>
      </c>
      <c r="M257" s="13" t="s">
        <v>369</v>
      </c>
      <c r="N257" s="15">
        <v>0</v>
      </c>
      <c r="O257" s="16">
        <v>0</v>
      </c>
      <c r="P257" s="17">
        <v>16118.738743396763</v>
      </c>
      <c r="Q257" s="17">
        <v>0</v>
      </c>
      <c r="R257" s="13"/>
      <c r="S257" s="13" t="s">
        <v>186</v>
      </c>
      <c r="T257" s="13" t="s">
        <v>613</v>
      </c>
      <c r="U257" s="13" t="s">
        <v>444</v>
      </c>
      <c r="V257" s="13" t="s">
        <v>549</v>
      </c>
      <c r="W257" s="14">
        <v>0</v>
      </c>
    </row>
    <row r="258" spans="11:23" customFormat="1" x14ac:dyDescent="0.2">
      <c r="K258" s="13" t="s">
        <v>12</v>
      </c>
      <c r="L258" s="13" t="s">
        <v>381</v>
      </c>
      <c r="M258" s="13" t="s">
        <v>382</v>
      </c>
      <c r="N258" s="15">
        <v>13</v>
      </c>
      <c r="O258" s="16">
        <v>0</v>
      </c>
      <c r="P258" s="17">
        <v>0</v>
      </c>
      <c r="Q258" s="17">
        <v>0</v>
      </c>
      <c r="R258" s="13"/>
      <c r="S258" s="13" t="s">
        <v>188</v>
      </c>
      <c r="T258" s="13" t="s">
        <v>613</v>
      </c>
      <c r="U258" s="13" t="s">
        <v>444</v>
      </c>
      <c r="V258" s="13" t="s">
        <v>549</v>
      </c>
      <c r="W258" s="14">
        <v>0</v>
      </c>
    </row>
    <row r="259" spans="11:23" customFormat="1" x14ac:dyDescent="0.2">
      <c r="K259" s="13" t="s">
        <v>12</v>
      </c>
      <c r="L259" s="13" t="s">
        <v>413</v>
      </c>
      <c r="M259" s="13" t="s">
        <v>428</v>
      </c>
      <c r="N259" s="15">
        <v>5</v>
      </c>
      <c r="O259" s="16">
        <v>0</v>
      </c>
      <c r="P259" s="17">
        <v>0</v>
      </c>
      <c r="Q259" s="17">
        <v>0</v>
      </c>
      <c r="R259" s="13"/>
      <c r="S259" s="13" t="s">
        <v>192</v>
      </c>
      <c r="T259" s="13" t="s">
        <v>404</v>
      </c>
      <c r="U259" s="13" t="s">
        <v>405</v>
      </c>
      <c r="V259" s="13" t="s">
        <v>549</v>
      </c>
      <c r="W259" s="14">
        <v>1.5</v>
      </c>
    </row>
    <row r="260" spans="11:23" customFormat="1" x14ac:dyDescent="0.2">
      <c r="K260" s="13" t="s">
        <v>12</v>
      </c>
      <c r="L260" s="13" t="s">
        <v>475</v>
      </c>
      <c r="M260" s="13" t="s">
        <v>470</v>
      </c>
      <c r="N260" s="15">
        <v>1</v>
      </c>
      <c r="O260" s="16">
        <v>0</v>
      </c>
      <c r="P260" s="17">
        <v>0</v>
      </c>
      <c r="Q260" s="17">
        <v>0</v>
      </c>
      <c r="R260" s="13"/>
      <c r="S260" s="13" t="s">
        <v>192</v>
      </c>
      <c r="T260" s="13" t="s">
        <v>404</v>
      </c>
      <c r="U260" s="13" t="s">
        <v>405</v>
      </c>
      <c r="V260" s="13" t="s">
        <v>553</v>
      </c>
      <c r="W260" s="14">
        <v>2</v>
      </c>
    </row>
    <row r="261" spans="11:23" customFormat="1" x14ac:dyDescent="0.2">
      <c r="K261" s="13" t="s">
        <v>12</v>
      </c>
      <c r="L261" s="13" t="s">
        <v>606</v>
      </c>
      <c r="M261" s="13" t="s">
        <v>430</v>
      </c>
      <c r="N261" s="15">
        <v>2</v>
      </c>
      <c r="O261" s="16">
        <v>0</v>
      </c>
      <c r="P261" s="17">
        <v>0</v>
      </c>
      <c r="Q261" s="17">
        <v>0</v>
      </c>
      <c r="R261" s="13"/>
      <c r="S261" s="13" t="s">
        <v>192</v>
      </c>
      <c r="T261" s="13" t="s">
        <v>404</v>
      </c>
      <c r="U261" s="13" t="s">
        <v>405</v>
      </c>
      <c r="V261" s="13" t="s">
        <v>550</v>
      </c>
      <c r="W261" s="14">
        <v>0.6</v>
      </c>
    </row>
    <row r="262" spans="11:23" customFormat="1" x14ac:dyDescent="0.2">
      <c r="K262" s="13" t="s">
        <v>12</v>
      </c>
      <c r="L262" s="13" t="s">
        <v>421</v>
      </c>
      <c r="M262" s="13" t="s">
        <v>443</v>
      </c>
      <c r="N262" s="15">
        <v>2</v>
      </c>
      <c r="O262" s="16">
        <v>0</v>
      </c>
      <c r="P262" s="17">
        <v>0</v>
      </c>
      <c r="Q262" s="17">
        <v>0</v>
      </c>
      <c r="R262" s="13"/>
      <c r="S262" s="13" t="s">
        <v>192</v>
      </c>
      <c r="T262" s="13" t="s">
        <v>609</v>
      </c>
      <c r="U262" s="13" t="s">
        <v>416</v>
      </c>
      <c r="V262" s="13" t="s">
        <v>549</v>
      </c>
      <c r="W262" s="14">
        <v>0</v>
      </c>
    </row>
    <row r="263" spans="11:23" customFormat="1" x14ac:dyDescent="0.2">
      <c r="K263" s="13" t="s">
        <v>12</v>
      </c>
      <c r="L263" s="13" t="s">
        <v>446</v>
      </c>
      <c r="M263" s="13" t="s">
        <v>371</v>
      </c>
      <c r="N263" s="15">
        <v>6</v>
      </c>
      <c r="O263" s="16">
        <v>0</v>
      </c>
      <c r="P263" s="17">
        <v>0</v>
      </c>
      <c r="Q263" s="17">
        <v>0</v>
      </c>
      <c r="R263" s="13"/>
      <c r="S263" s="13" t="s">
        <v>192</v>
      </c>
      <c r="T263" s="13" t="s">
        <v>622</v>
      </c>
      <c r="U263" s="13" t="s">
        <v>524</v>
      </c>
      <c r="V263" s="13" t="s">
        <v>549</v>
      </c>
      <c r="W263" s="14">
        <v>0</v>
      </c>
    </row>
    <row r="264" spans="11:23" customFormat="1" x14ac:dyDescent="0.2">
      <c r="K264" s="13" t="s">
        <v>12</v>
      </c>
      <c r="L264" s="13" t="s">
        <v>424</v>
      </c>
      <c r="M264" s="13" t="s">
        <v>468</v>
      </c>
      <c r="N264" s="15">
        <v>0</v>
      </c>
      <c r="O264" s="16">
        <v>0</v>
      </c>
      <c r="P264" s="17">
        <v>6.2290500011257128</v>
      </c>
      <c r="Q264" s="17">
        <v>0</v>
      </c>
      <c r="R264" s="13"/>
      <c r="S264" s="13" t="s">
        <v>192</v>
      </c>
      <c r="T264" s="13" t="s">
        <v>528</v>
      </c>
      <c r="U264" s="13" t="s">
        <v>384</v>
      </c>
      <c r="V264" s="13" t="s">
        <v>549</v>
      </c>
      <c r="W264" s="14">
        <v>0</v>
      </c>
    </row>
    <row r="265" spans="11:23" customFormat="1" x14ac:dyDescent="0.2">
      <c r="K265" s="13" t="s">
        <v>12</v>
      </c>
      <c r="L265" s="13" t="s">
        <v>614</v>
      </c>
      <c r="M265" s="13" t="s">
        <v>447</v>
      </c>
      <c r="N265" s="15">
        <v>1</v>
      </c>
      <c r="O265" s="16">
        <v>0</v>
      </c>
      <c r="P265" s="17">
        <v>0</v>
      </c>
      <c r="Q265" s="17">
        <v>0</v>
      </c>
      <c r="R265" s="13"/>
      <c r="S265" s="13" t="s">
        <v>192</v>
      </c>
      <c r="T265" s="13" t="s">
        <v>613</v>
      </c>
      <c r="U265" s="13" t="s">
        <v>444</v>
      </c>
      <c r="V265" s="13" t="s">
        <v>549</v>
      </c>
      <c r="W265" s="14">
        <v>0</v>
      </c>
    </row>
    <row r="266" spans="11:23" customFormat="1" x14ac:dyDescent="0.2">
      <c r="K266" s="13" t="s">
        <v>12</v>
      </c>
      <c r="L266" s="13" t="s">
        <v>454</v>
      </c>
      <c r="M266" s="13" t="s">
        <v>455</v>
      </c>
      <c r="N266" s="15">
        <v>0</v>
      </c>
      <c r="O266" s="16">
        <v>0</v>
      </c>
      <c r="P266" s="17">
        <v>3444.6929999184113</v>
      </c>
      <c r="Q266" s="17">
        <v>0</v>
      </c>
      <c r="R266" s="13"/>
      <c r="S266" s="13" t="s">
        <v>192</v>
      </c>
      <c r="T266" s="13" t="s">
        <v>613</v>
      </c>
      <c r="U266" s="13" t="s">
        <v>444</v>
      </c>
      <c r="V266" s="13" t="s">
        <v>553</v>
      </c>
      <c r="W266" s="14">
        <v>0</v>
      </c>
    </row>
    <row r="267" spans="11:23" customFormat="1" x14ac:dyDescent="0.2">
      <c r="K267" s="13" t="s">
        <v>13</v>
      </c>
      <c r="L267" s="13" t="s">
        <v>401</v>
      </c>
      <c r="M267" s="13" t="s">
        <v>360</v>
      </c>
      <c r="N267" s="15">
        <v>0</v>
      </c>
      <c r="O267" s="16">
        <v>0</v>
      </c>
      <c r="P267" s="17">
        <v>8.4905999980057594</v>
      </c>
      <c r="Q267" s="17">
        <v>0</v>
      </c>
      <c r="R267" s="13"/>
      <c r="S267" s="13" t="s">
        <v>194</v>
      </c>
      <c r="T267" s="13" t="s">
        <v>395</v>
      </c>
      <c r="U267" s="13" t="s">
        <v>602</v>
      </c>
      <c r="V267" s="13" t="s">
        <v>549</v>
      </c>
      <c r="W267" s="14">
        <v>0</v>
      </c>
    </row>
    <row r="268" spans="11:23" customFormat="1" x14ac:dyDescent="0.2">
      <c r="K268" s="13" t="s">
        <v>13</v>
      </c>
      <c r="L268" s="13" t="s">
        <v>402</v>
      </c>
      <c r="M268" s="13" t="s">
        <v>403</v>
      </c>
      <c r="N268" s="15">
        <v>0</v>
      </c>
      <c r="O268" s="16">
        <v>0</v>
      </c>
      <c r="P268" s="17">
        <v>578.54855001371402</v>
      </c>
      <c r="Q268" s="17">
        <v>0</v>
      </c>
      <c r="R268" s="13"/>
      <c r="S268" s="13" t="s">
        <v>194</v>
      </c>
      <c r="T268" s="13" t="s">
        <v>404</v>
      </c>
      <c r="U268" s="13" t="s">
        <v>405</v>
      </c>
      <c r="V268" s="13" t="s">
        <v>549</v>
      </c>
      <c r="W268" s="14">
        <v>1</v>
      </c>
    </row>
    <row r="269" spans="11:23" customFormat="1" x14ac:dyDescent="0.2">
      <c r="K269" s="13" t="s">
        <v>13</v>
      </c>
      <c r="L269" s="13" t="s">
        <v>451</v>
      </c>
      <c r="M269" s="13" t="s">
        <v>369</v>
      </c>
      <c r="N269" s="15">
        <v>0</v>
      </c>
      <c r="O269" s="16">
        <v>0</v>
      </c>
      <c r="P269" s="17">
        <v>587.03915001171981</v>
      </c>
      <c r="Q269" s="17">
        <v>0</v>
      </c>
      <c r="R269" s="13"/>
      <c r="S269" s="13" t="s">
        <v>194</v>
      </c>
      <c r="T269" s="13" t="s">
        <v>404</v>
      </c>
      <c r="U269" s="13" t="s">
        <v>405</v>
      </c>
      <c r="V269" s="13" t="s">
        <v>549</v>
      </c>
      <c r="W269" s="14">
        <v>1.4</v>
      </c>
    </row>
    <row r="270" spans="11:23" customFormat="1" x14ac:dyDescent="0.2">
      <c r="K270" s="13" t="s">
        <v>13</v>
      </c>
      <c r="L270" s="13" t="s">
        <v>381</v>
      </c>
      <c r="M270" s="13" t="s">
        <v>382</v>
      </c>
      <c r="N270" s="15">
        <v>10</v>
      </c>
      <c r="O270" s="16">
        <v>0</v>
      </c>
      <c r="P270" s="17">
        <v>0</v>
      </c>
      <c r="Q270" s="17">
        <v>0</v>
      </c>
      <c r="R270" s="13"/>
      <c r="S270" s="13" t="s">
        <v>194</v>
      </c>
      <c r="T270" s="13" t="s">
        <v>404</v>
      </c>
      <c r="U270" s="13" t="s">
        <v>405</v>
      </c>
      <c r="V270" s="13" t="s">
        <v>553</v>
      </c>
      <c r="W270" s="14">
        <v>1.8</v>
      </c>
    </row>
    <row r="271" spans="11:23" customFormat="1" x14ac:dyDescent="0.2">
      <c r="K271" s="13" t="s">
        <v>13</v>
      </c>
      <c r="L271" s="13" t="s">
        <v>413</v>
      </c>
      <c r="M271" s="13" t="s">
        <v>428</v>
      </c>
      <c r="N271" s="15">
        <v>1</v>
      </c>
      <c r="O271" s="16">
        <v>0</v>
      </c>
      <c r="P271" s="17">
        <v>0</v>
      </c>
      <c r="Q271" s="17">
        <v>0</v>
      </c>
      <c r="R271" s="13"/>
      <c r="S271" s="13" t="s">
        <v>194</v>
      </c>
      <c r="T271" s="13" t="s">
        <v>404</v>
      </c>
      <c r="U271" s="13" t="s">
        <v>405</v>
      </c>
      <c r="V271" s="13" t="s">
        <v>553</v>
      </c>
      <c r="W271" s="14">
        <v>2.5</v>
      </c>
    </row>
    <row r="272" spans="11:23" customFormat="1" x14ac:dyDescent="0.2">
      <c r="K272" s="13" t="s">
        <v>13</v>
      </c>
      <c r="L272" s="13" t="s">
        <v>608</v>
      </c>
      <c r="M272" s="13" t="s">
        <v>432</v>
      </c>
      <c r="N272" s="15">
        <v>4</v>
      </c>
      <c r="O272" s="16">
        <v>0</v>
      </c>
      <c r="P272" s="17">
        <v>0</v>
      </c>
      <c r="Q272" s="17">
        <v>0</v>
      </c>
      <c r="R272" s="13"/>
      <c r="S272" s="13" t="s">
        <v>194</v>
      </c>
      <c r="T272" s="13" t="s">
        <v>404</v>
      </c>
      <c r="U272" s="13" t="s">
        <v>405</v>
      </c>
      <c r="V272" s="13" t="s">
        <v>550</v>
      </c>
      <c r="W272" s="14">
        <v>2</v>
      </c>
    </row>
    <row r="273" spans="11:23" customFormat="1" x14ac:dyDescent="0.2">
      <c r="K273" s="13" t="s">
        <v>13</v>
      </c>
      <c r="L273" s="13" t="s">
        <v>419</v>
      </c>
      <c r="M273" s="13" t="s">
        <v>442</v>
      </c>
      <c r="N273" s="15">
        <v>0</v>
      </c>
      <c r="O273" s="16">
        <v>63.486317229041227</v>
      </c>
      <c r="P273" s="17">
        <v>0</v>
      </c>
      <c r="Q273" s="17">
        <v>0</v>
      </c>
      <c r="R273" s="13"/>
      <c r="S273" s="13" t="s">
        <v>194</v>
      </c>
      <c r="T273" s="13" t="s">
        <v>406</v>
      </c>
      <c r="U273" s="13" t="s">
        <v>361</v>
      </c>
      <c r="V273" s="13" t="s">
        <v>549</v>
      </c>
      <c r="W273" s="14">
        <v>2</v>
      </c>
    </row>
    <row r="274" spans="11:23" customFormat="1" x14ac:dyDescent="0.2">
      <c r="K274" s="13" t="s">
        <v>13</v>
      </c>
      <c r="L274" s="13" t="s">
        <v>458</v>
      </c>
      <c r="M274" s="13" t="s">
        <v>459</v>
      </c>
      <c r="N274" s="15">
        <v>0</v>
      </c>
      <c r="O274" s="16">
        <v>0</v>
      </c>
      <c r="P274" s="17">
        <v>298.1085499821171</v>
      </c>
      <c r="Q274" s="17">
        <v>0</v>
      </c>
      <c r="R274" s="13"/>
      <c r="S274" s="13" t="s">
        <v>194</v>
      </c>
      <c r="T274" s="13" t="s">
        <v>406</v>
      </c>
      <c r="U274" s="13" t="s">
        <v>361</v>
      </c>
      <c r="V274" s="13" t="s">
        <v>553</v>
      </c>
      <c r="W274" s="14">
        <v>2.5</v>
      </c>
    </row>
    <row r="275" spans="11:23" customFormat="1" x14ac:dyDescent="0.2">
      <c r="K275" s="13" t="s">
        <v>14</v>
      </c>
      <c r="L275" s="13" t="s">
        <v>402</v>
      </c>
      <c r="M275" s="13" t="s">
        <v>403</v>
      </c>
      <c r="N275" s="15">
        <v>0</v>
      </c>
      <c r="O275" s="16">
        <v>0</v>
      </c>
      <c r="P275" s="17">
        <v>827.36474998630274</v>
      </c>
      <c r="Q275" s="17">
        <v>0</v>
      </c>
      <c r="R275" s="13"/>
      <c r="S275" s="13" t="s">
        <v>194</v>
      </c>
      <c r="T275" s="13" t="s">
        <v>406</v>
      </c>
      <c r="U275" s="13" t="s">
        <v>361</v>
      </c>
      <c r="V275" s="13" t="s">
        <v>550</v>
      </c>
      <c r="W275" s="14">
        <v>2</v>
      </c>
    </row>
    <row r="276" spans="11:23" customFormat="1" x14ac:dyDescent="0.2">
      <c r="K276" s="13" t="s">
        <v>14</v>
      </c>
      <c r="L276" s="13" t="s">
        <v>463</v>
      </c>
      <c r="M276" s="13" t="s">
        <v>372</v>
      </c>
      <c r="N276" s="15">
        <v>0</v>
      </c>
      <c r="O276" s="16">
        <v>0</v>
      </c>
      <c r="P276" s="17">
        <v>9135.8524498770603</v>
      </c>
      <c r="Q276" s="17">
        <v>0</v>
      </c>
      <c r="R276" s="13"/>
      <c r="S276" s="13" t="s">
        <v>194</v>
      </c>
      <c r="T276" s="13" t="s">
        <v>609</v>
      </c>
      <c r="U276" s="13" t="s">
        <v>416</v>
      </c>
      <c r="V276" s="13" t="s">
        <v>549</v>
      </c>
      <c r="W276" s="14">
        <v>0</v>
      </c>
    </row>
    <row r="277" spans="11:23" customFormat="1" x14ac:dyDescent="0.2">
      <c r="K277" s="13" t="s">
        <v>14</v>
      </c>
      <c r="L277" s="13" t="s">
        <v>471</v>
      </c>
      <c r="M277" s="13" t="s">
        <v>472</v>
      </c>
      <c r="N277" s="15">
        <v>0</v>
      </c>
      <c r="O277" s="16">
        <v>0</v>
      </c>
      <c r="P277" s="17">
        <v>8308.4876998907584</v>
      </c>
      <c r="Q277" s="17">
        <v>0</v>
      </c>
      <c r="R277" s="13"/>
      <c r="S277" s="13" t="s">
        <v>194</v>
      </c>
      <c r="T277" s="13" t="s">
        <v>528</v>
      </c>
      <c r="U277" s="13" t="s">
        <v>384</v>
      </c>
      <c r="V277" s="13" t="s">
        <v>549</v>
      </c>
      <c r="W277" s="14">
        <v>0</v>
      </c>
    </row>
    <row r="278" spans="11:23" customFormat="1" x14ac:dyDescent="0.2">
      <c r="K278" s="13" t="s">
        <v>14</v>
      </c>
      <c r="L278" s="13" t="s">
        <v>454</v>
      </c>
      <c r="M278" s="13" t="s">
        <v>455</v>
      </c>
      <c r="N278" s="15">
        <v>0</v>
      </c>
      <c r="O278" s="16">
        <v>0</v>
      </c>
      <c r="P278" s="17">
        <v>3350.5757998886579</v>
      </c>
      <c r="Q278" s="17">
        <v>0</v>
      </c>
      <c r="R278" s="13"/>
      <c r="S278" s="13" t="s">
        <v>194</v>
      </c>
      <c r="T278" s="13" t="s">
        <v>528</v>
      </c>
      <c r="U278" s="13" t="s">
        <v>384</v>
      </c>
      <c r="V278" s="13" t="s">
        <v>553</v>
      </c>
      <c r="W278" s="14">
        <v>0</v>
      </c>
    </row>
    <row r="279" spans="11:23" customFormat="1" x14ac:dyDescent="0.2">
      <c r="K279" s="13" t="s">
        <v>15</v>
      </c>
      <c r="L279" s="13" t="s">
        <v>391</v>
      </c>
      <c r="M279" s="13" t="s">
        <v>358</v>
      </c>
      <c r="N279" s="15">
        <v>0</v>
      </c>
      <c r="O279" s="16">
        <v>0</v>
      </c>
      <c r="P279" s="17">
        <v>1292.0012500060848</v>
      </c>
      <c r="Q279" s="17">
        <v>0</v>
      </c>
      <c r="R279" s="13"/>
      <c r="S279" s="13" t="s">
        <v>194</v>
      </c>
      <c r="T279" s="13" t="s">
        <v>528</v>
      </c>
      <c r="U279" s="13" t="s">
        <v>384</v>
      </c>
      <c r="V279" s="13" t="s">
        <v>550</v>
      </c>
      <c r="W279" s="14">
        <v>0</v>
      </c>
    </row>
    <row r="280" spans="11:23" customFormat="1" x14ac:dyDescent="0.2">
      <c r="K280" s="13" t="s">
        <v>15</v>
      </c>
      <c r="L280" s="13" t="s">
        <v>401</v>
      </c>
      <c r="M280" s="13" t="s">
        <v>360</v>
      </c>
      <c r="N280" s="15">
        <v>0</v>
      </c>
      <c r="O280" s="16">
        <v>0</v>
      </c>
      <c r="P280" s="17">
        <v>746.98325000144484</v>
      </c>
      <c r="Q280" s="17">
        <v>0</v>
      </c>
      <c r="R280" s="13"/>
      <c r="S280" s="13" t="s">
        <v>194</v>
      </c>
      <c r="T280" s="13" t="s">
        <v>613</v>
      </c>
      <c r="U280" s="13" t="s">
        <v>444</v>
      </c>
      <c r="V280" s="13" t="s">
        <v>549</v>
      </c>
      <c r="W280" s="14">
        <v>0</v>
      </c>
    </row>
    <row r="281" spans="11:23" customFormat="1" x14ac:dyDescent="0.2">
      <c r="K281" s="13" t="s">
        <v>15</v>
      </c>
      <c r="L281" s="13" t="s">
        <v>462</v>
      </c>
      <c r="M281" s="13" t="s">
        <v>370</v>
      </c>
      <c r="N281" s="15">
        <v>0</v>
      </c>
      <c r="O281" s="16">
        <v>0</v>
      </c>
      <c r="P281" s="17">
        <v>16254.407799624356</v>
      </c>
      <c r="Q281" s="17">
        <v>0</v>
      </c>
      <c r="R281" s="13"/>
      <c r="S281" s="13" t="s">
        <v>194</v>
      </c>
      <c r="T281" s="13" t="s">
        <v>613</v>
      </c>
      <c r="U281" s="13" t="s">
        <v>444</v>
      </c>
      <c r="V281" s="13" t="s">
        <v>550</v>
      </c>
      <c r="W281" s="14">
        <v>0</v>
      </c>
    </row>
    <row r="282" spans="11:23" customFormat="1" x14ac:dyDescent="0.2">
      <c r="K282" s="13" t="s">
        <v>15</v>
      </c>
      <c r="L282" s="13" t="s">
        <v>456</v>
      </c>
      <c r="M282" s="13" t="s">
        <v>457</v>
      </c>
      <c r="N282" s="15">
        <v>0</v>
      </c>
      <c r="O282" s="16">
        <v>0</v>
      </c>
      <c r="P282" s="17">
        <v>4305.233349841923</v>
      </c>
      <c r="Q282" s="17">
        <v>0</v>
      </c>
      <c r="R282" s="13"/>
      <c r="S282" s="13" t="s">
        <v>194</v>
      </c>
      <c r="T282" s="13" t="s">
        <v>611</v>
      </c>
      <c r="U282" s="13" t="s">
        <v>423</v>
      </c>
      <c r="V282" s="13" t="s">
        <v>549</v>
      </c>
      <c r="W282" s="14">
        <v>0</v>
      </c>
    </row>
    <row r="283" spans="11:23" customFormat="1" x14ac:dyDescent="0.2">
      <c r="K283" s="13" t="s">
        <v>15</v>
      </c>
      <c r="L283" s="13" t="s">
        <v>463</v>
      </c>
      <c r="M283" s="13" t="s">
        <v>372</v>
      </c>
      <c r="N283" s="15">
        <v>0</v>
      </c>
      <c r="O283" s="16">
        <v>0</v>
      </c>
      <c r="P283" s="17">
        <v>22598.625649473808</v>
      </c>
      <c r="Q283" s="17">
        <v>0</v>
      </c>
      <c r="R283" s="13"/>
      <c r="S283" s="13" t="s">
        <v>197</v>
      </c>
      <c r="T283" s="13" t="s">
        <v>404</v>
      </c>
      <c r="U283" s="13" t="s">
        <v>405</v>
      </c>
      <c r="V283" s="13" t="s">
        <v>549</v>
      </c>
      <c r="W283" s="14">
        <v>1.5</v>
      </c>
    </row>
    <row r="284" spans="11:23" customFormat="1" x14ac:dyDescent="0.2">
      <c r="K284" s="13" t="s">
        <v>15</v>
      </c>
      <c r="L284" s="13" t="s">
        <v>381</v>
      </c>
      <c r="M284" s="13" t="s">
        <v>382</v>
      </c>
      <c r="N284" s="15">
        <v>4</v>
      </c>
      <c r="O284" s="16">
        <v>0</v>
      </c>
      <c r="P284" s="17">
        <v>0</v>
      </c>
      <c r="Q284" s="17">
        <v>0</v>
      </c>
      <c r="R284" s="13"/>
      <c r="S284" s="13" t="s">
        <v>197</v>
      </c>
      <c r="T284" s="13" t="s">
        <v>404</v>
      </c>
      <c r="U284" s="13" t="s">
        <v>405</v>
      </c>
      <c r="V284" s="13" t="s">
        <v>550</v>
      </c>
      <c r="W284" s="14">
        <v>2.5</v>
      </c>
    </row>
    <row r="285" spans="11:23" customFormat="1" x14ac:dyDescent="0.2">
      <c r="K285" s="13" t="s">
        <v>15</v>
      </c>
      <c r="L285" s="13" t="s">
        <v>413</v>
      </c>
      <c r="M285" s="13" t="s">
        <v>428</v>
      </c>
      <c r="N285" s="15">
        <v>1</v>
      </c>
      <c r="O285" s="16">
        <v>0</v>
      </c>
      <c r="P285" s="17">
        <v>0</v>
      </c>
      <c r="Q285" s="17">
        <v>0</v>
      </c>
      <c r="R285" s="13"/>
      <c r="S285" s="13" t="s">
        <v>197</v>
      </c>
      <c r="T285" s="13" t="s">
        <v>404</v>
      </c>
      <c r="U285" s="13" t="s">
        <v>405</v>
      </c>
      <c r="V285" s="13" t="s">
        <v>552</v>
      </c>
      <c r="W285" s="14">
        <v>4</v>
      </c>
    </row>
    <row r="286" spans="11:23" customFormat="1" x14ac:dyDescent="0.2">
      <c r="K286" s="13" t="s">
        <v>15</v>
      </c>
      <c r="L286" s="13" t="s">
        <v>467</v>
      </c>
      <c r="M286" s="13" t="s">
        <v>422</v>
      </c>
      <c r="N286" s="15">
        <v>0</v>
      </c>
      <c r="O286" s="16">
        <v>1122.8772746475931</v>
      </c>
      <c r="P286" s="17">
        <v>0</v>
      </c>
      <c r="Q286" s="17">
        <v>0</v>
      </c>
      <c r="R286" s="13"/>
      <c r="S286" s="13" t="s">
        <v>197</v>
      </c>
      <c r="T286" s="13" t="s">
        <v>406</v>
      </c>
      <c r="U286" s="13" t="s">
        <v>361</v>
      </c>
      <c r="V286" s="13" t="s">
        <v>549</v>
      </c>
      <c r="W286" s="14">
        <v>1</v>
      </c>
    </row>
    <row r="287" spans="11:23" customFormat="1" x14ac:dyDescent="0.2">
      <c r="K287" s="13" t="s">
        <v>15</v>
      </c>
      <c r="L287" s="13" t="s">
        <v>458</v>
      </c>
      <c r="M287" s="13" t="s">
        <v>459</v>
      </c>
      <c r="N287" s="15">
        <v>0</v>
      </c>
      <c r="O287" s="16">
        <v>0</v>
      </c>
      <c r="P287" s="17">
        <v>38080.412814229203</v>
      </c>
      <c r="Q287" s="17">
        <v>0</v>
      </c>
      <c r="R287" s="13"/>
      <c r="S287" s="13" t="s">
        <v>197</v>
      </c>
      <c r="T287" s="13" t="s">
        <v>406</v>
      </c>
      <c r="U287" s="13" t="s">
        <v>361</v>
      </c>
      <c r="V287" s="13" t="s">
        <v>553</v>
      </c>
      <c r="W287" s="14">
        <v>2</v>
      </c>
    </row>
    <row r="288" spans="11:23" customFormat="1" x14ac:dyDescent="0.2">
      <c r="K288" s="13" t="s">
        <v>16</v>
      </c>
      <c r="L288" s="13" t="s">
        <v>387</v>
      </c>
      <c r="M288" s="13" t="s">
        <v>386</v>
      </c>
      <c r="N288" s="15">
        <v>0</v>
      </c>
      <c r="O288" s="16">
        <v>0</v>
      </c>
      <c r="P288" s="17">
        <v>147.41620000697316</v>
      </c>
      <c r="Q288" s="17">
        <v>0</v>
      </c>
      <c r="R288" s="13"/>
      <c r="S288" s="13" t="s">
        <v>197</v>
      </c>
      <c r="T288" s="13" t="s">
        <v>609</v>
      </c>
      <c r="U288" s="13" t="s">
        <v>416</v>
      </c>
      <c r="V288" s="13" t="s">
        <v>549</v>
      </c>
      <c r="W288" s="14">
        <v>0</v>
      </c>
    </row>
    <row r="289" spans="11:23" customFormat="1" x14ac:dyDescent="0.2">
      <c r="K289" s="13" t="s">
        <v>16</v>
      </c>
      <c r="L289" s="13" t="s">
        <v>389</v>
      </c>
      <c r="M289" s="13" t="s">
        <v>388</v>
      </c>
      <c r="N289" s="15">
        <v>0</v>
      </c>
      <c r="O289" s="16">
        <v>0</v>
      </c>
      <c r="P289" s="17">
        <v>59.869549985698555</v>
      </c>
      <c r="Q289" s="17">
        <v>0</v>
      </c>
      <c r="R289" s="13"/>
      <c r="S289" s="13" t="s">
        <v>197</v>
      </c>
      <c r="T289" s="13" t="s">
        <v>528</v>
      </c>
      <c r="U289" s="13" t="s">
        <v>384</v>
      </c>
      <c r="V289" s="13" t="s">
        <v>549</v>
      </c>
      <c r="W289" s="14">
        <v>0</v>
      </c>
    </row>
    <row r="290" spans="11:23" customFormat="1" x14ac:dyDescent="0.2">
      <c r="K290" s="13" t="s">
        <v>16</v>
      </c>
      <c r="L290" s="13" t="s">
        <v>399</v>
      </c>
      <c r="M290" s="13" t="s">
        <v>400</v>
      </c>
      <c r="N290" s="15">
        <v>0</v>
      </c>
      <c r="O290" s="16">
        <v>0</v>
      </c>
      <c r="P290" s="17">
        <v>7.868200000337163</v>
      </c>
      <c r="Q290" s="17">
        <v>0</v>
      </c>
      <c r="R290" s="13"/>
      <c r="S290" s="13" t="s">
        <v>197</v>
      </c>
      <c r="T290" s="13" t="s">
        <v>528</v>
      </c>
      <c r="U290" s="13" t="s">
        <v>384</v>
      </c>
      <c r="V290" s="13" t="s">
        <v>553</v>
      </c>
      <c r="W290" s="14">
        <v>0</v>
      </c>
    </row>
    <row r="291" spans="11:23" customFormat="1" x14ac:dyDescent="0.2">
      <c r="K291" s="13" t="s">
        <v>16</v>
      </c>
      <c r="L291" s="13" t="s">
        <v>401</v>
      </c>
      <c r="M291" s="13" t="s">
        <v>360</v>
      </c>
      <c r="N291" s="15">
        <v>0</v>
      </c>
      <c r="O291" s="16">
        <v>0</v>
      </c>
      <c r="P291" s="17">
        <v>128.84985000228846</v>
      </c>
      <c r="Q291" s="17">
        <v>0</v>
      </c>
      <c r="R291" s="13"/>
      <c r="S291" s="13" t="s">
        <v>197</v>
      </c>
      <c r="T291" s="13" t="s">
        <v>528</v>
      </c>
      <c r="U291" s="13" t="s">
        <v>384</v>
      </c>
      <c r="V291" s="13" t="s">
        <v>550</v>
      </c>
      <c r="W291" s="14">
        <v>0</v>
      </c>
    </row>
    <row r="292" spans="11:23" customFormat="1" x14ac:dyDescent="0.2">
      <c r="K292" s="13" t="s">
        <v>16</v>
      </c>
      <c r="L292" s="13" t="s">
        <v>402</v>
      </c>
      <c r="M292" s="13" t="s">
        <v>403</v>
      </c>
      <c r="N292" s="15">
        <v>0</v>
      </c>
      <c r="O292" s="16">
        <v>0</v>
      </c>
      <c r="P292" s="17">
        <v>2659.7557498992965</v>
      </c>
      <c r="Q292" s="17">
        <v>0</v>
      </c>
      <c r="R292" s="13"/>
      <c r="S292" s="13" t="s">
        <v>197</v>
      </c>
      <c r="T292" s="13" t="s">
        <v>528</v>
      </c>
      <c r="U292" s="13" t="s">
        <v>384</v>
      </c>
      <c r="V292" s="13" t="s">
        <v>551</v>
      </c>
      <c r="W292" s="14">
        <v>0</v>
      </c>
    </row>
    <row r="293" spans="11:23" customFormat="1" x14ac:dyDescent="0.2">
      <c r="K293" s="13" t="s">
        <v>16</v>
      </c>
      <c r="L293" s="13" t="s">
        <v>404</v>
      </c>
      <c r="M293" s="13" t="s">
        <v>405</v>
      </c>
      <c r="N293" s="15">
        <v>0</v>
      </c>
      <c r="O293" s="16">
        <v>0</v>
      </c>
      <c r="P293" s="17">
        <v>458.83335005821681</v>
      </c>
      <c r="Q293" s="17">
        <v>1008.3907739281685</v>
      </c>
      <c r="R293" s="13"/>
      <c r="S293" s="13" t="s">
        <v>197</v>
      </c>
      <c r="T293" s="13" t="s">
        <v>528</v>
      </c>
      <c r="U293" s="13" t="s">
        <v>384</v>
      </c>
      <c r="V293" s="13" t="s">
        <v>552</v>
      </c>
      <c r="W293" s="14">
        <v>0</v>
      </c>
    </row>
    <row r="294" spans="11:23" customFormat="1" x14ac:dyDescent="0.2">
      <c r="K294" s="13" t="s">
        <v>16</v>
      </c>
      <c r="L294" s="13" t="s">
        <v>451</v>
      </c>
      <c r="M294" s="13" t="s">
        <v>369</v>
      </c>
      <c r="N294" s="15">
        <v>0</v>
      </c>
      <c r="O294" s="16">
        <v>0</v>
      </c>
      <c r="P294" s="17">
        <v>3462.5928999528105</v>
      </c>
      <c r="Q294" s="17">
        <v>0</v>
      </c>
      <c r="R294" s="13"/>
      <c r="S294" s="13" t="s">
        <v>197</v>
      </c>
      <c r="T294" s="13" t="s">
        <v>613</v>
      </c>
      <c r="U294" s="13" t="s">
        <v>444</v>
      </c>
      <c r="V294" s="13" t="s">
        <v>549</v>
      </c>
      <c r="W294" s="14">
        <v>0</v>
      </c>
    </row>
    <row r="295" spans="11:23" customFormat="1" x14ac:dyDescent="0.2">
      <c r="K295" s="13" t="s">
        <v>16</v>
      </c>
      <c r="L295" s="13" t="s">
        <v>411</v>
      </c>
      <c r="M295" s="13" t="s">
        <v>362</v>
      </c>
      <c r="N295" s="15">
        <v>2</v>
      </c>
      <c r="O295" s="16">
        <v>0</v>
      </c>
      <c r="P295" s="17">
        <v>0</v>
      </c>
      <c r="Q295" s="17">
        <v>0</v>
      </c>
      <c r="R295" s="13"/>
      <c r="S295" s="13" t="s">
        <v>197</v>
      </c>
      <c r="T295" s="13" t="s">
        <v>613</v>
      </c>
      <c r="U295" s="13" t="s">
        <v>444</v>
      </c>
      <c r="V295" s="13" t="s">
        <v>553</v>
      </c>
      <c r="W295" s="14">
        <v>0</v>
      </c>
    </row>
    <row r="296" spans="11:23" customFormat="1" x14ac:dyDescent="0.2">
      <c r="K296" s="13" t="s">
        <v>16</v>
      </c>
      <c r="L296" s="13" t="s">
        <v>475</v>
      </c>
      <c r="M296" s="13" t="s">
        <v>470</v>
      </c>
      <c r="N296" s="15">
        <v>2</v>
      </c>
      <c r="O296" s="16">
        <v>0</v>
      </c>
      <c r="P296" s="17">
        <v>0</v>
      </c>
      <c r="Q296" s="17">
        <v>0</v>
      </c>
      <c r="R296" s="13"/>
      <c r="S296" s="13" t="s">
        <v>197</v>
      </c>
      <c r="T296" s="13" t="s">
        <v>613</v>
      </c>
      <c r="U296" s="13" t="s">
        <v>444</v>
      </c>
      <c r="V296" s="13" t="s">
        <v>550</v>
      </c>
      <c r="W296" s="14">
        <v>0</v>
      </c>
    </row>
    <row r="297" spans="11:23" customFormat="1" x14ac:dyDescent="0.2">
      <c r="K297" s="13" t="s">
        <v>16</v>
      </c>
      <c r="L297" s="13" t="s">
        <v>608</v>
      </c>
      <c r="M297" s="13" t="s">
        <v>432</v>
      </c>
      <c r="N297" s="15">
        <v>1</v>
      </c>
      <c r="O297" s="16">
        <v>0</v>
      </c>
      <c r="P297" s="17">
        <v>0</v>
      </c>
      <c r="Q297" s="17">
        <v>0</v>
      </c>
      <c r="R297" s="13"/>
      <c r="S297" s="13" t="s">
        <v>197</v>
      </c>
      <c r="T297" s="13" t="s">
        <v>611</v>
      </c>
      <c r="U297" s="13" t="s">
        <v>423</v>
      </c>
      <c r="V297" s="13" t="s">
        <v>549</v>
      </c>
      <c r="W297" s="14">
        <v>0</v>
      </c>
    </row>
    <row r="298" spans="11:23" customFormat="1" x14ac:dyDescent="0.2">
      <c r="K298" s="13" t="s">
        <v>16</v>
      </c>
      <c r="L298" s="13" t="s">
        <v>528</v>
      </c>
      <c r="M298" s="13" t="s">
        <v>384</v>
      </c>
      <c r="N298" s="15">
        <v>0</v>
      </c>
      <c r="O298" s="16">
        <v>77.911111544534123</v>
      </c>
      <c r="P298" s="17">
        <v>0</v>
      </c>
      <c r="Q298" s="17">
        <v>0</v>
      </c>
      <c r="R298" s="13"/>
      <c r="S298" s="13" t="s">
        <v>199</v>
      </c>
      <c r="T298" s="13" t="s">
        <v>404</v>
      </c>
      <c r="U298" s="13" t="s">
        <v>405</v>
      </c>
      <c r="V298" s="13" t="s">
        <v>549</v>
      </c>
      <c r="W298" s="14">
        <v>1.2</v>
      </c>
    </row>
    <row r="299" spans="11:23" customFormat="1" x14ac:dyDescent="0.2">
      <c r="K299" s="13" t="s">
        <v>16</v>
      </c>
      <c r="L299" s="13" t="s">
        <v>613</v>
      </c>
      <c r="M299" s="13" t="s">
        <v>444</v>
      </c>
      <c r="N299" s="15">
        <v>0</v>
      </c>
      <c r="O299" s="16">
        <v>28.499714037199329</v>
      </c>
      <c r="P299" s="17">
        <v>0</v>
      </c>
      <c r="Q299" s="17">
        <v>0</v>
      </c>
      <c r="R299" s="13"/>
      <c r="S299" s="13" t="s">
        <v>199</v>
      </c>
      <c r="T299" s="13" t="s">
        <v>404</v>
      </c>
      <c r="U299" s="13" t="s">
        <v>405</v>
      </c>
      <c r="V299" s="13" t="s">
        <v>553</v>
      </c>
      <c r="W299" s="14">
        <v>1</v>
      </c>
    </row>
    <row r="300" spans="11:23" customFormat="1" x14ac:dyDescent="0.2">
      <c r="K300" s="13" t="s">
        <v>17</v>
      </c>
      <c r="L300" s="13" t="s">
        <v>435</v>
      </c>
      <c r="M300" s="13" t="s">
        <v>364</v>
      </c>
      <c r="N300" s="15">
        <v>0</v>
      </c>
      <c r="O300" s="16">
        <v>0</v>
      </c>
      <c r="P300" s="17">
        <v>11579.766961641431</v>
      </c>
      <c r="Q300" s="17">
        <v>0</v>
      </c>
      <c r="R300" s="13"/>
      <c r="S300" s="13" t="s">
        <v>199</v>
      </c>
      <c r="T300" s="13" t="s">
        <v>404</v>
      </c>
      <c r="U300" s="13" t="s">
        <v>405</v>
      </c>
      <c r="V300" s="13" t="s">
        <v>550</v>
      </c>
      <c r="W300" s="14">
        <v>1.5</v>
      </c>
    </row>
    <row r="301" spans="11:23" customFormat="1" x14ac:dyDescent="0.2">
      <c r="K301" s="13" t="s">
        <v>17</v>
      </c>
      <c r="L301" s="13" t="s">
        <v>387</v>
      </c>
      <c r="M301" s="13" t="s">
        <v>386</v>
      </c>
      <c r="N301" s="15">
        <v>0</v>
      </c>
      <c r="O301" s="16">
        <v>0</v>
      </c>
      <c r="P301" s="17">
        <v>36.741349998879109</v>
      </c>
      <c r="Q301" s="17">
        <v>0</v>
      </c>
      <c r="R301" s="13"/>
      <c r="S301" s="13" t="s">
        <v>199</v>
      </c>
      <c r="T301" s="13" t="s">
        <v>406</v>
      </c>
      <c r="U301" s="13" t="s">
        <v>361</v>
      </c>
      <c r="V301" s="13" t="s">
        <v>550</v>
      </c>
      <c r="W301" s="14">
        <v>1.5</v>
      </c>
    </row>
    <row r="302" spans="11:23" customFormat="1" x14ac:dyDescent="0.2">
      <c r="K302" s="13" t="s">
        <v>17</v>
      </c>
      <c r="L302" s="13" t="s">
        <v>391</v>
      </c>
      <c r="M302" s="13" t="s">
        <v>358</v>
      </c>
      <c r="N302" s="15">
        <v>0</v>
      </c>
      <c r="O302" s="16">
        <v>0</v>
      </c>
      <c r="P302" s="17">
        <v>835.14114997306899</v>
      </c>
      <c r="Q302" s="17">
        <v>0</v>
      </c>
      <c r="R302" s="13"/>
      <c r="S302" s="13" t="s">
        <v>199</v>
      </c>
      <c r="T302" s="13" t="s">
        <v>528</v>
      </c>
      <c r="U302" s="13" t="s">
        <v>384</v>
      </c>
      <c r="V302" s="13" t="s">
        <v>631</v>
      </c>
      <c r="W302" s="14">
        <v>0</v>
      </c>
    </row>
    <row r="303" spans="11:23" customFormat="1" x14ac:dyDescent="0.2">
      <c r="K303" s="13" t="s">
        <v>17</v>
      </c>
      <c r="L303" s="13" t="s">
        <v>401</v>
      </c>
      <c r="M303" s="13" t="s">
        <v>360</v>
      </c>
      <c r="N303" s="15">
        <v>0</v>
      </c>
      <c r="O303" s="16">
        <v>0</v>
      </c>
      <c r="P303" s="17">
        <v>8988.1163248815119</v>
      </c>
      <c r="Q303" s="17">
        <v>0</v>
      </c>
      <c r="R303" s="13"/>
      <c r="S303" s="13" t="s">
        <v>199</v>
      </c>
      <c r="T303" s="13" t="s">
        <v>528</v>
      </c>
      <c r="U303" s="13" t="s">
        <v>384</v>
      </c>
      <c r="V303" s="13" t="s">
        <v>549</v>
      </c>
      <c r="W303" s="14">
        <v>0</v>
      </c>
    </row>
    <row r="304" spans="11:23" customFormat="1" x14ac:dyDescent="0.2">
      <c r="K304" s="13" t="s">
        <v>17</v>
      </c>
      <c r="L304" s="13" t="s">
        <v>402</v>
      </c>
      <c r="M304" s="13" t="s">
        <v>403</v>
      </c>
      <c r="N304" s="15">
        <v>0</v>
      </c>
      <c r="O304" s="16">
        <v>0</v>
      </c>
      <c r="P304" s="17">
        <v>8988.4664997696618</v>
      </c>
      <c r="Q304" s="17">
        <v>0</v>
      </c>
      <c r="R304" s="13"/>
      <c r="S304" s="13" t="s">
        <v>199</v>
      </c>
      <c r="T304" s="13" t="s">
        <v>528</v>
      </c>
      <c r="U304" s="13" t="s">
        <v>384</v>
      </c>
      <c r="V304" s="13" t="s">
        <v>553</v>
      </c>
      <c r="W304" s="14">
        <v>0</v>
      </c>
    </row>
    <row r="305" spans="11:23" customFormat="1" x14ac:dyDescent="0.2">
      <c r="K305" s="13" t="s">
        <v>17</v>
      </c>
      <c r="L305" s="13" t="s">
        <v>448</v>
      </c>
      <c r="M305" s="13" t="s">
        <v>366</v>
      </c>
      <c r="N305" s="15">
        <v>0</v>
      </c>
      <c r="O305" s="16">
        <v>0</v>
      </c>
      <c r="P305" s="17">
        <v>16588.271599647276</v>
      </c>
      <c r="Q305" s="17">
        <v>0</v>
      </c>
      <c r="R305" s="13"/>
      <c r="S305" s="13" t="s">
        <v>199</v>
      </c>
      <c r="T305" s="13" t="s">
        <v>528</v>
      </c>
      <c r="U305" s="13" t="s">
        <v>384</v>
      </c>
      <c r="V305" s="13" t="s">
        <v>550</v>
      </c>
      <c r="W305" s="14">
        <v>0</v>
      </c>
    </row>
    <row r="306" spans="11:23" customFormat="1" x14ac:dyDescent="0.2">
      <c r="K306" s="13" t="s">
        <v>17</v>
      </c>
      <c r="L306" s="13" t="s">
        <v>462</v>
      </c>
      <c r="M306" s="13" t="s">
        <v>370</v>
      </c>
      <c r="N306" s="15">
        <v>0</v>
      </c>
      <c r="O306" s="16">
        <v>0</v>
      </c>
      <c r="P306" s="17">
        <v>191.91379999906815</v>
      </c>
      <c r="Q306" s="17">
        <v>0</v>
      </c>
      <c r="R306" s="13"/>
      <c r="S306" s="13" t="s">
        <v>199</v>
      </c>
      <c r="T306" s="13" t="s">
        <v>613</v>
      </c>
      <c r="U306" s="13" t="s">
        <v>444</v>
      </c>
      <c r="V306" s="13" t="s">
        <v>549</v>
      </c>
      <c r="W306" s="14">
        <v>0</v>
      </c>
    </row>
    <row r="307" spans="11:23" customFormat="1" x14ac:dyDescent="0.2">
      <c r="K307" s="13" t="s">
        <v>17</v>
      </c>
      <c r="L307" s="13" t="s">
        <v>451</v>
      </c>
      <c r="M307" s="13" t="s">
        <v>369</v>
      </c>
      <c r="N307" s="15">
        <v>0</v>
      </c>
      <c r="O307" s="16">
        <v>0</v>
      </c>
      <c r="P307" s="17">
        <v>35628.650724269464</v>
      </c>
      <c r="Q307" s="17">
        <v>0</v>
      </c>
      <c r="R307" s="13"/>
      <c r="S307" s="13" t="s">
        <v>199</v>
      </c>
      <c r="T307" s="13" t="s">
        <v>613</v>
      </c>
      <c r="U307" s="13" t="s">
        <v>444</v>
      </c>
      <c r="V307" s="13" t="s">
        <v>553</v>
      </c>
      <c r="W307" s="14">
        <v>0</v>
      </c>
    </row>
    <row r="308" spans="11:23" customFormat="1" x14ac:dyDescent="0.2">
      <c r="K308" s="13" t="s">
        <v>17</v>
      </c>
      <c r="L308" s="13" t="s">
        <v>381</v>
      </c>
      <c r="M308" s="13" t="s">
        <v>382</v>
      </c>
      <c r="N308" s="15">
        <v>1</v>
      </c>
      <c r="O308" s="16">
        <v>0</v>
      </c>
      <c r="P308" s="17">
        <v>0</v>
      </c>
      <c r="Q308" s="17">
        <v>0</v>
      </c>
      <c r="R308" s="13"/>
      <c r="S308" s="13" t="s">
        <v>201</v>
      </c>
      <c r="T308" s="13" t="s">
        <v>395</v>
      </c>
      <c r="U308" s="13" t="s">
        <v>602</v>
      </c>
      <c r="V308" s="13" t="s">
        <v>549</v>
      </c>
      <c r="W308" s="14">
        <v>0</v>
      </c>
    </row>
    <row r="309" spans="11:23" customFormat="1" x14ac:dyDescent="0.2">
      <c r="K309" s="13" t="s">
        <v>17</v>
      </c>
      <c r="L309" s="13" t="s">
        <v>407</v>
      </c>
      <c r="M309" s="13" t="s">
        <v>408</v>
      </c>
      <c r="N309" s="15">
        <v>5</v>
      </c>
      <c r="O309" s="16">
        <v>0</v>
      </c>
      <c r="P309" s="17">
        <v>0</v>
      </c>
      <c r="Q309" s="17">
        <v>0</v>
      </c>
      <c r="R309" s="13"/>
      <c r="S309" s="13" t="s">
        <v>201</v>
      </c>
      <c r="T309" s="13" t="s">
        <v>396</v>
      </c>
      <c r="U309" s="13" t="s">
        <v>604</v>
      </c>
      <c r="V309" s="13" t="s">
        <v>549</v>
      </c>
      <c r="W309" s="14">
        <v>0.5</v>
      </c>
    </row>
    <row r="310" spans="11:23" customFormat="1" x14ac:dyDescent="0.2">
      <c r="K310" s="13" t="s">
        <v>17</v>
      </c>
      <c r="L310" s="13" t="s">
        <v>452</v>
      </c>
      <c r="M310" s="13" t="s">
        <v>453</v>
      </c>
      <c r="N310" s="15">
        <v>11</v>
      </c>
      <c r="O310" s="16">
        <v>0</v>
      </c>
      <c r="P310" s="17">
        <v>0</v>
      </c>
      <c r="Q310" s="17">
        <v>0</v>
      </c>
      <c r="R310" s="13"/>
      <c r="S310" s="13" t="s">
        <v>201</v>
      </c>
      <c r="T310" s="13" t="s">
        <v>404</v>
      </c>
      <c r="U310" s="13" t="s">
        <v>405</v>
      </c>
      <c r="V310" s="13" t="s">
        <v>549</v>
      </c>
      <c r="W310" s="14">
        <v>1.8</v>
      </c>
    </row>
    <row r="311" spans="11:23" customFormat="1" x14ac:dyDescent="0.2">
      <c r="K311" s="13" t="s">
        <v>17</v>
      </c>
      <c r="L311" s="13" t="s">
        <v>413</v>
      </c>
      <c r="M311" s="13" t="s">
        <v>428</v>
      </c>
      <c r="N311" s="15">
        <v>1</v>
      </c>
      <c r="O311" s="16">
        <v>0</v>
      </c>
      <c r="P311" s="17">
        <v>0</v>
      </c>
      <c r="Q311" s="17">
        <v>0</v>
      </c>
      <c r="R311" s="13"/>
      <c r="S311" s="13" t="s">
        <v>201</v>
      </c>
      <c r="T311" s="13" t="s">
        <v>406</v>
      </c>
      <c r="U311" s="13" t="s">
        <v>361</v>
      </c>
      <c r="V311" s="13" t="s">
        <v>549</v>
      </c>
      <c r="W311" s="14">
        <v>0</v>
      </c>
    </row>
    <row r="312" spans="11:23" customFormat="1" x14ac:dyDescent="0.2">
      <c r="K312" s="13" t="s">
        <v>18</v>
      </c>
      <c r="L312" s="13" t="s">
        <v>389</v>
      </c>
      <c r="M312" s="13" t="s">
        <v>388</v>
      </c>
      <c r="N312" s="15">
        <v>0</v>
      </c>
      <c r="O312" s="16">
        <v>0</v>
      </c>
      <c r="P312" s="17">
        <v>12.244550004153441</v>
      </c>
      <c r="Q312" s="17">
        <v>0</v>
      </c>
      <c r="R312" s="13"/>
      <c r="S312" s="13" t="s">
        <v>201</v>
      </c>
      <c r="T312" s="13" t="s">
        <v>609</v>
      </c>
      <c r="U312" s="13" t="s">
        <v>416</v>
      </c>
      <c r="V312" s="13" t="s">
        <v>549</v>
      </c>
      <c r="W312" s="14">
        <v>0</v>
      </c>
    </row>
    <row r="313" spans="11:23" customFormat="1" x14ac:dyDescent="0.2">
      <c r="K313" s="13" t="s">
        <v>18</v>
      </c>
      <c r="L313" s="13" t="s">
        <v>399</v>
      </c>
      <c r="M313" s="13" t="s">
        <v>400</v>
      </c>
      <c r="N313" s="15">
        <v>0</v>
      </c>
      <c r="O313" s="16">
        <v>0</v>
      </c>
      <c r="P313" s="17">
        <v>248.45039999805772</v>
      </c>
      <c r="Q313" s="17">
        <v>0</v>
      </c>
      <c r="R313" s="13"/>
      <c r="S313" s="13" t="s">
        <v>201</v>
      </c>
      <c r="T313" s="13" t="s">
        <v>467</v>
      </c>
      <c r="U313" s="13" t="s">
        <v>422</v>
      </c>
      <c r="V313" s="13" t="s">
        <v>549</v>
      </c>
      <c r="W313" s="14">
        <v>0</v>
      </c>
    </row>
    <row r="314" spans="11:23" customFormat="1" x14ac:dyDescent="0.2">
      <c r="K314" s="13" t="s">
        <v>18</v>
      </c>
      <c r="L314" s="13" t="s">
        <v>401</v>
      </c>
      <c r="M314" s="13" t="s">
        <v>360</v>
      </c>
      <c r="N314" s="15">
        <v>0</v>
      </c>
      <c r="O314" s="16">
        <v>0</v>
      </c>
      <c r="P314" s="17">
        <v>161.88409999733182</v>
      </c>
      <c r="Q314" s="17">
        <v>0</v>
      </c>
      <c r="R314" s="13"/>
      <c r="S314" s="13" t="s">
        <v>201</v>
      </c>
      <c r="T314" s="13" t="s">
        <v>528</v>
      </c>
      <c r="U314" s="13" t="s">
        <v>384</v>
      </c>
      <c r="V314" s="13" t="s">
        <v>549</v>
      </c>
      <c r="W314" s="14">
        <v>0</v>
      </c>
    </row>
    <row r="315" spans="11:23" customFormat="1" x14ac:dyDescent="0.2">
      <c r="K315" s="13" t="s">
        <v>18</v>
      </c>
      <c r="L315" s="13" t="s">
        <v>402</v>
      </c>
      <c r="M315" s="13" t="s">
        <v>403</v>
      </c>
      <c r="N315" s="15">
        <v>0</v>
      </c>
      <c r="O315" s="16">
        <v>0</v>
      </c>
      <c r="P315" s="17">
        <v>854.87164997117929</v>
      </c>
      <c r="Q315" s="17">
        <v>0</v>
      </c>
      <c r="R315" s="13"/>
      <c r="S315" s="13" t="s">
        <v>201</v>
      </c>
      <c r="T315" s="13" t="s">
        <v>528</v>
      </c>
      <c r="U315" s="13" t="s">
        <v>384</v>
      </c>
      <c r="V315" s="13" t="s">
        <v>553</v>
      </c>
      <c r="W315" s="14">
        <v>0</v>
      </c>
    </row>
    <row r="316" spans="11:23" customFormat="1" x14ac:dyDescent="0.2">
      <c r="K316" s="13" t="s">
        <v>18</v>
      </c>
      <c r="L316" s="13" t="s">
        <v>456</v>
      </c>
      <c r="M316" s="13" t="s">
        <v>457</v>
      </c>
      <c r="N316" s="15">
        <v>0</v>
      </c>
      <c r="O316" s="16">
        <v>0</v>
      </c>
      <c r="P316" s="17">
        <v>61.758549985330632</v>
      </c>
      <c r="Q316" s="17">
        <v>0</v>
      </c>
      <c r="R316" s="13"/>
      <c r="S316" s="13" t="s">
        <v>201</v>
      </c>
      <c r="T316" s="13" t="s">
        <v>613</v>
      </c>
      <c r="U316" s="13" t="s">
        <v>444</v>
      </c>
      <c r="V316" s="13" t="s">
        <v>553</v>
      </c>
      <c r="W316" s="14">
        <v>0</v>
      </c>
    </row>
    <row r="317" spans="11:23" customFormat="1" x14ac:dyDescent="0.2">
      <c r="K317" s="13" t="s">
        <v>18</v>
      </c>
      <c r="L317" s="13" t="s">
        <v>404</v>
      </c>
      <c r="M317" s="13" t="s">
        <v>405</v>
      </c>
      <c r="N317" s="15">
        <v>0</v>
      </c>
      <c r="O317" s="16">
        <v>0</v>
      </c>
      <c r="P317" s="17">
        <v>5.9803499987969202</v>
      </c>
      <c r="Q317" s="17">
        <v>33.243761119611669</v>
      </c>
      <c r="R317" s="13"/>
      <c r="S317" s="13" t="s">
        <v>201</v>
      </c>
      <c r="T317" s="13" t="s">
        <v>611</v>
      </c>
      <c r="U317" s="13" t="s">
        <v>423</v>
      </c>
      <c r="V317" s="13" t="s">
        <v>549</v>
      </c>
      <c r="W317" s="14">
        <v>0</v>
      </c>
    </row>
    <row r="318" spans="11:23" customFormat="1" x14ac:dyDescent="0.2">
      <c r="K318" s="13" t="s">
        <v>18</v>
      </c>
      <c r="L318" s="13" t="s">
        <v>451</v>
      </c>
      <c r="M318" s="13" t="s">
        <v>369</v>
      </c>
      <c r="N318" s="15">
        <v>0</v>
      </c>
      <c r="O318" s="16">
        <v>0</v>
      </c>
      <c r="P318" s="17">
        <v>1345.1895999548499</v>
      </c>
      <c r="Q318" s="17">
        <v>0</v>
      </c>
      <c r="R318" s="13"/>
      <c r="S318" s="13" t="s">
        <v>201</v>
      </c>
      <c r="T318" s="13" t="s">
        <v>611</v>
      </c>
      <c r="U318" s="13" t="s">
        <v>423</v>
      </c>
      <c r="V318" s="13" t="s">
        <v>553</v>
      </c>
      <c r="W318" s="14">
        <v>0</v>
      </c>
    </row>
    <row r="319" spans="11:23" customFormat="1" x14ac:dyDescent="0.2">
      <c r="K319" s="13" t="s">
        <v>18</v>
      </c>
      <c r="L319" s="13" t="s">
        <v>381</v>
      </c>
      <c r="M319" s="13" t="s">
        <v>382</v>
      </c>
      <c r="N319" s="15">
        <v>10</v>
      </c>
      <c r="O319" s="16">
        <v>0</v>
      </c>
      <c r="P319" s="17">
        <v>0</v>
      </c>
      <c r="Q319" s="17">
        <v>0</v>
      </c>
      <c r="R319" s="13"/>
      <c r="S319" s="13" t="s">
        <v>201</v>
      </c>
      <c r="T319" s="13" t="s">
        <v>611</v>
      </c>
      <c r="U319" s="13" t="s">
        <v>423</v>
      </c>
      <c r="V319" s="13" t="s">
        <v>550</v>
      </c>
      <c r="W319" s="14">
        <v>0</v>
      </c>
    </row>
    <row r="320" spans="11:23" customFormat="1" x14ac:dyDescent="0.2">
      <c r="K320" s="13" t="s">
        <v>18</v>
      </c>
      <c r="L320" s="13" t="s">
        <v>609</v>
      </c>
      <c r="M320" s="13" t="s">
        <v>416</v>
      </c>
      <c r="N320" s="15">
        <v>0</v>
      </c>
      <c r="O320" s="16">
        <v>6.6979474464131652</v>
      </c>
      <c r="P320" s="17">
        <v>0</v>
      </c>
      <c r="Q320" s="17">
        <v>0</v>
      </c>
      <c r="R320" s="13"/>
      <c r="S320" s="13" t="s">
        <v>201</v>
      </c>
      <c r="T320" s="13" t="s">
        <v>611</v>
      </c>
      <c r="U320" s="13" t="s">
        <v>423</v>
      </c>
      <c r="V320" s="13" t="s">
        <v>551</v>
      </c>
      <c r="W320" s="14">
        <v>0</v>
      </c>
    </row>
    <row r="321" spans="11:23" customFormat="1" x14ac:dyDescent="0.2">
      <c r="K321" s="13" t="s">
        <v>18</v>
      </c>
      <c r="L321" s="13" t="s">
        <v>421</v>
      </c>
      <c r="M321" s="13" t="s">
        <v>443</v>
      </c>
      <c r="N321" s="15">
        <v>1</v>
      </c>
      <c r="O321" s="16">
        <v>0</v>
      </c>
      <c r="P321" s="17">
        <v>0</v>
      </c>
      <c r="Q321" s="17">
        <v>0</v>
      </c>
      <c r="R321" s="13"/>
      <c r="S321" s="13" t="s">
        <v>202</v>
      </c>
      <c r="T321" s="13" t="s">
        <v>609</v>
      </c>
      <c r="U321" s="13" t="s">
        <v>416</v>
      </c>
      <c r="V321" s="13" t="s">
        <v>549</v>
      </c>
      <c r="W321" s="14">
        <v>0</v>
      </c>
    </row>
    <row r="322" spans="11:23" customFormat="1" x14ac:dyDescent="0.2">
      <c r="K322" s="13" t="s">
        <v>18</v>
      </c>
      <c r="L322" s="13" t="s">
        <v>614</v>
      </c>
      <c r="M322" s="13" t="s">
        <v>447</v>
      </c>
      <c r="N322" s="15">
        <v>1</v>
      </c>
      <c r="O322" s="16">
        <v>0</v>
      </c>
      <c r="P322" s="17">
        <v>0</v>
      </c>
      <c r="Q322" s="17">
        <v>0</v>
      </c>
      <c r="R322" s="13"/>
      <c r="S322" s="13" t="s">
        <v>202</v>
      </c>
      <c r="T322" s="13" t="s">
        <v>528</v>
      </c>
      <c r="U322" s="13" t="s">
        <v>384</v>
      </c>
      <c r="V322" s="13" t="s">
        <v>549</v>
      </c>
      <c r="W322" s="14">
        <v>0</v>
      </c>
    </row>
    <row r="323" spans="11:23" customFormat="1" x14ac:dyDescent="0.2">
      <c r="K323" s="13" t="s">
        <v>19</v>
      </c>
      <c r="L323" s="13" t="s">
        <v>435</v>
      </c>
      <c r="M323" s="13" t="s">
        <v>364</v>
      </c>
      <c r="N323" s="15">
        <v>0</v>
      </c>
      <c r="O323" s="16">
        <v>0</v>
      </c>
      <c r="P323" s="17">
        <v>192.50339998834849</v>
      </c>
      <c r="Q323" s="17">
        <v>0</v>
      </c>
      <c r="R323" s="13"/>
      <c r="S323" s="13" t="s">
        <v>202</v>
      </c>
      <c r="T323" s="13" t="s">
        <v>613</v>
      </c>
      <c r="U323" s="13" t="s">
        <v>444</v>
      </c>
      <c r="V323" s="13" t="s">
        <v>549</v>
      </c>
      <c r="W323" s="14">
        <v>0</v>
      </c>
    </row>
    <row r="324" spans="11:23" customFormat="1" x14ac:dyDescent="0.2">
      <c r="K324" s="13" t="s">
        <v>19</v>
      </c>
      <c r="L324" s="13" t="s">
        <v>389</v>
      </c>
      <c r="M324" s="13" t="s">
        <v>388</v>
      </c>
      <c r="N324" s="15">
        <v>0</v>
      </c>
      <c r="O324" s="16">
        <v>0</v>
      </c>
      <c r="P324" s="17">
        <v>80.917550003021063</v>
      </c>
      <c r="Q324" s="17">
        <v>0</v>
      </c>
      <c r="R324" s="13"/>
      <c r="S324" s="13" t="s">
        <v>202</v>
      </c>
      <c r="T324" s="13" t="s">
        <v>613</v>
      </c>
      <c r="U324" s="13" t="s">
        <v>444</v>
      </c>
      <c r="V324" s="13" t="s">
        <v>553</v>
      </c>
      <c r="W324" s="14">
        <v>0</v>
      </c>
    </row>
    <row r="325" spans="11:23" customFormat="1" x14ac:dyDescent="0.2">
      <c r="K325" s="13" t="s">
        <v>19</v>
      </c>
      <c r="L325" s="13" t="s">
        <v>391</v>
      </c>
      <c r="M325" s="13" t="s">
        <v>358</v>
      </c>
      <c r="N325" s="15">
        <v>0</v>
      </c>
      <c r="O325" s="16">
        <v>0</v>
      </c>
      <c r="P325" s="17">
        <v>364.43779999070182</v>
      </c>
      <c r="Q325" s="17">
        <v>0</v>
      </c>
      <c r="R325" s="13"/>
      <c r="S325" s="13" t="s">
        <v>202</v>
      </c>
      <c r="T325" s="13" t="s">
        <v>611</v>
      </c>
      <c r="U325" s="13" t="s">
        <v>423</v>
      </c>
      <c r="V325" s="13" t="s">
        <v>549</v>
      </c>
      <c r="W325" s="14">
        <v>0</v>
      </c>
    </row>
    <row r="326" spans="11:23" customFormat="1" x14ac:dyDescent="0.2">
      <c r="K326" s="13" t="s">
        <v>19</v>
      </c>
      <c r="L326" s="13" t="s">
        <v>486</v>
      </c>
      <c r="M326" s="13" t="s">
        <v>439</v>
      </c>
      <c r="N326" s="15">
        <v>0</v>
      </c>
      <c r="O326" s="16">
        <v>0</v>
      </c>
      <c r="P326" s="17">
        <v>2.1906999985618283</v>
      </c>
      <c r="Q326" s="17">
        <v>0</v>
      </c>
      <c r="R326" s="13"/>
      <c r="S326" s="13" t="s">
        <v>204</v>
      </c>
      <c r="T326" s="13" t="s">
        <v>395</v>
      </c>
      <c r="U326" s="13" t="s">
        <v>602</v>
      </c>
      <c r="V326" s="13" t="s">
        <v>549</v>
      </c>
      <c r="W326" s="14">
        <v>0</v>
      </c>
    </row>
    <row r="327" spans="11:23" customFormat="1" x14ac:dyDescent="0.2">
      <c r="K327" s="13" t="s">
        <v>19</v>
      </c>
      <c r="L327" s="13" t="s">
        <v>401</v>
      </c>
      <c r="M327" s="13" t="s">
        <v>360</v>
      </c>
      <c r="N327" s="15">
        <v>0</v>
      </c>
      <c r="O327" s="16">
        <v>0</v>
      </c>
      <c r="P327" s="17">
        <v>6717.7609497656613</v>
      </c>
      <c r="Q327" s="17">
        <v>0</v>
      </c>
      <c r="R327" s="13"/>
      <c r="S327" s="13" t="s">
        <v>204</v>
      </c>
      <c r="T327" s="13" t="s">
        <v>395</v>
      </c>
      <c r="U327" s="13" t="s">
        <v>602</v>
      </c>
      <c r="V327" s="13" t="s">
        <v>550</v>
      </c>
      <c r="W327" s="14">
        <v>0</v>
      </c>
    </row>
    <row r="328" spans="11:23" customFormat="1" x14ac:dyDescent="0.2">
      <c r="K328" s="13" t="s">
        <v>19</v>
      </c>
      <c r="L328" s="13" t="s">
        <v>473</v>
      </c>
      <c r="M328" s="13" t="s">
        <v>474</v>
      </c>
      <c r="N328" s="15">
        <v>0</v>
      </c>
      <c r="O328" s="16">
        <v>0</v>
      </c>
      <c r="P328" s="17">
        <v>5626.1389498194512</v>
      </c>
      <c r="Q328" s="17">
        <v>0</v>
      </c>
      <c r="R328" s="13"/>
      <c r="S328" s="13" t="s">
        <v>204</v>
      </c>
      <c r="T328" s="13" t="s">
        <v>404</v>
      </c>
      <c r="U328" s="13" t="s">
        <v>405</v>
      </c>
      <c r="V328" s="13" t="s">
        <v>549</v>
      </c>
      <c r="W328" s="14">
        <v>1</v>
      </c>
    </row>
    <row r="329" spans="11:23" customFormat="1" x14ac:dyDescent="0.2">
      <c r="K329" s="13" t="s">
        <v>19</v>
      </c>
      <c r="L329" s="13" t="s">
        <v>462</v>
      </c>
      <c r="M329" s="13" t="s">
        <v>370</v>
      </c>
      <c r="N329" s="15">
        <v>0</v>
      </c>
      <c r="O329" s="16">
        <v>0</v>
      </c>
      <c r="P329" s="17">
        <v>3181.1542998765326</v>
      </c>
      <c r="Q329" s="17">
        <v>0</v>
      </c>
      <c r="R329" s="13"/>
      <c r="S329" s="13" t="s">
        <v>204</v>
      </c>
      <c r="T329" s="13" t="s">
        <v>404</v>
      </c>
      <c r="U329" s="13" t="s">
        <v>405</v>
      </c>
      <c r="V329" s="13" t="s">
        <v>553</v>
      </c>
      <c r="W329" s="14">
        <v>0.9</v>
      </c>
    </row>
    <row r="330" spans="11:23" customFormat="1" x14ac:dyDescent="0.2">
      <c r="K330" s="13" t="s">
        <v>19</v>
      </c>
      <c r="L330" s="13" t="s">
        <v>463</v>
      </c>
      <c r="M330" s="13" t="s">
        <v>372</v>
      </c>
      <c r="N330" s="15">
        <v>0</v>
      </c>
      <c r="O330" s="16">
        <v>0</v>
      </c>
      <c r="P330" s="17">
        <v>15973.829399454715</v>
      </c>
      <c r="Q330" s="17">
        <v>0</v>
      </c>
      <c r="R330" s="13"/>
      <c r="S330" s="13" t="s">
        <v>204</v>
      </c>
      <c r="T330" s="13" t="s">
        <v>406</v>
      </c>
      <c r="U330" s="13" t="s">
        <v>361</v>
      </c>
      <c r="V330" s="13" t="s">
        <v>549</v>
      </c>
      <c r="W330" s="14">
        <v>1</v>
      </c>
    </row>
    <row r="331" spans="11:23" customFormat="1" x14ac:dyDescent="0.2">
      <c r="K331" s="13" t="s">
        <v>19</v>
      </c>
      <c r="L331" s="13" t="s">
        <v>381</v>
      </c>
      <c r="M331" s="13" t="s">
        <v>382</v>
      </c>
      <c r="N331" s="15">
        <v>3</v>
      </c>
      <c r="O331" s="16">
        <v>0</v>
      </c>
      <c r="P331" s="17">
        <v>0</v>
      </c>
      <c r="Q331" s="17">
        <v>0</v>
      </c>
      <c r="R331" s="13"/>
      <c r="S331" s="13" t="s">
        <v>204</v>
      </c>
      <c r="T331" s="13" t="s">
        <v>406</v>
      </c>
      <c r="U331" s="13" t="s">
        <v>361</v>
      </c>
      <c r="V331" s="13" t="s">
        <v>549</v>
      </c>
      <c r="W331" s="14">
        <v>0</v>
      </c>
    </row>
    <row r="332" spans="11:23" customFormat="1" x14ac:dyDescent="0.2">
      <c r="K332" s="13" t="s">
        <v>19</v>
      </c>
      <c r="L332" s="13" t="s">
        <v>411</v>
      </c>
      <c r="M332" s="13" t="s">
        <v>362</v>
      </c>
      <c r="N332" s="15">
        <v>4</v>
      </c>
      <c r="O332" s="16">
        <v>0</v>
      </c>
      <c r="P332" s="17">
        <v>0</v>
      </c>
      <c r="Q332" s="17">
        <v>0</v>
      </c>
      <c r="R332" s="13"/>
      <c r="S332" s="13" t="s">
        <v>204</v>
      </c>
      <c r="T332" s="13" t="s">
        <v>406</v>
      </c>
      <c r="U332" s="13" t="s">
        <v>361</v>
      </c>
      <c r="V332" s="13" t="s">
        <v>553</v>
      </c>
      <c r="W332" s="14">
        <v>0.9</v>
      </c>
    </row>
    <row r="333" spans="11:23" customFormat="1" x14ac:dyDescent="0.2">
      <c r="K333" s="13" t="s">
        <v>19</v>
      </c>
      <c r="L333" s="13" t="s">
        <v>413</v>
      </c>
      <c r="M333" s="13" t="s">
        <v>428</v>
      </c>
      <c r="N333" s="15">
        <v>2</v>
      </c>
      <c r="O333" s="16">
        <v>0</v>
      </c>
      <c r="P333" s="17">
        <v>0</v>
      </c>
      <c r="Q333" s="17">
        <v>0</v>
      </c>
      <c r="R333" s="13"/>
      <c r="S333" s="13" t="s">
        <v>204</v>
      </c>
      <c r="T333" s="13" t="s">
        <v>406</v>
      </c>
      <c r="U333" s="13" t="s">
        <v>361</v>
      </c>
      <c r="V333" s="13" t="s">
        <v>550</v>
      </c>
      <c r="W333" s="14">
        <v>1.2</v>
      </c>
    </row>
    <row r="334" spans="11:23" customFormat="1" x14ac:dyDescent="0.2">
      <c r="K334" s="13" t="s">
        <v>19</v>
      </c>
      <c r="L334" s="13" t="s">
        <v>607</v>
      </c>
      <c r="M334" s="13" t="s">
        <v>431</v>
      </c>
      <c r="N334" s="15">
        <v>2</v>
      </c>
      <c r="O334" s="16">
        <v>0</v>
      </c>
      <c r="P334" s="17">
        <v>0</v>
      </c>
      <c r="Q334" s="17">
        <v>0</v>
      </c>
      <c r="R334" s="13"/>
      <c r="S334" s="13" t="s">
        <v>204</v>
      </c>
      <c r="T334" s="13" t="s">
        <v>609</v>
      </c>
      <c r="U334" s="13" t="s">
        <v>416</v>
      </c>
      <c r="V334" s="13" t="s">
        <v>549</v>
      </c>
      <c r="W334" s="14">
        <v>0</v>
      </c>
    </row>
    <row r="335" spans="11:23" customFormat="1" x14ac:dyDescent="0.2">
      <c r="K335" s="13" t="s">
        <v>19</v>
      </c>
      <c r="L335" s="13" t="s">
        <v>615</v>
      </c>
      <c r="M335" s="13" t="s">
        <v>449</v>
      </c>
      <c r="N335" s="15">
        <v>1</v>
      </c>
      <c r="O335" s="16">
        <v>0</v>
      </c>
      <c r="P335" s="17">
        <v>0</v>
      </c>
      <c r="Q335" s="17">
        <v>0</v>
      </c>
      <c r="R335" s="13"/>
      <c r="S335" s="13" t="s">
        <v>204</v>
      </c>
      <c r="T335" s="13" t="s">
        <v>610</v>
      </c>
      <c r="U335" s="13" t="s">
        <v>418</v>
      </c>
      <c r="V335" s="13" t="s">
        <v>549</v>
      </c>
      <c r="W335" s="14">
        <v>0</v>
      </c>
    </row>
    <row r="336" spans="11:23" customFormat="1" x14ac:dyDescent="0.2">
      <c r="K336" s="13" t="s">
        <v>19</v>
      </c>
      <c r="L336" s="13" t="s">
        <v>523</v>
      </c>
      <c r="M336" s="13" t="s">
        <v>476</v>
      </c>
      <c r="N336" s="15">
        <v>0</v>
      </c>
      <c r="O336" s="16">
        <v>0</v>
      </c>
      <c r="P336" s="17">
        <v>1.2291500007865486</v>
      </c>
      <c r="Q336" s="17">
        <v>0</v>
      </c>
      <c r="R336" s="13"/>
      <c r="S336" s="13" t="s">
        <v>204</v>
      </c>
      <c r="T336" s="13" t="s">
        <v>622</v>
      </c>
      <c r="U336" s="13" t="s">
        <v>524</v>
      </c>
      <c r="V336" s="13" t="s">
        <v>549</v>
      </c>
      <c r="W336" s="14">
        <v>0</v>
      </c>
    </row>
    <row r="337" spans="11:23" customFormat="1" x14ac:dyDescent="0.2">
      <c r="K337" s="13" t="s">
        <v>19</v>
      </c>
      <c r="L337" s="13" t="s">
        <v>383</v>
      </c>
      <c r="M337" s="13" t="s">
        <v>420</v>
      </c>
      <c r="N337" s="15">
        <v>2</v>
      </c>
      <c r="O337" s="16">
        <v>0</v>
      </c>
      <c r="P337" s="17">
        <v>0</v>
      </c>
      <c r="Q337" s="17">
        <v>0</v>
      </c>
      <c r="R337" s="13"/>
      <c r="S337" s="13" t="s">
        <v>204</v>
      </c>
      <c r="T337" s="13" t="s">
        <v>528</v>
      </c>
      <c r="U337" s="13" t="s">
        <v>384</v>
      </c>
      <c r="V337" s="13" t="s">
        <v>549</v>
      </c>
      <c r="W337" s="14">
        <v>0</v>
      </c>
    </row>
    <row r="338" spans="11:23" customFormat="1" x14ac:dyDescent="0.2">
      <c r="K338" s="13" t="s">
        <v>20</v>
      </c>
      <c r="L338" s="13" t="s">
        <v>435</v>
      </c>
      <c r="M338" s="13" t="s">
        <v>364</v>
      </c>
      <c r="N338" s="15">
        <v>0</v>
      </c>
      <c r="O338" s="16">
        <v>0</v>
      </c>
      <c r="P338" s="17">
        <v>31.008599998985762</v>
      </c>
      <c r="Q338" s="17">
        <v>0</v>
      </c>
      <c r="R338" s="13"/>
      <c r="S338" s="13" t="s">
        <v>204</v>
      </c>
      <c r="T338" s="13" t="s">
        <v>528</v>
      </c>
      <c r="U338" s="13" t="s">
        <v>384</v>
      </c>
      <c r="V338" s="13" t="s">
        <v>553</v>
      </c>
      <c r="W338" s="14">
        <v>0</v>
      </c>
    </row>
    <row r="339" spans="11:23" customFormat="1" x14ac:dyDescent="0.2">
      <c r="K339" s="13" t="s">
        <v>20</v>
      </c>
      <c r="L339" s="13" t="s">
        <v>387</v>
      </c>
      <c r="M339" s="13" t="s">
        <v>386</v>
      </c>
      <c r="N339" s="15">
        <v>0</v>
      </c>
      <c r="O339" s="16">
        <v>0</v>
      </c>
      <c r="P339" s="17">
        <v>25.329249994105076</v>
      </c>
      <c r="Q339" s="17">
        <v>0</v>
      </c>
      <c r="R339" s="13"/>
      <c r="S339" s="13" t="s">
        <v>204</v>
      </c>
      <c r="T339" s="13" t="s">
        <v>613</v>
      </c>
      <c r="U339" s="13" t="s">
        <v>444</v>
      </c>
      <c r="V339" s="13" t="s">
        <v>549</v>
      </c>
      <c r="W339" s="14">
        <v>0</v>
      </c>
    </row>
    <row r="340" spans="11:23" customFormat="1" x14ac:dyDescent="0.2">
      <c r="K340" s="13" t="s">
        <v>20</v>
      </c>
      <c r="L340" s="13" t="s">
        <v>519</v>
      </c>
      <c r="M340" s="13" t="s">
        <v>478</v>
      </c>
      <c r="N340" s="15">
        <v>0</v>
      </c>
      <c r="O340" s="16">
        <v>0</v>
      </c>
      <c r="P340" s="17">
        <v>81.058999984228507</v>
      </c>
      <c r="Q340" s="17">
        <v>0</v>
      </c>
      <c r="R340" s="13"/>
      <c r="S340" s="13" t="s">
        <v>204</v>
      </c>
      <c r="T340" s="13" t="s">
        <v>613</v>
      </c>
      <c r="U340" s="13" t="s">
        <v>444</v>
      </c>
      <c r="V340" s="13" t="s">
        <v>549</v>
      </c>
      <c r="W340" s="14">
        <v>1</v>
      </c>
    </row>
    <row r="341" spans="11:23" customFormat="1" x14ac:dyDescent="0.2">
      <c r="K341" s="13" t="s">
        <v>20</v>
      </c>
      <c r="L341" s="13" t="s">
        <v>512</v>
      </c>
      <c r="M341" s="13" t="s">
        <v>466</v>
      </c>
      <c r="N341" s="15">
        <v>0</v>
      </c>
      <c r="O341" s="16">
        <v>0</v>
      </c>
      <c r="P341" s="17">
        <v>155.44214999650802</v>
      </c>
      <c r="Q341" s="17">
        <v>0</v>
      </c>
      <c r="R341" s="13"/>
      <c r="S341" s="13" t="s">
        <v>204</v>
      </c>
      <c r="T341" s="13" t="s">
        <v>613</v>
      </c>
      <c r="U341" s="13" t="s">
        <v>444</v>
      </c>
      <c r="V341" s="13" t="s">
        <v>553</v>
      </c>
      <c r="W341" s="14">
        <v>0</v>
      </c>
    </row>
    <row r="342" spans="11:23" customFormat="1" x14ac:dyDescent="0.2">
      <c r="K342" s="13" t="s">
        <v>20</v>
      </c>
      <c r="L342" s="13" t="s">
        <v>399</v>
      </c>
      <c r="M342" s="13" t="s">
        <v>400</v>
      </c>
      <c r="N342" s="15">
        <v>0</v>
      </c>
      <c r="O342" s="16">
        <v>0</v>
      </c>
      <c r="P342" s="17">
        <v>339.03269996857699</v>
      </c>
      <c r="Q342" s="17">
        <v>0</v>
      </c>
      <c r="R342" s="13"/>
      <c r="S342" s="13" t="s">
        <v>204</v>
      </c>
      <c r="T342" s="13" t="s">
        <v>611</v>
      </c>
      <c r="U342" s="13" t="s">
        <v>423</v>
      </c>
      <c r="V342" s="13" t="s">
        <v>549</v>
      </c>
      <c r="W342" s="14">
        <v>0</v>
      </c>
    </row>
    <row r="343" spans="11:23" customFormat="1" x14ac:dyDescent="0.2">
      <c r="K343" s="13" t="s">
        <v>20</v>
      </c>
      <c r="L343" s="13" t="s">
        <v>401</v>
      </c>
      <c r="M343" s="13" t="s">
        <v>360</v>
      </c>
      <c r="N343" s="15">
        <v>0</v>
      </c>
      <c r="O343" s="16">
        <v>0</v>
      </c>
      <c r="P343" s="17">
        <v>665.40209998805858</v>
      </c>
      <c r="Q343" s="17">
        <v>0</v>
      </c>
      <c r="R343" s="13"/>
      <c r="S343" s="13" t="s">
        <v>204</v>
      </c>
      <c r="T343" s="13" t="s">
        <v>611</v>
      </c>
      <c r="U343" s="13" t="s">
        <v>423</v>
      </c>
      <c r="V343" s="13" t="s">
        <v>553</v>
      </c>
      <c r="W343" s="14">
        <v>0</v>
      </c>
    </row>
    <row r="344" spans="11:23" customFormat="1" x14ac:dyDescent="0.2">
      <c r="K344" s="13" t="s">
        <v>20</v>
      </c>
      <c r="L344" s="13" t="s">
        <v>402</v>
      </c>
      <c r="M344" s="13" t="s">
        <v>403</v>
      </c>
      <c r="N344" s="15">
        <v>0</v>
      </c>
      <c r="O344" s="16">
        <v>0</v>
      </c>
      <c r="P344" s="17">
        <v>10127.320265198605</v>
      </c>
      <c r="Q344" s="17">
        <v>0</v>
      </c>
      <c r="R344" s="13"/>
      <c r="S344" s="13" t="s">
        <v>206</v>
      </c>
      <c r="T344" s="13" t="s">
        <v>404</v>
      </c>
      <c r="U344" s="13" t="s">
        <v>405</v>
      </c>
      <c r="V344" s="13" t="s">
        <v>550</v>
      </c>
      <c r="W344" s="14">
        <v>1</v>
      </c>
    </row>
    <row r="345" spans="11:23" customFormat="1" x14ac:dyDescent="0.2">
      <c r="K345" s="13" t="s">
        <v>20</v>
      </c>
      <c r="L345" s="13" t="s">
        <v>448</v>
      </c>
      <c r="M345" s="13" t="s">
        <v>366</v>
      </c>
      <c r="N345" s="15">
        <v>0</v>
      </c>
      <c r="O345" s="16">
        <v>0</v>
      </c>
      <c r="P345" s="17">
        <v>19689.365999644579</v>
      </c>
      <c r="Q345" s="17">
        <v>0</v>
      </c>
      <c r="R345" s="13"/>
      <c r="S345" s="13" t="s">
        <v>206</v>
      </c>
      <c r="T345" s="13" t="s">
        <v>404</v>
      </c>
      <c r="U345" s="13" t="s">
        <v>405</v>
      </c>
      <c r="V345" s="13" t="s">
        <v>551</v>
      </c>
      <c r="W345" s="14">
        <v>1.8</v>
      </c>
    </row>
    <row r="346" spans="11:23" customFormat="1" x14ac:dyDescent="0.2">
      <c r="K346" s="13" t="s">
        <v>20</v>
      </c>
      <c r="L346" s="13" t="s">
        <v>462</v>
      </c>
      <c r="M346" s="13" t="s">
        <v>370</v>
      </c>
      <c r="N346" s="15">
        <v>0</v>
      </c>
      <c r="O346" s="16">
        <v>0</v>
      </c>
      <c r="P346" s="17">
        <v>681.0819775366059</v>
      </c>
      <c r="Q346" s="17">
        <v>0</v>
      </c>
      <c r="R346" s="13"/>
      <c r="S346" s="13" t="s">
        <v>206</v>
      </c>
      <c r="T346" s="13" t="s">
        <v>406</v>
      </c>
      <c r="U346" s="13" t="s">
        <v>361</v>
      </c>
      <c r="V346" s="13" t="s">
        <v>549</v>
      </c>
      <c r="W346" s="14">
        <v>1.2</v>
      </c>
    </row>
    <row r="347" spans="11:23" customFormat="1" x14ac:dyDescent="0.2">
      <c r="K347" s="13" t="s">
        <v>20</v>
      </c>
      <c r="L347" s="13" t="s">
        <v>479</v>
      </c>
      <c r="M347" s="13" t="s">
        <v>480</v>
      </c>
      <c r="N347" s="15">
        <v>0</v>
      </c>
      <c r="O347" s="16">
        <v>0</v>
      </c>
      <c r="P347" s="17">
        <v>48285.847584133408</v>
      </c>
      <c r="Q347" s="17">
        <v>0</v>
      </c>
      <c r="R347" s="13"/>
      <c r="S347" s="13" t="s">
        <v>206</v>
      </c>
      <c r="T347" s="13" t="s">
        <v>528</v>
      </c>
      <c r="U347" s="13" t="s">
        <v>384</v>
      </c>
      <c r="V347" s="13" t="s">
        <v>553</v>
      </c>
      <c r="W347" s="14">
        <v>0</v>
      </c>
    </row>
    <row r="348" spans="11:23" customFormat="1" x14ac:dyDescent="0.2">
      <c r="K348" s="13" t="s">
        <v>20</v>
      </c>
      <c r="L348" s="13" t="s">
        <v>451</v>
      </c>
      <c r="M348" s="13" t="s">
        <v>369</v>
      </c>
      <c r="N348" s="15">
        <v>0</v>
      </c>
      <c r="O348" s="16">
        <v>0</v>
      </c>
      <c r="P348" s="17">
        <v>80049.881026444666</v>
      </c>
      <c r="Q348" s="17">
        <v>0</v>
      </c>
      <c r="R348" s="13"/>
      <c r="S348" s="13" t="s">
        <v>206</v>
      </c>
      <c r="T348" s="13" t="s">
        <v>613</v>
      </c>
      <c r="U348" s="13" t="s">
        <v>444</v>
      </c>
      <c r="V348" s="13" t="s">
        <v>549</v>
      </c>
      <c r="W348" s="14">
        <v>0</v>
      </c>
    </row>
    <row r="349" spans="11:23" customFormat="1" x14ac:dyDescent="0.2">
      <c r="K349" s="13" t="s">
        <v>20</v>
      </c>
      <c r="L349" s="13" t="s">
        <v>381</v>
      </c>
      <c r="M349" s="13" t="s">
        <v>382</v>
      </c>
      <c r="N349" s="15">
        <v>46</v>
      </c>
      <c r="O349" s="16">
        <v>0</v>
      </c>
      <c r="P349" s="17">
        <v>0</v>
      </c>
      <c r="Q349" s="17">
        <v>0</v>
      </c>
      <c r="R349" s="13"/>
      <c r="S349" s="13" t="s">
        <v>206</v>
      </c>
      <c r="T349" s="13" t="s">
        <v>613</v>
      </c>
      <c r="U349" s="13" t="s">
        <v>444</v>
      </c>
      <c r="V349" s="13" t="s">
        <v>553</v>
      </c>
      <c r="W349" s="14">
        <v>0</v>
      </c>
    </row>
    <row r="350" spans="11:23" customFormat="1" x14ac:dyDescent="0.2">
      <c r="K350" s="13" t="s">
        <v>20</v>
      </c>
      <c r="L350" s="13" t="s">
        <v>407</v>
      </c>
      <c r="M350" s="13" t="s">
        <v>408</v>
      </c>
      <c r="N350" s="15">
        <v>3</v>
      </c>
      <c r="O350" s="16">
        <v>0</v>
      </c>
      <c r="P350" s="17">
        <v>0</v>
      </c>
      <c r="Q350" s="17">
        <v>0</v>
      </c>
      <c r="R350" s="13"/>
      <c r="S350" s="13" t="s">
        <v>206</v>
      </c>
      <c r="T350" s="13" t="s">
        <v>613</v>
      </c>
      <c r="U350" s="13" t="s">
        <v>444</v>
      </c>
      <c r="V350" s="13" t="s">
        <v>550</v>
      </c>
      <c r="W350" s="14">
        <v>0</v>
      </c>
    </row>
    <row r="351" spans="11:23" customFormat="1" x14ac:dyDescent="0.2">
      <c r="K351" s="13" t="s">
        <v>20</v>
      </c>
      <c r="L351" s="13" t="s">
        <v>608</v>
      </c>
      <c r="M351" s="13" t="s">
        <v>432</v>
      </c>
      <c r="N351" s="15">
        <v>15</v>
      </c>
      <c r="O351" s="16">
        <v>0</v>
      </c>
      <c r="P351" s="17">
        <v>0</v>
      </c>
      <c r="Q351" s="17">
        <v>0</v>
      </c>
      <c r="R351" s="13"/>
      <c r="S351" s="13" t="s">
        <v>206</v>
      </c>
      <c r="T351" s="13" t="s">
        <v>611</v>
      </c>
      <c r="U351" s="13" t="s">
        <v>423</v>
      </c>
      <c r="V351" s="13" t="s">
        <v>549</v>
      </c>
      <c r="W351" s="14">
        <v>0</v>
      </c>
    </row>
    <row r="352" spans="11:23" customFormat="1" x14ac:dyDescent="0.2">
      <c r="K352" s="13" t="s">
        <v>20</v>
      </c>
      <c r="L352" s="13" t="s">
        <v>421</v>
      </c>
      <c r="M352" s="13" t="s">
        <v>443</v>
      </c>
      <c r="N352" s="15">
        <v>6</v>
      </c>
      <c r="O352" s="16">
        <v>0</v>
      </c>
      <c r="P352" s="17">
        <v>0</v>
      </c>
      <c r="Q352" s="17">
        <v>0</v>
      </c>
      <c r="R352" s="13"/>
      <c r="S352" s="13" t="s">
        <v>206</v>
      </c>
      <c r="T352" s="13" t="s">
        <v>611</v>
      </c>
      <c r="U352" s="13" t="s">
        <v>423</v>
      </c>
      <c r="V352" s="13" t="s">
        <v>553</v>
      </c>
      <c r="W352" s="14">
        <v>0</v>
      </c>
    </row>
    <row r="353" spans="11:23" customFormat="1" x14ac:dyDescent="0.2">
      <c r="K353" s="13" t="s">
        <v>20</v>
      </c>
      <c r="L353" s="13" t="s">
        <v>383</v>
      </c>
      <c r="M353" s="13" t="s">
        <v>420</v>
      </c>
      <c r="N353" s="15">
        <v>2</v>
      </c>
      <c r="O353" s="16">
        <v>0</v>
      </c>
      <c r="P353" s="17">
        <v>0</v>
      </c>
      <c r="Q353" s="17">
        <v>0</v>
      </c>
      <c r="R353" s="13"/>
      <c r="S353" s="13" t="s">
        <v>207</v>
      </c>
      <c r="T353" s="13" t="s">
        <v>395</v>
      </c>
      <c r="U353" s="13" t="s">
        <v>602</v>
      </c>
      <c r="V353" s="13" t="s">
        <v>549</v>
      </c>
      <c r="W353" s="14">
        <v>0</v>
      </c>
    </row>
    <row r="354" spans="11:23" customFormat="1" x14ac:dyDescent="0.2">
      <c r="K354" s="13" t="s">
        <v>20</v>
      </c>
      <c r="L354" s="13" t="s">
        <v>614</v>
      </c>
      <c r="M354" s="13" t="s">
        <v>447</v>
      </c>
      <c r="N354" s="15">
        <v>3</v>
      </c>
      <c r="O354" s="16">
        <v>0</v>
      </c>
      <c r="P354" s="17">
        <v>0</v>
      </c>
      <c r="Q354" s="17">
        <v>0</v>
      </c>
      <c r="R354" s="13"/>
      <c r="S354" s="13" t="s">
        <v>207</v>
      </c>
      <c r="T354" s="13" t="s">
        <v>404</v>
      </c>
      <c r="U354" s="13" t="s">
        <v>405</v>
      </c>
      <c r="V354" s="13" t="s">
        <v>549</v>
      </c>
      <c r="W354" s="14">
        <v>0.5</v>
      </c>
    </row>
    <row r="355" spans="11:23" customFormat="1" x14ac:dyDescent="0.2">
      <c r="K355" s="13" t="s">
        <v>20</v>
      </c>
      <c r="L355" s="13" t="s">
        <v>454</v>
      </c>
      <c r="M355" s="13" t="s">
        <v>455</v>
      </c>
      <c r="N355" s="15">
        <v>0</v>
      </c>
      <c r="O355" s="16">
        <v>0</v>
      </c>
      <c r="P355" s="17">
        <v>3857.6239499390736</v>
      </c>
      <c r="Q355" s="17">
        <v>0</v>
      </c>
      <c r="R355" s="13"/>
      <c r="S355" s="13" t="s">
        <v>207</v>
      </c>
      <c r="T355" s="13" t="s">
        <v>406</v>
      </c>
      <c r="U355" s="13" t="s">
        <v>361</v>
      </c>
      <c r="V355" s="13" t="s">
        <v>549</v>
      </c>
      <c r="W355" s="14">
        <v>0.5</v>
      </c>
    </row>
    <row r="356" spans="11:23" customFormat="1" x14ac:dyDescent="0.2">
      <c r="K356" s="13" t="s">
        <v>20</v>
      </c>
      <c r="L356" s="13" t="s">
        <v>458</v>
      </c>
      <c r="M356" s="13" t="s">
        <v>459</v>
      </c>
      <c r="N356" s="15">
        <v>0</v>
      </c>
      <c r="O356" s="16">
        <v>0</v>
      </c>
      <c r="P356" s="17">
        <v>48.236636470580628</v>
      </c>
      <c r="Q356" s="17">
        <v>0</v>
      </c>
      <c r="R356" s="13"/>
      <c r="S356" s="13" t="s">
        <v>207</v>
      </c>
      <c r="T356" s="13" t="s">
        <v>609</v>
      </c>
      <c r="U356" s="13" t="s">
        <v>416</v>
      </c>
      <c r="V356" s="13" t="s">
        <v>549</v>
      </c>
      <c r="W356" s="14">
        <v>0</v>
      </c>
    </row>
    <row r="357" spans="11:23" customFormat="1" x14ac:dyDescent="0.2">
      <c r="K357" s="13" t="s">
        <v>21</v>
      </c>
      <c r="L357" s="13" t="s">
        <v>481</v>
      </c>
      <c r="M357" s="13" t="s">
        <v>374</v>
      </c>
      <c r="N357" s="15">
        <v>0</v>
      </c>
      <c r="O357" s="16">
        <v>0</v>
      </c>
      <c r="P357" s="17">
        <v>20.162399998973612</v>
      </c>
      <c r="Q357" s="17">
        <v>0</v>
      </c>
      <c r="R357" s="13"/>
      <c r="S357" s="13" t="s">
        <v>207</v>
      </c>
      <c r="T357" s="13" t="s">
        <v>610</v>
      </c>
      <c r="U357" s="13" t="s">
        <v>418</v>
      </c>
      <c r="V357" s="13" t="s">
        <v>549</v>
      </c>
      <c r="W357" s="14">
        <v>0</v>
      </c>
    </row>
    <row r="358" spans="11:23" customFormat="1" x14ac:dyDescent="0.2">
      <c r="K358" s="13" t="s">
        <v>21</v>
      </c>
      <c r="L358" s="13" t="s">
        <v>387</v>
      </c>
      <c r="M358" s="13" t="s">
        <v>386</v>
      </c>
      <c r="N358" s="15">
        <v>0</v>
      </c>
      <c r="O358" s="16">
        <v>0</v>
      </c>
      <c r="P358" s="17">
        <v>2842.3098498920772</v>
      </c>
      <c r="Q358" s="17">
        <v>0</v>
      </c>
      <c r="R358" s="13"/>
      <c r="S358" s="13" t="s">
        <v>207</v>
      </c>
      <c r="T358" s="13" t="s">
        <v>622</v>
      </c>
      <c r="U358" s="13" t="s">
        <v>524</v>
      </c>
      <c r="V358" s="13" t="s">
        <v>549</v>
      </c>
      <c r="W358" s="14">
        <v>0</v>
      </c>
    </row>
    <row r="359" spans="11:23" customFormat="1" x14ac:dyDescent="0.2">
      <c r="K359" s="13" t="s">
        <v>21</v>
      </c>
      <c r="L359" s="13" t="s">
        <v>389</v>
      </c>
      <c r="M359" s="13" t="s">
        <v>388</v>
      </c>
      <c r="N359" s="15">
        <v>0</v>
      </c>
      <c r="O359" s="16">
        <v>0</v>
      </c>
      <c r="P359" s="17">
        <v>4.7031500044279024</v>
      </c>
      <c r="Q359" s="17">
        <v>0</v>
      </c>
      <c r="R359" s="13"/>
      <c r="S359" s="13" t="s">
        <v>207</v>
      </c>
      <c r="T359" s="13" t="s">
        <v>613</v>
      </c>
      <c r="U359" s="13" t="s">
        <v>444</v>
      </c>
      <c r="V359" s="13" t="s">
        <v>549</v>
      </c>
      <c r="W359" s="14">
        <v>0</v>
      </c>
    </row>
    <row r="360" spans="11:23" customFormat="1" x14ac:dyDescent="0.2">
      <c r="K360" s="13" t="s">
        <v>21</v>
      </c>
      <c r="L360" s="13" t="s">
        <v>391</v>
      </c>
      <c r="M360" s="13" t="s">
        <v>358</v>
      </c>
      <c r="N360" s="15">
        <v>0</v>
      </c>
      <c r="O360" s="16">
        <v>0</v>
      </c>
      <c r="P360" s="17">
        <v>2250.3133366277771</v>
      </c>
      <c r="Q360" s="17">
        <v>0</v>
      </c>
      <c r="R360" s="13"/>
      <c r="S360" s="13" t="s">
        <v>207</v>
      </c>
      <c r="T360" s="13" t="s">
        <v>613</v>
      </c>
      <c r="U360" s="13" t="s">
        <v>444</v>
      </c>
      <c r="V360" s="13" t="s">
        <v>553</v>
      </c>
      <c r="W360" s="14">
        <v>0</v>
      </c>
    </row>
    <row r="361" spans="11:23" customFormat="1" x14ac:dyDescent="0.2">
      <c r="K361" s="13" t="s">
        <v>21</v>
      </c>
      <c r="L361" s="13" t="s">
        <v>438</v>
      </c>
      <c r="M361" s="13" t="s">
        <v>461</v>
      </c>
      <c r="N361" s="15">
        <v>0</v>
      </c>
      <c r="O361" s="16">
        <v>0</v>
      </c>
      <c r="P361" s="17">
        <v>996.80256663148941</v>
      </c>
      <c r="Q361" s="17">
        <v>0</v>
      </c>
      <c r="R361" s="13"/>
      <c r="S361" s="13" t="s">
        <v>207</v>
      </c>
      <c r="T361" s="13" t="s">
        <v>613</v>
      </c>
      <c r="U361" s="13" t="s">
        <v>444</v>
      </c>
      <c r="V361" s="13" t="s">
        <v>550</v>
      </c>
      <c r="W361" s="14">
        <v>0</v>
      </c>
    </row>
    <row r="362" spans="11:23" customFormat="1" x14ac:dyDescent="0.2">
      <c r="K362" s="13" t="s">
        <v>21</v>
      </c>
      <c r="L362" s="13" t="s">
        <v>486</v>
      </c>
      <c r="M362" s="13" t="s">
        <v>439</v>
      </c>
      <c r="N362" s="15">
        <v>0</v>
      </c>
      <c r="O362" s="16">
        <v>0</v>
      </c>
      <c r="P362" s="17">
        <v>49.660899989041745</v>
      </c>
      <c r="Q362" s="17">
        <v>0</v>
      </c>
      <c r="R362" s="13"/>
      <c r="S362" s="13" t="s">
        <v>207</v>
      </c>
      <c r="T362" s="13" t="s">
        <v>611</v>
      </c>
      <c r="U362" s="13" t="s">
        <v>423</v>
      </c>
      <c r="V362" s="13" t="s">
        <v>549</v>
      </c>
      <c r="W362" s="14">
        <v>0</v>
      </c>
    </row>
    <row r="363" spans="11:23" customFormat="1" x14ac:dyDescent="0.2">
      <c r="K363" s="13" t="s">
        <v>21</v>
      </c>
      <c r="L363" s="13" t="s">
        <v>401</v>
      </c>
      <c r="M363" s="13" t="s">
        <v>360</v>
      </c>
      <c r="N363" s="15">
        <v>0</v>
      </c>
      <c r="O363" s="16">
        <v>0</v>
      </c>
      <c r="P363" s="17">
        <v>27372.759946940787</v>
      </c>
      <c r="Q363" s="17">
        <v>0</v>
      </c>
      <c r="R363" s="13"/>
      <c r="S363" s="13" t="s">
        <v>209</v>
      </c>
      <c r="T363" s="13" t="s">
        <v>395</v>
      </c>
      <c r="U363" s="13" t="s">
        <v>602</v>
      </c>
      <c r="V363" s="13" t="s">
        <v>549</v>
      </c>
      <c r="W363" s="14">
        <v>0</v>
      </c>
    </row>
    <row r="364" spans="11:23" customFormat="1" x14ac:dyDescent="0.2">
      <c r="K364" s="13" t="s">
        <v>21</v>
      </c>
      <c r="L364" s="13" t="s">
        <v>402</v>
      </c>
      <c r="M364" s="13" t="s">
        <v>403</v>
      </c>
      <c r="N364" s="15">
        <v>0</v>
      </c>
      <c r="O364" s="16">
        <v>0</v>
      </c>
      <c r="P364" s="17">
        <v>25520.290355257039</v>
      </c>
      <c r="Q364" s="17">
        <v>0</v>
      </c>
      <c r="R364" s="13"/>
      <c r="S364" s="13" t="s">
        <v>209</v>
      </c>
      <c r="T364" s="13" t="s">
        <v>396</v>
      </c>
      <c r="U364" s="13" t="s">
        <v>604</v>
      </c>
      <c r="V364" s="13" t="s">
        <v>553</v>
      </c>
      <c r="W364" s="14">
        <v>3</v>
      </c>
    </row>
    <row r="365" spans="11:23" customFormat="1" x14ac:dyDescent="0.2">
      <c r="K365" s="13" t="s">
        <v>21</v>
      </c>
      <c r="L365" s="13" t="s">
        <v>448</v>
      </c>
      <c r="M365" s="13" t="s">
        <v>366</v>
      </c>
      <c r="N365" s="15">
        <v>0</v>
      </c>
      <c r="O365" s="16">
        <v>0</v>
      </c>
      <c r="P365" s="17">
        <v>6138.3598965708106</v>
      </c>
      <c r="Q365" s="17">
        <v>0</v>
      </c>
      <c r="R365" s="13"/>
      <c r="S365" s="13" t="s">
        <v>209</v>
      </c>
      <c r="T365" s="13" t="s">
        <v>404</v>
      </c>
      <c r="U365" s="13" t="s">
        <v>405</v>
      </c>
      <c r="V365" s="13" t="s">
        <v>549</v>
      </c>
      <c r="W365" s="14">
        <v>1</v>
      </c>
    </row>
    <row r="366" spans="11:23" customFormat="1" x14ac:dyDescent="0.2">
      <c r="K366" s="13" t="s">
        <v>21</v>
      </c>
      <c r="L366" s="13" t="s">
        <v>462</v>
      </c>
      <c r="M366" s="13" t="s">
        <v>370</v>
      </c>
      <c r="N366" s="15">
        <v>0</v>
      </c>
      <c r="O366" s="16">
        <v>0</v>
      </c>
      <c r="P366" s="17">
        <v>3427.1219499073709</v>
      </c>
      <c r="Q366" s="17">
        <v>0</v>
      </c>
      <c r="R366" s="13"/>
      <c r="S366" s="13" t="s">
        <v>209</v>
      </c>
      <c r="T366" s="13" t="s">
        <v>404</v>
      </c>
      <c r="U366" s="13" t="s">
        <v>405</v>
      </c>
      <c r="V366" s="13" t="s">
        <v>549</v>
      </c>
      <c r="W366" s="14">
        <v>1.4</v>
      </c>
    </row>
    <row r="367" spans="11:23" customFormat="1" x14ac:dyDescent="0.2">
      <c r="K367" s="13" t="s">
        <v>21</v>
      </c>
      <c r="L367" s="13" t="s">
        <v>456</v>
      </c>
      <c r="M367" s="13" t="s">
        <v>457</v>
      </c>
      <c r="N367" s="15">
        <v>0</v>
      </c>
      <c r="O367" s="16">
        <v>0</v>
      </c>
      <c r="P367" s="17">
        <v>59429.719508703805</v>
      </c>
      <c r="Q367" s="17">
        <v>0</v>
      </c>
      <c r="R367" s="13"/>
      <c r="S367" s="13" t="s">
        <v>209</v>
      </c>
      <c r="T367" s="13" t="s">
        <v>404</v>
      </c>
      <c r="U367" s="13" t="s">
        <v>405</v>
      </c>
      <c r="V367" s="13" t="s">
        <v>553</v>
      </c>
      <c r="W367" s="14">
        <v>1</v>
      </c>
    </row>
    <row r="368" spans="11:23" customFormat="1" x14ac:dyDescent="0.2">
      <c r="K368" s="13" t="s">
        <v>21</v>
      </c>
      <c r="L368" s="13" t="s">
        <v>482</v>
      </c>
      <c r="M368" s="13" t="s">
        <v>483</v>
      </c>
      <c r="N368" s="15">
        <v>0</v>
      </c>
      <c r="O368" s="16">
        <v>0</v>
      </c>
      <c r="P368" s="17">
        <v>14565.837549898537</v>
      </c>
      <c r="Q368" s="17">
        <v>0</v>
      </c>
      <c r="R368" s="13"/>
      <c r="S368" s="13" t="s">
        <v>209</v>
      </c>
      <c r="T368" s="13" t="s">
        <v>404</v>
      </c>
      <c r="U368" s="13" t="s">
        <v>405</v>
      </c>
      <c r="V368" s="13" t="s">
        <v>553</v>
      </c>
      <c r="W368" s="14">
        <v>1.4</v>
      </c>
    </row>
    <row r="369" spans="11:23" customFormat="1" x14ac:dyDescent="0.2">
      <c r="K369" s="13" t="s">
        <v>21</v>
      </c>
      <c r="L369" s="13" t="s">
        <v>498</v>
      </c>
      <c r="M369" s="13" t="s">
        <v>499</v>
      </c>
      <c r="N369" s="15">
        <v>0</v>
      </c>
      <c r="O369" s="16">
        <v>0</v>
      </c>
      <c r="P369" s="17">
        <v>821.63120254644309</v>
      </c>
      <c r="Q369" s="17">
        <v>0</v>
      </c>
      <c r="R369" s="13"/>
      <c r="S369" s="13" t="s">
        <v>209</v>
      </c>
      <c r="T369" s="13" t="s">
        <v>404</v>
      </c>
      <c r="U369" s="13" t="s">
        <v>405</v>
      </c>
      <c r="V369" s="13" t="s">
        <v>550</v>
      </c>
      <c r="W369" s="14">
        <v>1.4</v>
      </c>
    </row>
    <row r="370" spans="11:23" customFormat="1" x14ac:dyDescent="0.2">
      <c r="K370" s="13" t="s">
        <v>21</v>
      </c>
      <c r="L370" s="13" t="s">
        <v>404</v>
      </c>
      <c r="M370" s="13" t="s">
        <v>405</v>
      </c>
      <c r="N370" s="15">
        <v>0</v>
      </c>
      <c r="O370" s="16">
        <v>0</v>
      </c>
      <c r="P370" s="17">
        <v>224.84208993235848</v>
      </c>
      <c r="Q370" s="17">
        <v>437.69300132485307</v>
      </c>
      <c r="R370" s="13"/>
      <c r="S370" s="13" t="s">
        <v>209</v>
      </c>
      <c r="T370" s="13" t="s">
        <v>404</v>
      </c>
      <c r="U370" s="13" t="s">
        <v>405</v>
      </c>
      <c r="V370" s="13" t="s">
        <v>550</v>
      </c>
      <c r="W370" s="14">
        <v>0.5</v>
      </c>
    </row>
    <row r="371" spans="11:23" customFormat="1" x14ac:dyDescent="0.2">
      <c r="K371" s="13" t="s">
        <v>21</v>
      </c>
      <c r="L371" s="13" t="s">
        <v>629</v>
      </c>
      <c r="M371" s="13" t="s">
        <v>630</v>
      </c>
      <c r="N371" s="15">
        <v>0</v>
      </c>
      <c r="O371" s="16">
        <v>0</v>
      </c>
      <c r="P371" s="17">
        <v>1309.679199969924</v>
      </c>
      <c r="Q371" s="17">
        <v>2796.6684049104269</v>
      </c>
      <c r="R371" s="13"/>
      <c r="S371" s="13" t="s">
        <v>209</v>
      </c>
      <c r="T371" s="13" t="s">
        <v>404</v>
      </c>
      <c r="U371" s="13" t="s">
        <v>405</v>
      </c>
      <c r="V371" s="13" t="s">
        <v>551</v>
      </c>
      <c r="W371" s="14">
        <v>1.5</v>
      </c>
    </row>
    <row r="372" spans="11:23" customFormat="1" x14ac:dyDescent="0.2">
      <c r="K372" s="13" t="s">
        <v>21</v>
      </c>
      <c r="L372" s="13" t="s">
        <v>451</v>
      </c>
      <c r="M372" s="13" t="s">
        <v>369</v>
      </c>
      <c r="N372" s="15">
        <v>0</v>
      </c>
      <c r="O372" s="16">
        <v>0</v>
      </c>
      <c r="P372" s="17">
        <v>189666.5708582527</v>
      </c>
      <c r="Q372" s="17">
        <v>0</v>
      </c>
      <c r="R372" s="13"/>
      <c r="S372" s="13" t="s">
        <v>209</v>
      </c>
      <c r="T372" s="13" t="s">
        <v>406</v>
      </c>
      <c r="U372" s="13" t="s">
        <v>361</v>
      </c>
      <c r="V372" s="13" t="s">
        <v>549</v>
      </c>
      <c r="W372" s="14">
        <v>1</v>
      </c>
    </row>
    <row r="373" spans="11:23" customFormat="1" x14ac:dyDescent="0.2">
      <c r="K373" s="13" t="s">
        <v>21</v>
      </c>
      <c r="L373" s="13" t="s">
        <v>381</v>
      </c>
      <c r="M373" s="13" t="s">
        <v>382</v>
      </c>
      <c r="N373" s="15">
        <v>281</v>
      </c>
      <c r="O373" s="16">
        <v>0</v>
      </c>
      <c r="P373" s="17">
        <v>0</v>
      </c>
      <c r="Q373" s="17">
        <v>0</v>
      </c>
      <c r="R373" s="13"/>
      <c r="S373" s="13" t="s">
        <v>209</v>
      </c>
      <c r="T373" s="13" t="s">
        <v>406</v>
      </c>
      <c r="U373" s="13" t="s">
        <v>361</v>
      </c>
      <c r="V373" s="13" t="s">
        <v>553</v>
      </c>
      <c r="W373" s="14">
        <v>1</v>
      </c>
    </row>
    <row r="374" spans="11:23" customFormat="1" x14ac:dyDescent="0.2">
      <c r="K374" s="13" t="s">
        <v>21</v>
      </c>
      <c r="L374" s="13" t="s">
        <v>471</v>
      </c>
      <c r="M374" s="13" t="s">
        <v>472</v>
      </c>
      <c r="N374" s="15">
        <v>0</v>
      </c>
      <c r="O374" s="16">
        <v>0</v>
      </c>
      <c r="P374" s="17">
        <v>44553.79859925963</v>
      </c>
      <c r="Q374" s="17">
        <v>0</v>
      </c>
      <c r="R374" s="13"/>
      <c r="S374" s="13" t="s">
        <v>209</v>
      </c>
      <c r="T374" s="13" t="s">
        <v>609</v>
      </c>
      <c r="U374" s="13" t="s">
        <v>416</v>
      </c>
      <c r="V374" s="13" t="s">
        <v>549</v>
      </c>
      <c r="W374" s="14">
        <v>0</v>
      </c>
    </row>
    <row r="375" spans="11:23" customFormat="1" x14ac:dyDescent="0.2">
      <c r="K375" s="13" t="s">
        <v>21</v>
      </c>
      <c r="L375" s="13" t="s">
        <v>413</v>
      </c>
      <c r="M375" s="13" t="s">
        <v>428</v>
      </c>
      <c r="N375" s="15">
        <v>2</v>
      </c>
      <c r="O375" s="16">
        <v>0</v>
      </c>
      <c r="P375" s="17">
        <v>0</v>
      </c>
      <c r="Q375" s="17">
        <v>0</v>
      </c>
      <c r="R375" s="13"/>
      <c r="S375" s="13" t="s">
        <v>209</v>
      </c>
      <c r="T375" s="13" t="s">
        <v>528</v>
      </c>
      <c r="U375" s="13" t="s">
        <v>384</v>
      </c>
      <c r="V375" s="13" t="s">
        <v>549</v>
      </c>
      <c r="W375" s="14">
        <v>0</v>
      </c>
    </row>
    <row r="376" spans="11:23" customFormat="1" x14ac:dyDescent="0.2">
      <c r="K376" s="13" t="s">
        <v>21</v>
      </c>
      <c r="L376" s="13" t="s">
        <v>475</v>
      </c>
      <c r="M376" s="13" t="s">
        <v>470</v>
      </c>
      <c r="N376" s="15">
        <v>2</v>
      </c>
      <c r="O376" s="16">
        <v>0</v>
      </c>
      <c r="P376" s="17">
        <v>0</v>
      </c>
      <c r="Q376" s="17">
        <v>0</v>
      </c>
      <c r="R376" s="13"/>
      <c r="S376" s="13" t="s">
        <v>209</v>
      </c>
      <c r="T376" s="13" t="s">
        <v>528</v>
      </c>
      <c r="U376" s="13" t="s">
        <v>384</v>
      </c>
      <c r="V376" s="13" t="s">
        <v>553</v>
      </c>
      <c r="W376" s="14">
        <v>0</v>
      </c>
    </row>
    <row r="377" spans="11:23" customFormat="1" x14ac:dyDescent="0.2">
      <c r="K377" s="13" t="s">
        <v>21</v>
      </c>
      <c r="L377" s="13" t="s">
        <v>606</v>
      </c>
      <c r="M377" s="13" t="s">
        <v>430</v>
      </c>
      <c r="N377" s="15">
        <v>25</v>
      </c>
      <c r="O377" s="16">
        <v>0</v>
      </c>
      <c r="P377" s="17">
        <v>0</v>
      </c>
      <c r="Q377" s="17">
        <v>0</v>
      </c>
      <c r="R377" s="13"/>
      <c r="S377" s="13" t="s">
        <v>209</v>
      </c>
      <c r="T377" s="13" t="s">
        <v>613</v>
      </c>
      <c r="U377" s="13" t="s">
        <v>444</v>
      </c>
      <c r="V377" s="13" t="s">
        <v>549</v>
      </c>
      <c r="W377" s="14">
        <v>0</v>
      </c>
    </row>
    <row r="378" spans="11:23" customFormat="1" x14ac:dyDescent="0.2">
      <c r="K378" s="13" t="s">
        <v>21</v>
      </c>
      <c r="L378" s="13" t="s">
        <v>608</v>
      </c>
      <c r="M378" s="13" t="s">
        <v>432</v>
      </c>
      <c r="N378" s="15">
        <v>19</v>
      </c>
      <c r="O378" s="16">
        <v>0</v>
      </c>
      <c r="P378" s="17">
        <v>0</v>
      </c>
      <c r="Q378" s="17">
        <v>0</v>
      </c>
      <c r="R378" s="13"/>
      <c r="S378" s="13" t="s">
        <v>209</v>
      </c>
      <c r="T378" s="13" t="s">
        <v>613</v>
      </c>
      <c r="U378" s="13" t="s">
        <v>444</v>
      </c>
      <c r="V378" s="13" t="s">
        <v>553</v>
      </c>
      <c r="W378" s="14">
        <v>0</v>
      </c>
    </row>
    <row r="379" spans="11:23" customFormat="1" x14ac:dyDescent="0.2">
      <c r="K379" s="13" t="s">
        <v>21</v>
      </c>
      <c r="L379" s="13" t="s">
        <v>415</v>
      </c>
      <c r="M379" s="13" t="s">
        <v>412</v>
      </c>
      <c r="N379" s="15">
        <v>0</v>
      </c>
      <c r="O379" s="16">
        <v>0</v>
      </c>
      <c r="P379" s="17">
        <v>58.06595002010728</v>
      </c>
      <c r="Q379" s="17">
        <v>0</v>
      </c>
      <c r="R379" s="13"/>
      <c r="S379" s="13" t="s">
        <v>209</v>
      </c>
      <c r="T379" s="13" t="s">
        <v>611</v>
      </c>
      <c r="U379" s="13" t="s">
        <v>423</v>
      </c>
      <c r="V379" s="13" t="s">
        <v>549</v>
      </c>
      <c r="W379" s="14">
        <v>0</v>
      </c>
    </row>
    <row r="380" spans="11:23" customFormat="1" x14ac:dyDescent="0.2">
      <c r="K380" s="13" t="s">
        <v>21</v>
      </c>
      <c r="L380" s="13" t="s">
        <v>523</v>
      </c>
      <c r="M380" s="13" t="s">
        <v>476</v>
      </c>
      <c r="N380" s="15">
        <v>0</v>
      </c>
      <c r="O380" s="16">
        <v>0</v>
      </c>
      <c r="P380" s="17">
        <v>100.67480610107346</v>
      </c>
      <c r="Q380" s="17">
        <v>0</v>
      </c>
      <c r="R380" s="13"/>
      <c r="S380" s="13" t="s">
        <v>209</v>
      </c>
      <c r="T380" s="13" t="s">
        <v>611</v>
      </c>
      <c r="U380" s="13" t="s">
        <v>423</v>
      </c>
      <c r="V380" s="13" t="s">
        <v>553</v>
      </c>
      <c r="W380" s="14">
        <v>0</v>
      </c>
    </row>
    <row r="381" spans="11:23" customFormat="1" x14ac:dyDescent="0.2">
      <c r="K381" s="13" t="s">
        <v>21</v>
      </c>
      <c r="L381" s="13" t="s">
        <v>421</v>
      </c>
      <c r="M381" s="13" t="s">
        <v>443</v>
      </c>
      <c r="N381" s="15">
        <v>6</v>
      </c>
      <c r="O381" s="16">
        <v>0</v>
      </c>
      <c r="P381" s="17">
        <v>0</v>
      </c>
      <c r="Q381" s="17">
        <v>0</v>
      </c>
      <c r="R381" s="13"/>
      <c r="S381" s="13" t="s">
        <v>211</v>
      </c>
      <c r="T381" s="13" t="s">
        <v>395</v>
      </c>
      <c r="U381" s="13" t="s">
        <v>602</v>
      </c>
      <c r="V381" s="13" t="s">
        <v>549</v>
      </c>
      <c r="W381" s="14">
        <v>0</v>
      </c>
    </row>
    <row r="382" spans="11:23" customFormat="1" x14ac:dyDescent="0.2">
      <c r="K382" s="13" t="s">
        <v>21</v>
      </c>
      <c r="L382" s="13" t="s">
        <v>383</v>
      </c>
      <c r="M382" s="13" t="s">
        <v>420</v>
      </c>
      <c r="N382" s="15">
        <v>5</v>
      </c>
      <c r="O382" s="16">
        <v>0</v>
      </c>
      <c r="P382" s="17">
        <v>0</v>
      </c>
      <c r="Q382" s="17">
        <v>0</v>
      </c>
      <c r="R382" s="13"/>
      <c r="S382" s="13" t="s">
        <v>211</v>
      </c>
      <c r="T382" s="13" t="s">
        <v>396</v>
      </c>
      <c r="U382" s="13" t="s">
        <v>604</v>
      </c>
      <c r="V382" s="13" t="s">
        <v>549</v>
      </c>
      <c r="W382" s="14">
        <v>2.5</v>
      </c>
    </row>
    <row r="383" spans="11:23" customFormat="1" x14ac:dyDescent="0.2">
      <c r="K383" s="13" t="s">
        <v>21</v>
      </c>
      <c r="L383" s="13" t="s">
        <v>467</v>
      </c>
      <c r="M383" s="13" t="s">
        <v>422</v>
      </c>
      <c r="N383" s="15">
        <v>0</v>
      </c>
      <c r="O383" s="16">
        <v>42.088816325297024</v>
      </c>
      <c r="P383" s="17">
        <v>0</v>
      </c>
      <c r="Q383" s="17">
        <v>0</v>
      </c>
      <c r="R383" s="13"/>
      <c r="S383" s="13" t="s">
        <v>211</v>
      </c>
      <c r="T383" s="13" t="s">
        <v>404</v>
      </c>
      <c r="U383" s="13" t="s">
        <v>405</v>
      </c>
      <c r="V383" s="13" t="s">
        <v>549</v>
      </c>
      <c r="W383" s="14">
        <v>1.2</v>
      </c>
    </row>
    <row r="384" spans="11:23" customFormat="1" x14ac:dyDescent="0.2">
      <c r="K384" s="13" t="s">
        <v>21</v>
      </c>
      <c r="L384" s="13" t="s">
        <v>613</v>
      </c>
      <c r="M384" s="13" t="s">
        <v>444</v>
      </c>
      <c r="N384" s="15">
        <v>0</v>
      </c>
      <c r="O384" s="16">
        <v>19.19092178076535</v>
      </c>
      <c r="P384" s="17">
        <v>0</v>
      </c>
      <c r="Q384" s="17">
        <v>0</v>
      </c>
      <c r="R384" s="13"/>
      <c r="S384" s="13" t="s">
        <v>211</v>
      </c>
      <c r="T384" s="13" t="s">
        <v>406</v>
      </c>
      <c r="U384" s="13" t="s">
        <v>361</v>
      </c>
      <c r="V384" s="13" t="s">
        <v>549</v>
      </c>
      <c r="W384" s="14">
        <v>1.5</v>
      </c>
    </row>
    <row r="385" spans="11:23" customFormat="1" x14ac:dyDescent="0.2">
      <c r="K385" s="13" t="s">
        <v>21</v>
      </c>
      <c r="L385" s="13" t="s">
        <v>446</v>
      </c>
      <c r="M385" s="13" t="s">
        <v>371</v>
      </c>
      <c r="N385" s="15">
        <v>3</v>
      </c>
      <c r="O385" s="16">
        <v>0</v>
      </c>
      <c r="P385" s="17">
        <v>0</v>
      </c>
      <c r="Q385" s="17">
        <v>0</v>
      </c>
      <c r="R385" s="13"/>
      <c r="S385" s="13" t="s">
        <v>211</v>
      </c>
      <c r="T385" s="13" t="s">
        <v>609</v>
      </c>
      <c r="U385" s="13" t="s">
        <v>416</v>
      </c>
      <c r="V385" s="13" t="s">
        <v>549</v>
      </c>
      <c r="W385" s="14">
        <v>0</v>
      </c>
    </row>
    <row r="386" spans="11:23" customFormat="1" x14ac:dyDescent="0.2">
      <c r="K386" s="13" t="s">
        <v>21</v>
      </c>
      <c r="L386" s="13" t="s">
        <v>614</v>
      </c>
      <c r="M386" s="13" t="s">
        <v>447</v>
      </c>
      <c r="N386" s="15">
        <v>4</v>
      </c>
      <c r="O386" s="16">
        <v>0</v>
      </c>
      <c r="P386" s="17">
        <v>0</v>
      </c>
      <c r="Q386" s="17">
        <v>0</v>
      </c>
      <c r="R386" s="13"/>
      <c r="S386" s="13" t="s">
        <v>211</v>
      </c>
      <c r="T386" s="13" t="s">
        <v>610</v>
      </c>
      <c r="U386" s="13" t="s">
        <v>418</v>
      </c>
      <c r="V386" s="13" t="s">
        <v>549</v>
      </c>
      <c r="W386" s="14">
        <v>0</v>
      </c>
    </row>
    <row r="387" spans="11:23" customFormat="1" x14ac:dyDescent="0.2">
      <c r="K387" s="13" t="s">
        <v>21</v>
      </c>
      <c r="L387" s="13" t="s">
        <v>454</v>
      </c>
      <c r="M387" s="13" t="s">
        <v>455</v>
      </c>
      <c r="N387" s="15">
        <v>0</v>
      </c>
      <c r="O387" s="16">
        <v>0</v>
      </c>
      <c r="P387" s="17">
        <v>1682.9200499538956</v>
      </c>
      <c r="Q387" s="17">
        <v>0</v>
      </c>
      <c r="R387" s="13"/>
      <c r="S387" s="13" t="s">
        <v>211</v>
      </c>
      <c r="T387" s="13" t="s">
        <v>467</v>
      </c>
      <c r="U387" s="13" t="s">
        <v>422</v>
      </c>
      <c r="V387" s="13" t="s">
        <v>549</v>
      </c>
      <c r="W387" s="14">
        <v>0</v>
      </c>
    </row>
    <row r="388" spans="11:23" customFormat="1" x14ac:dyDescent="0.2">
      <c r="K388" s="13" t="s">
        <v>23</v>
      </c>
      <c r="L388" s="13" t="s">
        <v>435</v>
      </c>
      <c r="M388" s="13" t="s">
        <v>364</v>
      </c>
      <c r="N388" s="15">
        <v>0</v>
      </c>
      <c r="O388" s="16">
        <v>0</v>
      </c>
      <c r="P388" s="17">
        <v>150260.32884748394</v>
      </c>
      <c r="Q388" s="17">
        <v>0</v>
      </c>
      <c r="R388" s="13"/>
      <c r="S388" s="13" t="s">
        <v>211</v>
      </c>
      <c r="T388" s="13" t="s">
        <v>528</v>
      </c>
      <c r="U388" s="13" t="s">
        <v>384</v>
      </c>
      <c r="V388" s="13" t="s">
        <v>549</v>
      </c>
      <c r="W388" s="14">
        <v>0</v>
      </c>
    </row>
    <row r="389" spans="11:23" customFormat="1" x14ac:dyDescent="0.2">
      <c r="K389" s="13" t="s">
        <v>23</v>
      </c>
      <c r="L389" s="13" t="s">
        <v>389</v>
      </c>
      <c r="M389" s="13" t="s">
        <v>388</v>
      </c>
      <c r="N389" s="15">
        <v>0</v>
      </c>
      <c r="O389" s="16">
        <v>0</v>
      </c>
      <c r="P389" s="17">
        <v>54.931599999845822</v>
      </c>
      <c r="Q389" s="17">
        <v>0</v>
      </c>
      <c r="R389" s="13"/>
      <c r="S389" s="13" t="s">
        <v>211</v>
      </c>
      <c r="T389" s="13" t="s">
        <v>528</v>
      </c>
      <c r="U389" s="13" t="s">
        <v>384</v>
      </c>
      <c r="V389" s="13" t="s">
        <v>553</v>
      </c>
      <c r="W389" s="14">
        <v>0</v>
      </c>
    </row>
    <row r="390" spans="11:23" customFormat="1" x14ac:dyDescent="0.2">
      <c r="K390" s="13" t="s">
        <v>23</v>
      </c>
      <c r="L390" s="13" t="s">
        <v>391</v>
      </c>
      <c r="M390" s="13" t="s">
        <v>358</v>
      </c>
      <c r="N390" s="15">
        <v>0</v>
      </c>
      <c r="O390" s="16">
        <v>0</v>
      </c>
      <c r="P390" s="17">
        <v>3681.6044499125774</v>
      </c>
      <c r="Q390" s="17">
        <v>0</v>
      </c>
      <c r="R390" s="13"/>
      <c r="S390" s="13" t="s">
        <v>211</v>
      </c>
      <c r="T390" s="13" t="s">
        <v>613</v>
      </c>
      <c r="U390" s="13" t="s">
        <v>444</v>
      </c>
      <c r="V390" s="13" t="s">
        <v>549</v>
      </c>
      <c r="W390" s="14">
        <v>0</v>
      </c>
    </row>
    <row r="391" spans="11:23" customFormat="1" x14ac:dyDescent="0.2">
      <c r="K391" s="13" t="s">
        <v>23</v>
      </c>
      <c r="L391" s="13" t="s">
        <v>486</v>
      </c>
      <c r="M391" s="13" t="s">
        <v>439</v>
      </c>
      <c r="N391" s="15">
        <v>0</v>
      </c>
      <c r="O391" s="16">
        <v>0</v>
      </c>
      <c r="P391" s="17">
        <v>2260.6071998727944</v>
      </c>
      <c r="Q391" s="17">
        <v>0</v>
      </c>
      <c r="R391" s="13"/>
      <c r="S391" s="13" t="s">
        <v>211</v>
      </c>
      <c r="T391" s="13" t="s">
        <v>613</v>
      </c>
      <c r="U391" s="13" t="s">
        <v>444</v>
      </c>
      <c r="V391" s="13" t="s">
        <v>553</v>
      </c>
      <c r="W391" s="14">
        <v>0</v>
      </c>
    </row>
    <row r="392" spans="11:23" customFormat="1" x14ac:dyDescent="0.2">
      <c r="K392" s="13" t="s">
        <v>23</v>
      </c>
      <c r="L392" s="13" t="s">
        <v>401</v>
      </c>
      <c r="M392" s="13" t="s">
        <v>360</v>
      </c>
      <c r="N392" s="15">
        <v>0</v>
      </c>
      <c r="O392" s="16">
        <v>0</v>
      </c>
      <c r="P392" s="17">
        <v>8586.2868499741635</v>
      </c>
      <c r="Q392" s="17">
        <v>0</v>
      </c>
      <c r="R392" s="13"/>
      <c r="S392" s="13" t="s">
        <v>211</v>
      </c>
      <c r="T392" s="13" t="s">
        <v>613</v>
      </c>
      <c r="U392" s="13" t="s">
        <v>444</v>
      </c>
      <c r="V392" s="13" t="s">
        <v>550</v>
      </c>
      <c r="W392" s="14">
        <v>0</v>
      </c>
    </row>
    <row r="393" spans="11:23" customFormat="1" x14ac:dyDescent="0.2">
      <c r="K393" s="13" t="s">
        <v>23</v>
      </c>
      <c r="L393" s="13" t="s">
        <v>402</v>
      </c>
      <c r="M393" s="13" t="s">
        <v>403</v>
      </c>
      <c r="N393" s="15">
        <v>0</v>
      </c>
      <c r="O393" s="16">
        <v>0</v>
      </c>
      <c r="P393" s="17">
        <v>1550.4782999139188</v>
      </c>
      <c r="Q393" s="17">
        <v>0</v>
      </c>
      <c r="R393" s="13"/>
      <c r="S393" s="13" t="s">
        <v>211</v>
      </c>
      <c r="T393" s="13" t="s">
        <v>613</v>
      </c>
      <c r="U393" s="13" t="s">
        <v>444</v>
      </c>
      <c r="V393" s="13" t="s">
        <v>551</v>
      </c>
      <c r="W393" s="14">
        <v>0</v>
      </c>
    </row>
    <row r="394" spans="11:23" customFormat="1" x14ac:dyDescent="0.2">
      <c r="K394" s="13" t="s">
        <v>23</v>
      </c>
      <c r="L394" s="13" t="s">
        <v>462</v>
      </c>
      <c r="M394" s="13" t="s">
        <v>370</v>
      </c>
      <c r="N394" s="15">
        <v>0</v>
      </c>
      <c r="O394" s="16">
        <v>0</v>
      </c>
      <c r="P394" s="17">
        <v>53821.134249048358</v>
      </c>
      <c r="Q394" s="17">
        <v>0</v>
      </c>
      <c r="R394" s="13"/>
      <c r="S394" s="13" t="s">
        <v>583</v>
      </c>
      <c r="T394" s="13" t="s">
        <v>395</v>
      </c>
      <c r="U394" s="13" t="s">
        <v>602</v>
      </c>
      <c r="V394" s="13" t="s">
        <v>549</v>
      </c>
      <c r="W394" s="14">
        <v>0</v>
      </c>
    </row>
    <row r="395" spans="11:23" customFormat="1" x14ac:dyDescent="0.2">
      <c r="K395" s="13" t="s">
        <v>23</v>
      </c>
      <c r="L395" s="13" t="s">
        <v>463</v>
      </c>
      <c r="M395" s="13" t="s">
        <v>372</v>
      </c>
      <c r="N395" s="15">
        <v>0</v>
      </c>
      <c r="O395" s="16">
        <v>0</v>
      </c>
      <c r="P395" s="17">
        <v>110702.14579799879</v>
      </c>
      <c r="Q395" s="17">
        <v>0</v>
      </c>
      <c r="R395" s="13"/>
      <c r="S395" s="13" t="s">
        <v>583</v>
      </c>
      <c r="T395" s="13" t="s">
        <v>404</v>
      </c>
      <c r="U395" s="13" t="s">
        <v>405</v>
      </c>
      <c r="V395" s="13" t="s">
        <v>549</v>
      </c>
      <c r="W395" s="14">
        <v>1</v>
      </c>
    </row>
    <row r="396" spans="11:23" customFormat="1" x14ac:dyDescent="0.2">
      <c r="K396" s="13" t="s">
        <v>23</v>
      </c>
      <c r="L396" s="13" t="s">
        <v>471</v>
      </c>
      <c r="M396" s="13" t="s">
        <v>472</v>
      </c>
      <c r="N396" s="15">
        <v>0</v>
      </c>
      <c r="O396" s="16">
        <v>0</v>
      </c>
      <c r="P396" s="17">
        <v>40747.103149277129</v>
      </c>
      <c r="Q396" s="17">
        <v>0</v>
      </c>
      <c r="R396" s="13"/>
      <c r="S396" s="13" t="s">
        <v>583</v>
      </c>
      <c r="T396" s="13" t="s">
        <v>404</v>
      </c>
      <c r="U396" s="13" t="s">
        <v>405</v>
      </c>
      <c r="V396" s="13" t="s">
        <v>553</v>
      </c>
      <c r="W396" s="14">
        <v>1.8</v>
      </c>
    </row>
    <row r="397" spans="11:23" customFormat="1" x14ac:dyDescent="0.2">
      <c r="K397" s="13" t="s">
        <v>23</v>
      </c>
      <c r="L397" s="13" t="s">
        <v>608</v>
      </c>
      <c r="M397" s="13" t="s">
        <v>432</v>
      </c>
      <c r="N397" s="15">
        <v>7</v>
      </c>
      <c r="O397" s="16">
        <v>0</v>
      </c>
      <c r="P397" s="17">
        <v>0</v>
      </c>
      <c r="Q397" s="17">
        <v>0</v>
      </c>
      <c r="R397" s="13"/>
      <c r="S397" s="13" t="s">
        <v>583</v>
      </c>
      <c r="T397" s="13" t="s">
        <v>406</v>
      </c>
      <c r="U397" s="13" t="s">
        <v>361</v>
      </c>
      <c r="V397" s="13" t="s">
        <v>549</v>
      </c>
      <c r="W397" s="14">
        <v>1</v>
      </c>
    </row>
    <row r="398" spans="11:23" customFormat="1" x14ac:dyDescent="0.2">
      <c r="K398" s="13" t="s">
        <v>23</v>
      </c>
      <c r="L398" s="13" t="s">
        <v>614</v>
      </c>
      <c r="M398" s="13" t="s">
        <v>447</v>
      </c>
      <c r="N398" s="15">
        <v>2</v>
      </c>
      <c r="O398" s="16">
        <v>0</v>
      </c>
      <c r="P398" s="17">
        <v>0</v>
      </c>
      <c r="Q398" s="17">
        <v>0</v>
      </c>
      <c r="R398" s="13"/>
      <c r="S398" s="13" t="s">
        <v>583</v>
      </c>
      <c r="T398" s="13" t="s">
        <v>406</v>
      </c>
      <c r="U398" s="13" t="s">
        <v>361</v>
      </c>
      <c r="V398" s="13" t="s">
        <v>549</v>
      </c>
      <c r="W398" s="14">
        <v>0</v>
      </c>
    </row>
    <row r="399" spans="11:23" customFormat="1" x14ac:dyDescent="0.2">
      <c r="K399" s="13" t="s">
        <v>23</v>
      </c>
      <c r="L399" s="13" t="s">
        <v>454</v>
      </c>
      <c r="M399" s="13" t="s">
        <v>455</v>
      </c>
      <c r="N399" s="15">
        <v>0</v>
      </c>
      <c r="O399" s="16">
        <v>0</v>
      </c>
      <c r="P399" s="17">
        <v>1260.7989999715039</v>
      </c>
      <c r="Q399" s="17">
        <v>0</v>
      </c>
      <c r="R399" s="13"/>
      <c r="S399" s="13" t="s">
        <v>583</v>
      </c>
      <c r="T399" s="13" t="s">
        <v>419</v>
      </c>
      <c r="U399" s="13" t="s">
        <v>442</v>
      </c>
      <c r="V399" s="13" t="s">
        <v>549</v>
      </c>
      <c r="W399" s="14">
        <v>0</v>
      </c>
    </row>
    <row r="400" spans="11:23" customFormat="1" x14ac:dyDescent="0.2">
      <c r="K400" s="13" t="s">
        <v>24</v>
      </c>
      <c r="L400" s="13" t="s">
        <v>435</v>
      </c>
      <c r="M400" s="13" t="s">
        <v>364</v>
      </c>
      <c r="N400" s="15">
        <v>0</v>
      </c>
      <c r="O400" s="16">
        <v>0</v>
      </c>
      <c r="P400" s="17">
        <v>40.294350004608837</v>
      </c>
      <c r="Q400" s="17">
        <v>0</v>
      </c>
      <c r="R400" s="13"/>
      <c r="S400" s="13" t="s">
        <v>583</v>
      </c>
      <c r="T400" s="13" t="s">
        <v>609</v>
      </c>
      <c r="U400" s="13" t="s">
        <v>416</v>
      </c>
      <c r="V400" s="13" t="s">
        <v>549</v>
      </c>
      <c r="W400" s="14">
        <v>0</v>
      </c>
    </row>
    <row r="401" spans="11:23" customFormat="1" x14ac:dyDescent="0.2">
      <c r="K401" s="13" t="s">
        <v>24</v>
      </c>
      <c r="L401" s="13" t="s">
        <v>391</v>
      </c>
      <c r="M401" s="13" t="s">
        <v>358</v>
      </c>
      <c r="N401" s="15">
        <v>0</v>
      </c>
      <c r="O401" s="16">
        <v>0</v>
      </c>
      <c r="P401" s="17">
        <v>67.15150005086349</v>
      </c>
      <c r="Q401" s="17">
        <v>0</v>
      </c>
      <c r="R401" s="13"/>
      <c r="S401" s="13" t="s">
        <v>583</v>
      </c>
      <c r="T401" s="13" t="s">
        <v>528</v>
      </c>
      <c r="U401" s="13" t="s">
        <v>384</v>
      </c>
      <c r="V401" s="13" t="s">
        <v>549</v>
      </c>
      <c r="W401" s="14">
        <v>0</v>
      </c>
    </row>
    <row r="402" spans="11:23" customFormat="1" x14ac:dyDescent="0.2">
      <c r="K402" s="13" t="s">
        <v>24</v>
      </c>
      <c r="L402" s="13" t="s">
        <v>399</v>
      </c>
      <c r="M402" s="13" t="s">
        <v>400</v>
      </c>
      <c r="N402" s="15">
        <v>0</v>
      </c>
      <c r="O402" s="16">
        <v>0</v>
      </c>
      <c r="P402" s="17">
        <v>59.753000001303036</v>
      </c>
      <c r="Q402" s="17">
        <v>0</v>
      </c>
      <c r="R402" s="13"/>
      <c r="S402" s="13" t="s">
        <v>583</v>
      </c>
      <c r="T402" s="13" t="s">
        <v>613</v>
      </c>
      <c r="U402" s="13" t="s">
        <v>444</v>
      </c>
      <c r="V402" s="13" t="s">
        <v>549</v>
      </c>
      <c r="W402" s="14">
        <v>0</v>
      </c>
    </row>
    <row r="403" spans="11:23" customFormat="1" x14ac:dyDescent="0.2">
      <c r="K403" s="13" t="s">
        <v>24</v>
      </c>
      <c r="L403" s="13" t="s">
        <v>401</v>
      </c>
      <c r="M403" s="13" t="s">
        <v>360</v>
      </c>
      <c r="N403" s="15">
        <v>0</v>
      </c>
      <c r="O403" s="16">
        <v>0</v>
      </c>
      <c r="P403" s="17">
        <v>7.6035499998680809</v>
      </c>
      <c r="Q403" s="17">
        <v>0</v>
      </c>
      <c r="R403" s="13"/>
      <c r="S403" s="13" t="s">
        <v>583</v>
      </c>
      <c r="T403" s="13" t="s">
        <v>611</v>
      </c>
      <c r="U403" s="13" t="s">
        <v>423</v>
      </c>
      <c r="V403" s="13" t="s">
        <v>549</v>
      </c>
      <c r="W403" s="14">
        <v>0</v>
      </c>
    </row>
    <row r="404" spans="11:23" customFormat="1" x14ac:dyDescent="0.2">
      <c r="K404" s="13" t="s">
        <v>24</v>
      </c>
      <c r="L404" s="13" t="s">
        <v>402</v>
      </c>
      <c r="M404" s="13" t="s">
        <v>403</v>
      </c>
      <c r="N404" s="15">
        <v>0</v>
      </c>
      <c r="O404" s="16">
        <v>0</v>
      </c>
      <c r="P404" s="17">
        <v>5743.093320601457</v>
      </c>
      <c r="Q404" s="17">
        <v>0</v>
      </c>
      <c r="R404" s="13"/>
      <c r="S404" s="13" t="s">
        <v>584</v>
      </c>
      <c r="T404" s="13" t="s">
        <v>404</v>
      </c>
      <c r="U404" s="13" t="s">
        <v>405</v>
      </c>
      <c r="V404" s="13" t="s">
        <v>549</v>
      </c>
      <c r="W404" s="14">
        <v>1</v>
      </c>
    </row>
    <row r="405" spans="11:23" customFormat="1" x14ac:dyDescent="0.2">
      <c r="K405" s="13" t="s">
        <v>24</v>
      </c>
      <c r="L405" s="13" t="s">
        <v>448</v>
      </c>
      <c r="M405" s="13" t="s">
        <v>366</v>
      </c>
      <c r="N405" s="15">
        <v>0</v>
      </c>
      <c r="O405" s="16">
        <v>0</v>
      </c>
      <c r="P405" s="17">
        <v>39.445150000547429</v>
      </c>
      <c r="Q405" s="17">
        <v>0</v>
      </c>
      <c r="R405" s="13"/>
      <c r="S405" s="13" t="s">
        <v>584</v>
      </c>
      <c r="T405" s="13" t="s">
        <v>404</v>
      </c>
      <c r="U405" s="13" t="s">
        <v>405</v>
      </c>
      <c r="V405" s="13" t="s">
        <v>553</v>
      </c>
      <c r="W405" s="14">
        <v>1.5</v>
      </c>
    </row>
    <row r="406" spans="11:23" customFormat="1" x14ac:dyDescent="0.2">
      <c r="K406" s="13" t="s">
        <v>24</v>
      </c>
      <c r="L406" s="13" t="s">
        <v>451</v>
      </c>
      <c r="M406" s="13" t="s">
        <v>369</v>
      </c>
      <c r="N406" s="15">
        <v>0</v>
      </c>
      <c r="O406" s="16">
        <v>0</v>
      </c>
      <c r="P406" s="17">
        <v>5917.0465206540393</v>
      </c>
      <c r="Q406" s="17">
        <v>0</v>
      </c>
      <c r="R406" s="13"/>
      <c r="S406" s="13" t="s">
        <v>584</v>
      </c>
      <c r="T406" s="13" t="s">
        <v>609</v>
      </c>
      <c r="U406" s="13" t="s">
        <v>416</v>
      </c>
      <c r="V406" s="13" t="s">
        <v>549</v>
      </c>
      <c r="W406" s="14">
        <v>0</v>
      </c>
    </row>
    <row r="407" spans="11:23" customFormat="1" x14ac:dyDescent="0.2">
      <c r="K407" s="13" t="s">
        <v>24</v>
      </c>
      <c r="L407" s="13" t="s">
        <v>475</v>
      </c>
      <c r="M407" s="13" t="s">
        <v>470</v>
      </c>
      <c r="N407" s="15">
        <v>4</v>
      </c>
      <c r="O407" s="16">
        <v>0</v>
      </c>
      <c r="P407" s="17">
        <v>0</v>
      </c>
      <c r="Q407" s="17">
        <v>0</v>
      </c>
      <c r="R407" s="13"/>
      <c r="S407" s="13" t="s">
        <v>584</v>
      </c>
      <c r="T407" s="13" t="s">
        <v>528</v>
      </c>
      <c r="U407" s="13" t="s">
        <v>384</v>
      </c>
      <c r="V407" s="13" t="s">
        <v>549</v>
      </c>
      <c r="W407" s="14">
        <v>0</v>
      </c>
    </row>
    <row r="408" spans="11:23" customFormat="1" x14ac:dyDescent="0.2">
      <c r="K408" s="13" t="s">
        <v>24</v>
      </c>
      <c r="L408" s="13" t="s">
        <v>446</v>
      </c>
      <c r="M408" s="13" t="s">
        <v>371</v>
      </c>
      <c r="N408" s="15">
        <v>3</v>
      </c>
      <c r="O408" s="16">
        <v>0</v>
      </c>
      <c r="P408" s="17">
        <v>0</v>
      </c>
      <c r="Q408" s="17">
        <v>0</v>
      </c>
      <c r="R408" s="13"/>
      <c r="S408" s="13" t="s">
        <v>584</v>
      </c>
      <c r="T408" s="13" t="s">
        <v>613</v>
      </c>
      <c r="U408" s="13" t="s">
        <v>444</v>
      </c>
      <c r="V408" s="13" t="s">
        <v>549</v>
      </c>
      <c r="W408" s="14">
        <v>0</v>
      </c>
    </row>
    <row r="409" spans="11:23" customFormat="1" x14ac:dyDescent="0.2">
      <c r="K409" s="13" t="s">
        <v>25</v>
      </c>
      <c r="L409" s="13" t="s">
        <v>435</v>
      </c>
      <c r="M409" s="13" t="s">
        <v>364</v>
      </c>
      <c r="N409" s="15">
        <v>0</v>
      </c>
      <c r="O409" s="16">
        <v>0</v>
      </c>
      <c r="P409" s="17">
        <v>155.19944999656474</v>
      </c>
      <c r="Q409" s="17">
        <v>0</v>
      </c>
      <c r="R409" s="13"/>
      <c r="S409" s="13" t="s">
        <v>584</v>
      </c>
      <c r="T409" s="13" t="s">
        <v>613</v>
      </c>
      <c r="U409" s="13" t="s">
        <v>444</v>
      </c>
      <c r="V409" s="13" t="s">
        <v>553</v>
      </c>
      <c r="W409" s="14">
        <v>0</v>
      </c>
    </row>
    <row r="410" spans="11:23" customFormat="1" x14ac:dyDescent="0.2">
      <c r="K410" s="13" t="s">
        <v>25</v>
      </c>
      <c r="L410" s="13" t="s">
        <v>387</v>
      </c>
      <c r="M410" s="13" t="s">
        <v>386</v>
      </c>
      <c r="N410" s="15">
        <v>0</v>
      </c>
      <c r="O410" s="16">
        <v>0</v>
      </c>
      <c r="P410" s="17">
        <v>125.46830000276637</v>
      </c>
      <c r="Q410" s="17">
        <v>0</v>
      </c>
      <c r="R410" s="13"/>
      <c r="S410" s="13" t="s">
        <v>584</v>
      </c>
      <c r="T410" s="13" t="s">
        <v>611</v>
      </c>
      <c r="U410" s="13" t="s">
        <v>423</v>
      </c>
      <c r="V410" s="13" t="s">
        <v>549</v>
      </c>
      <c r="W410" s="14">
        <v>0</v>
      </c>
    </row>
    <row r="411" spans="11:23" customFormat="1" x14ac:dyDescent="0.2">
      <c r="K411" s="13" t="s">
        <v>25</v>
      </c>
      <c r="L411" s="13" t="s">
        <v>391</v>
      </c>
      <c r="M411" s="13" t="s">
        <v>358</v>
      </c>
      <c r="N411" s="15">
        <v>0</v>
      </c>
      <c r="O411" s="16">
        <v>0</v>
      </c>
      <c r="P411" s="17">
        <v>255.54664999760209</v>
      </c>
      <c r="Q411" s="17">
        <v>0</v>
      </c>
      <c r="R411" s="13"/>
      <c r="S411" s="13" t="s">
        <v>585</v>
      </c>
      <c r="T411" s="13" t="s">
        <v>395</v>
      </c>
      <c r="U411" s="13" t="s">
        <v>602</v>
      </c>
      <c r="V411" s="13" t="s">
        <v>549</v>
      </c>
      <c r="W411" s="14">
        <v>0</v>
      </c>
    </row>
    <row r="412" spans="11:23" customFormat="1" x14ac:dyDescent="0.2">
      <c r="K412" s="13" t="s">
        <v>25</v>
      </c>
      <c r="L412" s="13" t="s">
        <v>399</v>
      </c>
      <c r="M412" s="13" t="s">
        <v>400</v>
      </c>
      <c r="N412" s="15">
        <v>0</v>
      </c>
      <c r="O412" s="16">
        <v>0</v>
      </c>
      <c r="P412" s="17">
        <v>3.4060999989449976</v>
      </c>
      <c r="Q412" s="17">
        <v>0</v>
      </c>
      <c r="R412" s="13"/>
      <c r="S412" s="13" t="s">
        <v>585</v>
      </c>
      <c r="T412" s="13" t="s">
        <v>404</v>
      </c>
      <c r="U412" s="13" t="s">
        <v>405</v>
      </c>
      <c r="V412" s="13" t="s">
        <v>549</v>
      </c>
      <c r="W412" s="14">
        <v>0</v>
      </c>
    </row>
    <row r="413" spans="11:23" customFormat="1" x14ac:dyDescent="0.2">
      <c r="K413" s="13" t="s">
        <v>25</v>
      </c>
      <c r="L413" s="13" t="s">
        <v>402</v>
      </c>
      <c r="M413" s="13" t="s">
        <v>403</v>
      </c>
      <c r="N413" s="15">
        <v>0</v>
      </c>
      <c r="O413" s="16">
        <v>0</v>
      </c>
      <c r="P413" s="17">
        <v>7359.5941998547141</v>
      </c>
      <c r="Q413" s="17">
        <v>0</v>
      </c>
      <c r="R413" s="13"/>
      <c r="S413" s="13" t="s">
        <v>585</v>
      </c>
      <c r="T413" s="13" t="s">
        <v>404</v>
      </c>
      <c r="U413" s="13" t="s">
        <v>405</v>
      </c>
      <c r="V413" s="13" t="s">
        <v>549</v>
      </c>
      <c r="W413" s="14">
        <v>1.2</v>
      </c>
    </row>
    <row r="414" spans="11:23" customFormat="1" x14ac:dyDescent="0.2">
      <c r="K414" s="13" t="s">
        <v>25</v>
      </c>
      <c r="L414" s="13" t="s">
        <v>404</v>
      </c>
      <c r="M414" s="13" t="s">
        <v>405</v>
      </c>
      <c r="N414" s="15">
        <v>0</v>
      </c>
      <c r="O414" s="16">
        <v>0</v>
      </c>
      <c r="P414" s="17">
        <v>31.310299997101808</v>
      </c>
      <c r="Q414" s="17">
        <v>106.37727371453998</v>
      </c>
      <c r="R414" s="13"/>
      <c r="S414" s="13" t="s">
        <v>585</v>
      </c>
      <c r="T414" s="13" t="s">
        <v>406</v>
      </c>
      <c r="U414" s="13" t="s">
        <v>361</v>
      </c>
      <c r="V414" s="13" t="s">
        <v>549</v>
      </c>
      <c r="W414" s="14">
        <v>1</v>
      </c>
    </row>
    <row r="415" spans="11:23" customFormat="1" x14ac:dyDescent="0.2">
      <c r="K415" s="13" t="s">
        <v>25</v>
      </c>
      <c r="L415" s="13" t="s">
        <v>451</v>
      </c>
      <c r="M415" s="13" t="s">
        <v>369</v>
      </c>
      <c r="N415" s="15">
        <v>0</v>
      </c>
      <c r="O415" s="16">
        <v>0</v>
      </c>
      <c r="P415" s="17">
        <v>7775.3255498511298</v>
      </c>
      <c r="Q415" s="17">
        <v>0</v>
      </c>
      <c r="R415" s="13"/>
      <c r="S415" s="13" t="s">
        <v>585</v>
      </c>
      <c r="T415" s="13" t="s">
        <v>406</v>
      </c>
      <c r="U415" s="13" t="s">
        <v>361</v>
      </c>
      <c r="V415" s="13" t="s">
        <v>553</v>
      </c>
      <c r="W415" s="14">
        <v>1.2</v>
      </c>
    </row>
    <row r="416" spans="11:23" customFormat="1" x14ac:dyDescent="0.2">
      <c r="K416" s="13" t="s">
        <v>25</v>
      </c>
      <c r="L416" s="13" t="s">
        <v>381</v>
      </c>
      <c r="M416" s="13" t="s">
        <v>382</v>
      </c>
      <c r="N416" s="15">
        <v>2</v>
      </c>
      <c r="O416" s="16">
        <v>0</v>
      </c>
      <c r="P416" s="17">
        <v>0</v>
      </c>
      <c r="Q416" s="17">
        <v>0</v>
      </c>
      <c r="R416" s="13"/>
      <c r="S416" s="13" t="s">
        <v>585</v>
      </c>
      <c r="T416" s="13" t="s">
        <v>609</v>
      </c>
      <c r="U416" s="13" t="s">
        <v>416</v>
      </c>
      <c r="V416" s="13" t="s">
        <v>549</v>
      </c>
      <c r="W416" s="14">
        <v>0</v>
      </c>
    </row>
    <row r="417" spans="11:23" customFormat="1" x14ac:dyDescent="0.2">
      <c r="K417" s="13" t="s">
        <v>25</v>
      </c>
      <c r="L417" s="13" t="s">
        <v>411</v>
      </c>
      <c r="M417" s="13" t="s">
        <v>362</v>
      </c>
      <c r="N417" s="15">
        <v>0</v>
      </c>
      <c r="O417" s="16">
        <v>21.936072286626086</v>
      </c>
      <c r="P417" s="17">
        <v>0</v>
      </c>
      <c r="Q417" s="17">
        <v>0</v>
      </c>
      <c r="R417" s="13"/>
      <c r="S417" s="13" t="s">
        <v>585</v>
      </c>
      <c r="T417" s="13" t="s">
        <v>610</v>
      </c>
      <c r="U417" s="13" t="s">
        <v>418</v>
      </c>
      <c r="V417" s="13" t="s">
        <v>549</v>
      </c>
      <c r="W417" s="14">
        <v>0</v>
      </c>
    </row>
    <row r="418" spans="11:23" customFormat="1" x14ac:dyDescent="0.2">
      <c r="K418" s="13" t="s">
        <v>25</v>
      </c>
      <c r="L418" s="13" t="s">
        <v>608</v>
      </c>
      <c r="M418" s="13" t="s">
        <v>432</v>
      </c>
      <c r="N418" s="15">
        <v>2</v>
      </c>
      <c r="O418" s="16">
        <v>0</v>
      </c>
      <c r="P418" s="17">
        <v>0</v>
      </c>
      <c r="Q418" s="17">
        <v>0</v>
      </c>
      <c r="R418" s="13"/>
      <c r="S418" s="13" t="s">
        <v>585</v>
      </c>
      <c r="T418" s="13" t="s">
        <v>622</v>
      </c>
      <c r="U418" s="13" t="s">
        <v>524</v>
      </c>
      <c r="V418" s="13" t="s">
        <v>549</v>
      </c>
      <c r="W418" s="14">
        <v>0</v>
      </c>
    </row>
    <row r="419" spans="11:23" customFormat="1" x14ac:dyDescent="0.2">
      <c r="K419" s="13" t="s">
        <v>25</v>
      </c>
      <c r="L419" s="13" t="s">
        <v>421</v>
      </c>
      <c r="M419" s="13" t="s">
        <v>443</v>
      </c>
      <c r="N419" s="15">
        <v>1</v>
      </c>
      <c r="O419" s="16">
        <v>0</v>
      </c>
      <c r="P419" s="17">
        <v>0</v>
      </c>
      <c r="Q419" s="17">
        <v>0</v>
      </c>
      <c r="R419" s="13"/>
      <c r="S419" s="13" t="s">
        <v>585</v>
      </c>
      <c r="T419" s="13" t="s">
        <v>528</v>
      </c>
      <c r="U419" s="13" t="s">
        <v>384</v>
      </c>
      <c r="V419" s="13" t="s">
        <v>549</v>
      </c>
      <c r="W419" s="14">
        <v>0</v>
      </c>
    </row>
    <row r="420" spans="11:23" customFormat="1" x14ac:dyDescent="0.2">
      <c r="K420" s="13" t="s">
        <v>25</v>
      </c>
      <c r="L420" s="13" t="s">
        <v>446</v>
      </c>
      <c r="M420" s="13" t="s">
        <v>371</v>
      </c>
      <c r="N420" s="15">
        <v>3</v>
      </c>
      <c r="O420" s="16">
        <v>0</v>
      </c>
      <c r="P420" s="17">
        <v>0</v>
      </c>
      <c r="Q420" s="17">
        <v>0</v>
      </c>
      <c r="R420" s="13"/>
      <c r="S420" s="13" t="s">
        <v>585</v>
      </c>
      <c r="T420" s="13" t="s">
        <v>528</v>
      </c>
      <c r="U420" s="13" t="s">
        <v>384</v>
      </c>
      <c r="V420" s="13" t="s">
        <v>553</v>
      </c>
      <c r="W420" s="14">
        <v>0</v>
      </c>
    </row>
    <row r="421" spans="11:23" customFormat="1" x14ac:dyDescent="0.2">
      <c r="K421" s="13" t="s">
        <v>26</v>
      </c>
      <c r="L421" s="13" t="s">
        <v>481</v>
      </c>
      <c r="M421" s="13" t="s">
        <v>374</v>
      </c>
      <c r="N421" s="15">
        <v>0</v>
      </c>
      <c r="O421" s="16">
        <v>0</v>
      </c>
      <c r="P421" s="17">
        <v>1693.341599994809</v>
      </c>
      <c r="Q421" s="17">
        <v>0</v>
      </c>
      <c r="R421" s="13"/>
      <c r="S421" s="13" t="s">
        <v>585</v>
      </c>
      <c r="T421" s="13" t="s">
        <v>528</v>
      </c>
      <c r="U421" s="13" t="s">
        <v>384</v>
      </c>
      <c r="V421" s="13" t="s">
        <v>550</v>
      </c>
      <c r="W421" s="14">
        <v>0</v>
      </c>
    </row>
    <row r="422" spans="11:23" customFormat="1" x14ac:dyDescent="0.2">
      <c r="K422" s="13" t="s">
        <v>26</v>
      </c>
      <c r="L422" s="13" t="s">
        <v>401</v>
      </c>
      <c r="M422" s="13" t="s">
        <v>360</v>
      </c>
      <c r="N422" s="15">
        <v>0</v>
      </c>
      <c r="O422" s="16">
        <v>0</v>
      </c>
      <c r="P422" s="17">
        <v>5367.6065998897566</v>
      </c>
      <c r="Q422" s="17">
        <v>0</v>
      </c>
      <c r="R422" s="13"/>
      <c r="S422" s="13" t="s">
        <v>585</v>
      </c>
      <c r="T422" s="13" t="s">
        <v>613</v>
      </c>
      <c r="U422" s="13" t="s">
        <v>444</v>
      </c>
      <c r="V422" s="13" t="s">
        <v>549</v>
      </c>
      <c r="W422" s="14">
        <v>0</v>
      </c>
    </row>
    <row r="423" spans="11:23" customFormat="1" x14ac:dyDescent="0.2">
      <c r="K423" s="13" t="s">
        <v>26</v>
      </c>
      <c r="L423" s="13" t="s">
        <v>462</v>
      </c>
      <c r="M423" s="13" t="s">
        <v>370</v>
      </c>
      <c r="N423" s="15">
        <v>0</v>
      </c>
      <c r="O423" s="16">
        <v>0</v>
      </c>
      <c r="P423" s="17">
        <v>1994.0771001434521</v>
      </c>
      <c r="Q423" s="17">
        <v>0</v>
      </c>
      <c r="R423" s="13"/>
      <c r="S423" s="13" t="s">
        <v>585</v>
      </c>
      <c r="T423" s="13" t="s">
        <v>613</v>
      </c>
      <c r="U423" s="13" t="s">
        <v>444</v>
      </c>
      <c r="V423" s="13" t="s">
        <v>550</v>
      </c>
      <c r="W423" s="14">
        <v>0</v>
      </c>
    </row>
    <row r="424" spans="11:23" customFormat="1" x14ac:dyDescent="0.2">
      <c r="K424" s="13" t="s">
        <v>26</v>
      </c>
      <c r="L424" s="13" t="s">
        <v>463</v>
      </c>
      <c r="M424" s="13" t="s">
        <v>372</v>
      </c>
      <c r="N424" s="15">
        <v>0</v>
      </c>
      <c r="O424" s="16">
        <v>0</v>
      </c>
      <c r="P424" s="17">
        <v>7361.6837000332089</v>
      </c>
      <c r="Q424" s="17">
        <v>0</v>
      </c>
      <c r="R424" s="13"/>
      <c r="S424" s="13" t="s">
        <v>585</v>
      </c>
      <c r="T424" s="13" t="s">
        <v>613</v>
      </c>
      <c r="U424" s="13" t="s">
        <v>444</v>
      </c>
      <c r="V424" s="13" t="s">
        <v>551</v>
      </c>
      <c r="W424" s="14">
        <v>0</v>
      </c>
    </row>
    <row r="425" spans="11:23" customFormat="1" x14ac:dyDescent="0.2">
      <c r="K425" s="13" t="s">
        <v>26</v>
      </c>
      <c r="L425" s="13" t="s">
        <v>454</v>
      </c>
      <c r="M425" s="13" t="s">
        <v>455</v>
      </c>
      <c r="N425" s="15">
        <v>0</v>
      </c>
      <c r="O425" s="16">
        <v>0</v>
      </c>
      <c r="P425" s="17">
        <v>1639.6003499660733</v>
      </c>
      <c r="Q425" s="17">
        <v>0</v>
      </c>
      <c r="R425" s="13"/>
      <c r="S425" s="13" t="s">
        <v>585</v>
      </c>
      <c r="T425" s="13" t="s">
        <v>611</v>
      </c>
      <c r="U425" s="13" t="s">
        <v>423</v>
      </c>
      <c r="V425" s="13" t="s">
        <v>549</v>
      </c>
      <c r="W425" s="14">
        <v>0</v>
      </c>
    </row>
    <row r="426" spans="11:23" customFormat="1" x14ac:dyDescent="0.2">
      <c r="K426" s="13" t="s">
        <v>27</v>
      </c>
      <c r="L426" s="13" t="s">
        <v>462</v>
      </c>
      <c r="M426" s="13" t="s">
        <v>370</v>
      </c>
      <c r="N426" s="15">
        <v>0</v>
      </c>
      <c r="O426" s="16">
        <v>0</v>
      </c>
      <c r="P426" s="17">
        <v>264.04835000672915</v>
      </c>
      <c r="Q426" s="17">
        <v>0</v>
      </c>
      <c r="R426" s="13"/>
      <c r="S426" s="13" t="s">
        <v>586</v>
      </c>
      <c r="T426" s="13" t="s">
        <v>404</v>
      </c>
      <c r="U426" s="13" t="s">
        <v>405</v>
      </c>
      <c r="V426" s="13" t="s">
        <v>549</v>
      </c>
      <c r="W426" s="14">
        <v>1.6</v>
      </c>
    </row>
    <row r="427" spans="11:23" customFormat="1" x14ac:dyDescent="0.2">
      <c r="K427" s="13" t="s">
        <v>27</v>
      </c>
      <c r="L427" s="13" t="s">
        <v>479</v>
      </c>
      <c r="M427" s="13" t="s">
        <v>480</v>
      </c>
      <c r="N427" s="15">
        <v>0</v>
      </c>
      <c r="O427" s="16">
        <v>0</v>
      </c>
      <c r="P427" s="17">
        <v>8938.5105497886543</v>
      </c>
      <c r="Q427" s="17">
        <v>0</v>
      </c>
      <c r="R427" s="13"/>
      <c r="S427" s="13" t="s">
        <v>586</v>
      </c>
      <c r="T427" s="13" t="s">
        <v>404</v>
      </c>
      <c r="U427" s="13" t="s">
        <v>405</v>
      </c>
      <c r="V427" s="13" t="s">
        <v>549</v>
      </c>
      <c r="W427" s="14">
        <v>2</v>
      </c>
    </row>
    <row r="428" spans="11:23" customFormat="1" x14ac:dyDescent="0.2">
      <c r="K428" s="13" t="s">
        <v>27</v>
      </c>
      <c r="L428" s="13" t="s">
        <v>482</v>
      </c>
      <c r="M428" s="13" t="s">
        <v>483</v>
      </c>
      <c r="N428" s="15">
        <v>0</v>
      </c>
      <c r="O428" s="16">
        <v>0</v>
      </c>
      <c r="P428" s="17">
        <v>686.25984999119316</v>
      </c>
      <c r="Q428" s="17">
        <v>0</v>
      </c>
      <c r="R428" s="13"/>
      <c r="S428" s="13" t="s">
        <v>586</v>
      </c>
      <c r="T428" s="13" t="s">
        <v>404</v>
      </c>
      <c r="U428" s="13" t="s">
        <v>405</v>
      </c>
      <c r="V428" s="13" t="s">
        <v>553</v>
      </c>
      <c r="W428" s="14">
        <v>1.6</v>
      </c>
    </row>
    <row r="429" spans="11:23" customFormat="1" x14ac:dyDescent="0.2">
      <c r="K429" s="13" t="s">
        <v>27</v>
      </c>
      <c r="L429" s="13" t="s">
        <v>463</v>
      </c>
      <c r="M429" s="13" t="s">
        <v>372</v>
      </c>
      <c r="N429" s="15">
        <v>0</v>
      </c>
      <c r="O429" s="16">
        <v>0</v>
      </c>
      <c r="P429" s="17">
        <v>9888.8187497865765</v>
      </c>
      <c r="Q429" s="17">
        <v>0</v>
      </c>
      <c r="R429" s="13"/>
      <c r="S429" s="13" t="s">
        <v>586</v>
      </c>
      <c r="T429" s="13" t="s">
        <v>404</v>
      </c>
      <c r="U429" s="13" t="s">
        <v>405</v>
      </c>
      <c r="V429" s="13" t="s">
        <v>553</v>
      </c>
      <c r="W429" s="14">
        <v>1.4</v>
      </c>
    </row>
    <row r="430" spans="11:23" customFormat="1" x14ac:dyDescent="0.2">
      <c r="K430" s="13" t="s">
        <v>28</v>
      </c>
      <c r="L430" s="13" t="s">
        <v>435</v>
      </c>
      <c r="M430" s="13" t="s">
        <v>364</v>
      </c>
      <c r="N430" s="15">
        <v>0</v>
      </c>
      <c r="O430" s="16">
        <v>0</v>
      </c>
      <c r="P430" s="17">
        <v>1734.4718499763057</v>
      </c>
      <c r="Q430" s="17">
        <v>0</v>
      </c>
      <c r="R430" s="13"/>
      <c r="S430" s="13" t="s">
        <v>586</v>
      </c>
      <c r="T430" s="13" t="s">
        <v>404</v>
      </c>
      <c r="U430" s="13" t="s">
        <v>405</v>
      </c>
      <c r="V430" s="13" t="s">
        <v>550</v>
      </c>
      <c r="W430" s="14">
        <v>1.6</v>
      </c>
    </row>
    <row r="431" spans="11:23" customFormat="1" x14ac:dyDescent="0.2">
      <c r="K431" s="13" t="s">
        <v>28</v>
      </c>
      <c r="L431" s="13" t="s">
        <v>435</v>
      </c>
      <c r="M431" s="13" t="s">
        <v>364</v>
      </c>
      <c r="N431" s="15">
        <v>0</v>
      </c>
      <c r="O431" s="16">
        <v>75.337404909425345</v>
      </c>
      <c r="P431" s="17">
        <v>0</v>
      </c>
      <c r="Q431" s="17">
        <v>0</v>
      </c>
      <c r="R431" s="13"/>
      <c r="S431" s="13" t="s">
        <v>586</v>
      </c>
      <c r="T431" s="13" t="s">
        <v>404</v>
      </c>
      <c r="U431" s="13" t="s">
        <v>405</v>
      </c>
      <c r="V431" s="13" t="s">
        <v>551</v>
      </c>
      <c r="W431" s="14">
        <v>1.8</v>
      </c>
    </row>
    <row r="432" spans="11:23" customFormat="1" x14ac:dyDescent="0.2">
      <c r="K432" s="13" t="s">
        <v>28</v>
      </c>
      <c r="L432" s="13" t="s">
        <v>387</v>
      </c>
      <c r="M432" s="13" t="s">
        <v>386</v>
      </c>
      <c r="N432" s="15">
        <v>0</v>
      </c>
      <c r="O432" s="16">
        <v>0</v>
      </c>
      <c r="P432" s="17">
        <v>1910.5816499576911</v>
      </c>
      <c r="Q432" s="17">
        <v>0</v>
      </c>
      <c r="R432" s="13"/>
      <c r="S432" s="13" t="s">
        <v>586</v>
      </c>
      <c r="T432" s="13" t="s">
        <v>404</v>
      </c>
      <c r="U432" s="13" t="s">
        <v>405</v>
      </c>
      <c r="V432" s="13" t="s">
        <v>552</v>
      </c>
      <c r="W432" s="14">
        <v>1.8</v>
      </c>
    </row>
    <row r="433" spans="1:23" customFormat="1" x14ac:dyDescent="0.2">
      <c r="K433" s="13" t="s">
        <v>28</v>
      </c>
      <c r="L433" s="13" t="s">
        <v>389</v>
      </c>
      <c r="M433" s="13" t="s">
        <v>388</v>
      </c>
      <c r="N433" s="15">
        <v>0</v>
      </c>
      <c r="O433" s="16">
        <v>0</v>
      </c>
      <c r="P433" s="17">
        <v>550.27884999442142</v>
      </c>
      <c r="Q433" s="17">
        <v>0</v>
      </c>
      <c r="R433" s="13"/>
      <c r="S433" s="13" t="s">
        <v>586</v>
      </c>
      <c r="T433" s="13" t="s">
        <v>404</v>
      </c>
      <c r="U433" s="13" t="s">
        <v>405</v>
      </c>
      <c r="V433" s="13" t="s">
        <v>554</v>
      </c>
      <c r="W433" s="14">
        <v>1.9</v>
      </c>
    </row>
    <row r="434" spans="1:23" customFormat="1" x14ac:dyDescent="0.2">
      <c r="K434" s="13" t="s">
        <v>28</v>
      </c>
      <c r="L434" s="13" t="s">
        <v>391</v>
      </c>
      <c r="M434" s="13" t="s">
        <v>358</v>
      </c>
      <c r="N434" s="15">
        <v>0</v>
      </c>
      <c r="O434" s="16">
        <v>0</v>
      </c>
      <c r="P434" s="17">
        <v>4045.04474886352</v>
      </c>
      <c r="Q434" s="17">
        <v>0</v>
      </c>
      <c r="R434" s="13"/>
      <c r="S434" s="13" t="s">
        <v>586</v>
      </c>
      <c r="T434" s="13" t="s">
        <v>404</v>
      </c>
      <c r="U434" s="13" t="s">
        <v>405</v>
      </c>
      <c r="V434" s="13" t="s">
        <v>555</v>
      </c>
      <c r="W434" s="14">
        <v>1.6</v>
      </c>
    </row>
    <row r="435" spans="1:23" customFormat="1" x14ac:dyDescent="0.2">
      <c r="K435" s="13" t="s">
        <v>28</v>
      </c>
      <c r="L435" s="13" t="s">
        <v>395</v>
      </c>
      <c r="M435" s="13" t="s">
        <v>602</v>
      </c>
      <c r="N435" s="15">
        <v>5</v>
      </c>
      <c r="O435" s="16">
        <v>0</v>
      </c>
      <c r="P435" s="17">
        <v>0</v>
      </c>
      <c r="Q435" s="17">
        <v>0</v>
      </c>
      <c r="R435" s="13"/>
      <c r="S435" s="13" t="s">
        <v>586</v>
      </c>
      <c r="T435" s="13" t="s">
        <v>610</v>
      </c>
      <c r="U435" s="13" t="s">
        <v>418</v>
      </c>
      <c r="V435" s="13" t="s">
        <v>549</v>
      </c>
      <c r="W435" s="14">
        <v>0</v>
      </c>
    </row>
    <row r="436" spans="1:23" customFormat="1" x14ac:dyDescent="0.2">
      <c r="K436" s="13" t="s">
        <v>28</v>
      </c>
      <c r="L436" s="13" t="s">
        <v>397</v>
      </c>
      <c r="M436" s="13" t="s">
        <v>398</v>
      </c>
      <c r="N436" s="15">
        <v>0</v>
      </c>
      <c r="O436" s="16">
        <v>0</v>
      </c>
      <c r="P436" s="17">
        <v>645.42834996997271</v>
      </c>
      <c r="Q436" s="17">
        <v>0</v>
      </c>
      <c r="R436" s="13"/>
      <c r="S436" s="13" t="s">
        <v>586</v>
      </c>
      <c r="T436" s="13" t="s">
        <v>528</v>
      </c>
      <c r="U436" s="13" t="s">
        <v>384</v>
      </c>
      <c r="V436" s="13" t="s">
        <v>549</v>
      </c>
      <c r="W436" s="14">
        <v>0</v>
      </c>
    </row>
    <row r="437" spans="1:23" customFormat="1" x14ac:dyDescent="0.2">
      <c r="K437" s="13" t="s">
        <v>28</v>
      </c>
      <c r="L437" s="13" t="s">
        <v>399</v>
      </c>
      <c r="M437" s="13" t="s">
        <v>400</v>
      </c>
      <c r="N437" s="15">
        <v>0</v>
      </c>
      <c r="O437" s="16">
        <v>0</v>
      </c>
      <c r="P437" s="17">
        <v>28.274299998360139</v>
      </c>
      <c r="Q437" s="17">
        <v>0</v>
      </c>
      <c r="R437" s="13"/>
      <c r="S437" s="13" t="s">
        <v>586</v>
      </c>
      <c r="T437" s="13" t="s">
        <v>528</v>
      </c>
      <c r="U437" s="13" t="s">
        <v>384</v>
      </c>
      <c r="V437" s="13" t="s">
        <v>632</v>
      </c>
      <c r="W437" s="14">
        <v>1.9</v>
      </c>
    </row>
    <row r="438" spans="1:23" customFormat="1" x14ac:dyDescent="0.2">
      <c r="K438" s="13" t="s">
        <v>28</v>
      </c>
      <c r="L438" s="13" t="s">
        <v>401</v>
      </c>
      <c r="M438" s="13" t="s">
        <v>360</v>
      </c>
      <c r="N438" s="15">
        <v>0</v>
      </c>
      <c r="O438" s="16">
        <v>0</v>
      </c>
      <c r="P438" s="17">
        <v>4761.2666999169296</v>
      </c>
      <c r="Q438" s="17">
        <v>0</v>
      </c>
      <c r="R438" s="13"/>
      <c r="S438" s="13" t="s">
        <v>586</v>
      </c>
      <c r="T438" s="13" t="s">
        <v>613</v>
      </c>
      <c r="U438" s="13" t="s">
        <v>444</v>
      </c>
      <c r="V438" s="13" t="s">
        <v>549</v>
      </c>
      <c r="W438" s="14">
        <v>0</v>
      </c>
    </row>
    <row r="439" spans="1:23" customFormat="1" x14ac:dyDescent="0.2">
      <c r="K439" s="13" t="s">
        <v>28</v>
      </c>
      <c r="L439" s="13" t="s">
        <v>402</v>
      </c>
      <c r="M439" s="13" t="s">
        <v>403</v>
      </c>
      <c r="N439" s="15">
        <v>0</v>
      </c>
      <c r="O439" s="16">
        <v>0</v>
      </c>
      <c r="P439" s="17">
        <v>12340.370549830766</v>
      </c>
      <c r="Q439" s="17">
        <v>0</v>
      </c>
      <c r="R439" s="13"/>
      <c r="S439" s="13" t="s">
        <v>586</v>
      </c>
      <c r="T439" s="13" t="s">
        <v>613</v>
      </c>
      <c r="U439" s="13" t="s">
        <v>444</v>
      </c>
      <c r="V439" s="13" t="s">
        <v>553</v>
      </c>
      <c r="W439" s="14">
        <v>0</v>
      </c>
    </row>
    <row r="440" spans="1:23" customFormat="1" x14ac:dyDescent="0.2">
      <c r="K440" s="13" t="s">
        <v>28</v>
      </c>
      <c r="L440" s="13" t="s">
        <v>448</v>
      </c>
      <c r="M440" s="13" t="s">
        <v>366</v>
      </c>
      <c r="N440" s="15">
        <v>0</v>
      </c>
      <c r="O440" s="16">
        <v>0</v>
      </c>
      <c r="P440" s="17">
        <v>2780.7451999913951</v>
      </c>
      <c r="Q440" s="17">
        <v>0</v>
      </c>
      <c r="R440" s="13"/>
      <c r="S440" s="13" t="s">
        <v>214</v>
      </c>
      <c r="T440" s="13" t="s">
        <v>395</v>
      </c>
      <c r="U440" s="13" t="s">
        <v>602</v>
      </c>
      <c r="V440" s="13" t="s">
        <v>549</v>
      </c>
      <c r="W440" s="14">
        <v>0</v>
      </c>
    </row>
    <row r="441" spans="1:23" customFormat="1" x14ac:dyDescent="0.2">
      <c r="K441" s="13" t="s">
        <v>28</v>
      </c>
      <c r="L441" s="13" t="s">
        <v>462</v>
      </c>
      <c r="M441" s="13" t="s">
        <v>370</v>
      </c>
      <c r="N441" s="15">
        <v>0</v>
      </c>
      <c r="O441" s="16">
        <v>0</v>
      </c>
      <c r="P441" s="17">
        <v>521.23415549502829</v>
      </c>
      <c r="Q441" s="17">
        <v>0</v>
      </c>
      <c r="R441" s="13"/>
      <c r="S441" s="13" t="s">
        <v>214</v>
      </c>
      <c r="T441" s="13" t="s">
        <v>528</v>
      </c>
      <c r="U441" s="13" t="s">
        <v>384</v>
      </c>
      <c r="V441" s="13" t="s">
        <v>549</v>
      </c>
      <c r="W441" s="14">
        <v>0</v>
      </c>
    </row>
    <row r="442" spans="1:23" customFormat="1" x14ac:dyDescent="0.2">
      <c r="K442" s="13" t="s">
        <v>28</v>
      </c>
      <c r="L442" s="13" t="s">
        <v>482</v>
      </c>
      <c r="M442" s="13" t="s">
        <v>483</v>
      </c>
      <c r="N442" s="15">
        <v>0</v>
      </c>
      <c r="O442" s="16">
        <v>0</v>
      </c>
      <c r="P442" s="17">
        <v>1396.3941715415692</v>
      </c>
      <c r="Q442" s="17">
        <v>0</v>
      </c>
      <c r="R442" s="13"/>
      <c r="S442" s="13" t="s">
        <v>214</v>
      </c>
      <c r="T442" s="13" t="s">
        <v>528</v>
      </c>
      <c r="U442" s="13" t="s">
        <v>384</v>
      </c>
      <c r="V442" s="13" t="s">
        <v>553</v>
      </c>
      <c r="W442" s="14">
        <v>0</v>
      </c>
    </row>
    <row r="443" spans="1:23" customFormat="1" x14ac:dyDescent="0.2">
      <c r="K443" s="13" t="s">
        <v>28</v>
      </c>
      <c r="L443" s="13" t="s">
        <v>629</v>
      </c>
      <c r="M443" s="13" t="s">
        <v>630</v>
      </c>
      <c r="N443" s="15">
        <v>0</v>
      </c>
      <c r="O443" s="16">
        <v>0</v>
      </c>
      <c r="P443" s="17">
        <v>140.04934999830846</v>
      </c>
      <c r="Q443" s="17">
        <v>300.37278537538094</v>
      </c>
      <c r="R443" s="13"/>
      <c r="S443" s="13" t="s">
        <v>214</v>
      </c>
      <c r="T443" s="13" t="s">
        <v>613</v>
      </c>
      <c r="U443" s="13" t="s">
        <v>444</v>
      </c>
      <c r="V443" s="13" t="s">
        <v>549</v>
      </c>
      <c r="W443" s="14">
        <v>0</v>
      </c>
    </row>
    <row r="444" spans="1:23" customFormat="1" x14ac:dyDescent="0.2">
      <c r="K444" s="13" t="s">
        <v>28</v>
      </c>
      <c r="L444" s="13" t="s">
        <v>451</v>
      </c>
      <c r="M444" s="13" t="s">
        <v>369</v>
      </c>
      <c r="N444" s="15">
        <v>0</v>
      </c>
      <c r="O444" s="16">
        <v>0</v>
      </c>
      <c r="P444" s="17">
        <v>37811.039512951756</v>
      </c>
      <c r="Q444" s="17">
        <v>0</v>
      </c>
      <c r="R444" s="13"/>
      <c r="S444" s="13" t="s">
        <v>216</v>
      </c>
      <c r="T444" s="13" t="s">
        <v>395</v>
      </c>
      <c r="U444" s="13" t="s">
        <v>602</v>
      </c>
      <c r="V444" s="13" t="s">
        <v>549</v>
      </c>
      <c r="W444" s="14">
        <v>0</v>
      </c>
    </row>
    <row r="445" spans="1:23" customFormat="1" x14ac:dyDescent="0.2">
      <c r="K445" s="13" t="s">
        <v>28</v>
      </c>
      <c r="L445" s="13" t="s">
        <v>381</v>
      </c>
      <c r="M445" s="13" t="s">
        <v>382</v>
      </c>
      <c r="N445" s="15">
        <v>44</v>
      </c>
      <c r="O445" s="16">
        <v>0</v>
      </c>
      <c r="P445" s="17">
        <v>0</v>
      </c>
      <c r="Q445" s="17">
        <v>0</v>
      </c>
      <c r="R445" s="13"/>
      <c r="S445" s="13" t="s">
        <v>216</v>
      </c>
      <c r="T445" s="13" t="s">
        <v>404</v>
      </c>
      <c r="U445" s="13" t="s">
        <v>405</v>
      </c>
      <c r="V445" s="13" t="s">
        <v>549</v>
      </c>
      <c r="W445" s="14">
        <v>1</v>
      </c>
    </row>
    <row r="446" spans="1:23" customFormat="1" x14ac:dyDescent="0.2">
      <c r="K446" s="13" t="s">
        <v>28</v>
      </c>
      <c r="L446" s="13" t="s">
        <v>407</v>
      </c>
      <c r="M446" s="13" t="s">
        <v>408</v>
      </c>
      <c r="N446" s="15">
        <v>1</v>
      </c>
      <c r="O446" s="16">
        <v>0</v>
      </c>
      <c r="P446" s="17">
        <v>0</v>
      </c>
      <c r="Q446" s="17">
        <v>0</v>
      </c>
      <c r="R446" s="13"/>
      <c r="S446" s="13" t="s">
        <v>216</v>
      </c>
      <c r="T446" s="13" t="s">
        <v>404</v>
      </c>
      <c r="U446" s="13" t="s">
        <v>405</v>
      </c>
      <c r="V446" s="13" t="s">
        <v>553</v>
      </c>
      <c r="W446" s="14">
        <v>1.8</v>
      </c>
    </row>
    <row r="447" spans="1:23" x14ac:dyDescent="0.2">
      <c r="A447"/>
      <c r="B447"/>
      <c r="C447"/>
      <c r="D447"/>
      <c r="E447"/>
      <c r="F447"/>
      <c r="G447"/>
      <c r="H447"/>
      <c r="I447"/>
      <c r="J447"/>
      <c r="K447" s="13" t="s">
        <v>28</v>
      </c>
      <c r="L447" s="13" t="s">
        <v>471</v>
      </c>
      <c r="M447" s="13" t="s">
        <v>472</v>
      </c>
      <c r="N447" s="15">
        <v>0</v>
      </c>
      <c r="O447" s="16">
        <v>0</v>
      </c>
      <c r="P447" s="17">
        <v>8345.8687998850401</v>
      </c>
      <c r="Q447" s="17">
        <v>0</v>
      </c>
      <c r="R447" s="13"/>
      <c r="S447" s="13" t="s">
        <v>216</v>
      </c>
      <c r="T447" s="13" t="s">
        <v>404</v>
      </c>
      <c r="U447" s="13" t="s">
        <v>405</v>
      </c>
      <c r="V447" s="13" t="s">
        <v>550</v>
      </c>
      <c r="W447" s="14">
        <v>1.5</v>
      </c>
    </row>
    <row r="448" spans="1:23" x14ac:dyDescent="0.2">
      <c r="A448"/>
      <c r="B448"/>
      <c r="C448"/>
      <c r="D448"/>
      <c r="E448"/>
      <c r="F448"/>
      <c r="G448"/>
      <c r="H448"/>
      <c r="I448"/>
      <c r="J448"/>
      <c r="K448" s="13" t="s">
        <v>28</v>
      </c>
      <c r="L448" s="13" t="s">
        <v>411</v>
      </c>
      <c r="M448" s="13" t="s">
        <v>362</v>
      </c>
      <c r="N448" s="15">
        <v>0</v>
      </c>
      <c r="O448" s="16">
        <v>0</v>
      </c>
      <c r="P448" s="17">
        <v>115.41268753108707</v>
      </c>
      <c r="Q448" s="17">
        <v>0</v>
      </c>
      <c r="R448" s="13"/>
      <c r="S448" s="13" t="s">
        <v>216</v>
      </c>
      <c r="T448" s="13" t="s">
        <v>404</v>
      </c>
      <c r="U448" s="13" t="s">
        <v>405</v>
      </c>
      <c r="V448" s="13" t="s">
        <v>550</v>
      </c>
      <c r="W448" s="14">
        <v>1.4</v>
      </c>
    </row>
    <row r="449" spans="1:23" x14ac:dyDescent="0.2">
      <c r="A449"/>
      <c r="B449"/>
      <c r="C449"/>
      <c r="D449"/>
      <c r="E449"/>
      <c r="F449"/>
      <c r="G449"/>
      <c r="H449"/>
      <c r="I449"/>
      <c r="J449"/>
      <c r="K449" s="13" t="s">
        <v>28</v>
      </c>
      <c r="L449" s="13" t="s">
        <v>411</v>
      </c>
      <c r="M449" s="13" t="s">
        <v>362</v>
      </c>
      <c r="N449" s="15">
        <v>3</v>
      </c>
      <c r="O449" s="16">
        <v>0</v>
      </c>
      <c r="P449" s="17">
        <v>0</v>
      </c>
      <c r="Q449" s="17">
        <v>0</v>
      </c>
      <c r="R449" s="13"/>
      <c r="S449" s="13" t="s">
        <v>216</v>
      </c>
      <c r="T449" s="13" t="s">
        <v>404</v>
      </c>
      <c r="U449" s="13" t="s">
        <v>405</v>
      </c>
      <c r="V449" s="13" t="s">
        <v>551</v>
      </c>
      <c r="W449" s="14">
        <v>2</v>
      </c>
    </row>
    <row r="450" spans="1:23" x14ac:dyDescent="0.2">
      <c r="A450"/>
      <c r="B450"/>
      <c r="C450"/>
      <c r="D450"/>
      <c r="E450"/>
      <c r="F450"/>
      <c r="G450"/>
      <c r="H450"/>
      <c r="I450"/>
      <c r="J450"/>
      <c r="K450" s="13" t="s">
        <v>28</v>
      </c>
      <c r="L450" s="13" t="s">
        <v>413</v>
      </c>
      <c r="M450" s="13" t="s">
        <v>428</v>
      </c>
      <c r="N450" s="15">
        <v>2</v>
      </c>
      <c r="O450" s="16">
        <v>0</v>
      </c>
      <c r="P450" s="17">
        <v>0</v>
      </c>
      <c r="Q450" s="17">
        <v>0</v>
      </c>
      <c r="R450" s="13"/>
      <c r="S450" s="13" t="s">
        <v>216</v>
      </c>
      <c r="T450" s="13" t="s">
        <v>609</v>
      </c>
      <c r="U450" s="13" t="s">
        <v>416</v>
      </c>
      <c r="V450" s="13" t="s">
        <v>549</v>
      </c>
      <c r="W450" s="14">
        <v>0</v>
      </c>
    </row>
    <row r="451" spans="1:23" x14ac:dyDescent="0.2">
      <c r="A451"/>
      <c r="B451"/>
      <c r="C451"/>
      <c r="D451"/>
      <c r="E451"/>
      <c r="F451"/>
      <c r="G451"/>
      <c r="H451"/>
      <c r="I451"/>
      <c r="J451"/>
      <c r="K451" s="13" t="s">
        <v>28</v>
      </c>
      <c r="L451" s="13" t="s">
        <v>606</v>
      </c>
      <c r="M451" s="13" t="s">
        <v>430</v>
      </c>
      <c r="N451" s="15">
        <v>11</v>
      </c>
      <c r="O451" s="16">
        <v>0</v>
      </c>
      <c r="P451" s="17">
        <v>0</v>
      </c>
      <c r="Q451" s="17">
        <v>0</v>
      </c>
      <c r="R451" s="13"/>
      <c r="S451" s="13" t="s">
        <v>216</v>
      </c>
      <c r="T451" s="13" t="s">
        <v>528</v>
      </c>
      <c r="U451" s="13" t="s">
        <v>384</v>
      </c>
      <c r="V451" s="13" t="s">
        <v>549</v>
      </c>
      <c r="W451" s="14">
        <v>0</v>
      </c>
    </row>
    <row r="452" spans="1:23" x14ac:dyDescent="0.2">
      <c r="A452"/>
      <c r="B452"/>
      <c r="C452"/>
      <c r="D452"/>
      <c r="E452"/>
      <c r="F452"/>
      <c r="G452"/>
      <c r="H452"/>
      <c r="I452"/>
      <c r="J452"/>
      <c r="K452" s="13" t="s">
        <v>28</v>
      </c>
      <c r="L452" s="13" t="s">
        <v>608</v>
      </c>
      <c r="M452" s="13" t="s">
        <v>432</v>
      </c>
      <c r="N452" s="15">
        <v>4</v>
      </c>
      <c r="O452" s="16">
        <v>0</v>
      </c>
      <c r="P452" s="17">
        <v>0</v>
      </c>
      <c r="Q452" s="17">
        <v>0</v>
      </c>
      <c r="R452" s="13"/>
      <c r="S452" s="13" t="s">
        <v>216</v>
      </c>
      <c r="T452" s="13" t="s">
        <v>528</v>
      </c>
      <c r="U452" s="13" t="s">
        <v>384</v>
      </c>
      <c r="V452" s="13" t="s">
        <v>553</v>
      </c>
      <c r="W452" s="14">
        <v>0</v>
      </c>
    </row>
    <row r="453" spans="1:23" x14ac:dyDescent="0.2">
      <c r="A453"/>
      <c r="B453"/>
      <c r="C453"/>
      <c r="D453"/>
      <c r="E453"/>
      <c r="F453"/>
      <c r="G453"/>
      <c r="H453"/>
      <c r="I453"/>
      <c r="J453"/>
      <c r="K453" s="13" t="s">
        <v>28</v>
      </c>
      <c r="L453" s="13" t="s">
        <v>615</v>
      </c>
      <c r="M453" s="13" t="s">
        <v>449</v>
      </c>
      <c r="N453" s="15">
        <v>1</v>
      </c>
      <c r="O453" s="16">
        <v>0</v>
      </c>
      <c r="P453" s="17">
        <v>0</v>
      </c>
      <c r="Q453" s="17">
        <v>0</v>
      </c>
      <c r="R453" s="13"/>
      <c r="S453" s="13" t="s">
        <v>216</v>
      </c>
      <c r="T453" s="13" t="s">
        <v>613</v>
      </c>
      <c r="U453" s="13" t="s">
        <v>444</v>
      </c>
      <c r="V453" s="13" t="s">
        <v>549</v>
      </c>
      <c r="W453" s="14">
        <v>0</v>
      </c>
    </row>
    <row r="454" spans="1:23" x14ac:dyDescent="0.2">
      <c r="A454"/>
      <c r="B454"/>
      <c r="C454"/>
      <c r="D454"/>
      <c r="E454"/>
      <c r="F454"/>
      <c r="G454"/>
      <c r="H454"/>
      <c r="I454"/>
      <c r="J454"/>
      <c r="K454" s="13" t="s">
        <v>28</v>
      </c>
      <c r="L454" s="13" t="s">
        <v>415</v>
      </c>
      <c r="M454" s="13" t="s">
        <v>412</v>
      </c>
      <c r="N454" s="15">
        <v>0</v>
      </c>
      <c r="O454" s="16">
        <v>0</v>
      </c>
      <c r="P454" s="17">
        <v>54.104999999344585</v>
      </c>
      <c r="Q454" s="17">
        <v>0</v>
      </c>
      <c r="R454" s="13"/>
      <c r="S454" s="13" t="s">
        <v>216</v>
      </c>
      <c r="T454" s="13" t="s">
        <v>613</v>
      </c>
      <c r="U454" s="13" t="s">
        <v>444</v>
      </c>
      <c r="V454" s="13" t="s">
        <v>553</v>
      </c>
      <c r="W454" s="14">
        <v>0</v>
      </c>
    </row>
    <row r="455" spans="1:23" x14ac:dyDescent="0.2">
      <c r="A455"/>
      <c r="B455"/>
      <c r="C455"/>
      <c r="D455"/>
      <c r="E455"/>
      <c r="F455"/>
      <c r="G455"/>
      <c r="H455"/>
      <c r="I455"/>
      <c r="J455"/>
      <c r="K455" s="13" t="s">
        <v>28</v>
      </c>
      <c r="L455" s="13" t="s">
        <v>523</v>
      </c>
      <c r="M455" s="13" t="s">
        <v>476</v>
      </c>
      <c r="N455" s="15">
        <v>0</v>
      </c>
      <c r="O455" s="16">
        <v>0</v>
      </c>
      <c r="P455" s="17">
        <v>175.98499997833105</v>
      </c>
      <c r="Q455" s="17">
        <v>0</v>
      </c>
      <c r="R455" s="13"/>
      <c r="S455" s="13" t="s">
        <v>216</v>
      </c>
      <c r="T455" s="13" t="s">
        <v>611</v>
      </c>
      <c r="U455" s="13" t="s">
        <v>423</v>
      </c>
      <c r="V455" s="13" t="s">
        <v>549</v>
      </c>
      <c r="W455" s="14">
        <v>0</v>
      </c>
    </row>
    <row r="456" spans="1:23" x14ac:dyDescent="0.2">
      <c r="A456"/>
      <c r="B456"/>
      <c r="C456"/>
      <c r="D456"/>
      <c r="E456"/>
      <c r="F456"/>
      <c r="G456"/>
      <c r="H456"/>
      <c r="I456"/>
      <c r="J456"/>
      <c r="K456" s="13" t="s">
        <v>28</v>
      </c>
      <c r="L456" s="13" t="s">
        <v>609</v>
      </c>
      <c r="M456" s="13" t="s">
        <v>416</v>
      </c>
      <c r="N456" s="15">
        <v>0</v>
      </c>
      <c r="O456" s="16">
        <v>43.676491498594821</v>
      </c>
      <c r="P456" s="17">
        <v>0</v>
      </c>
      <c r="Q456" s="17">
        <v>0</v>
      </c>
      <c r="R456" s="13"/>
      <c r="S456" s="13" t="s">
        <v>218</v>
      </c>
      <c r="T456" s="13" t="s">
        <v>404</v>
      </c>
      <c r="U456" s="13" t="s">
        <v>405</v>
      </c>
      <c r="V456" s="13" t="s">
        <v>549</v>
      </c>
      <c r="W456" s="14">
        <v>1</v>
      </c>
    </row>
    <row r="457" spans="1:23" x14ac:dyDescent="0.2">
      <c r="A457"/>
      <c r="B457"/>
      <c r="C457"/>
      <c r="D457"/>
      <c r="E457"/>
      <c r="F457"/>
      <c r="G457"/>
      <c r="H457"/>
      <c r="I457"/>
      <c r="J457"/>
      <c r="K457" s="13" t="s">
        <v>28</v>
      </c>
      <c r="L457" s="13" t="s">
        <v>421</v>
      </c>
      <c r="M457" s="13" t="s">
        <v>443</v>
      </c>
      <c r="N457" s="15">
        <v>23</v>
      </c>
      <c r="O457" s="16">
        <v>0</v>
      </c>
      <c r="P457" s="17">
        <v>0</v>
      </c>
      <c r="Q457" s="17">
        <v>0</v>
      </c>
      <c r="R457" s="13"/>
      <c r="S457" s="13" t="s">
        <v>218</v>
      </c>
      <c r="T457" s="13" t="s">
        <v>404</v>
      </c>
      <c r="U457" s="13" t="s">
        <v>405</v>
      </c>
      <c r="V457" s="13" t="s">
        <v>549</v>
      </c>
      <c r="W457" s="14">
        <v>1.4</v>
      </c>
    </row>
    <row r="458" spans="1:23" x14ac:dyDescent="0.2">
      <c r="A458"/>
      <c r="B458"/>
      <c r="C458"/>
      <c r="D458"/>
      <c r="E458"/>
      <c r="F458"/>
      <c r="G458"/>
      <c r="H458"/>
      <c r="I458"/>
      <c r="J458"/>
      <c r="K458" s="13" t="s">
        <v>28</v>
      </c>
      <c r="L458" s="13" t="s">
        <v>383</v>
      </c>
      <c r="M458" s="13" t="s">
        <v>420</v>
      </c>
      <c r="N458" s="15">
        <v>3</v>
      </c>
      <c r="O458" s="16">
        <v>0</v>
      </c>
      <c r="P458" s="17">
        <v>0</v>
      </c>
      <c r="Q458" s="17">
        <v>0</v>
      </c>
      <c r="R458" s="13"/>
      <c r="S458" s="13" t="s">
        <v>218</v>
      </c>
      <c r="T458" s="13" t="s">
        <v>404</v>
      </c>
      <c r="U458" s="13" t="s">
        <v>405</v>
      </c>
      <c r="V458" s="13" t="s">
        <v>553</v>
      </c>
      <c r="W458" s="14">
        <v>1</v>
      </c>
    </row>
    <row r="459" spans="1:23" x14ac:dyDescent="0.2">
      <c r="A459"/>
      <c r="B459"/>
      <c r="C459"/>
      <c r="D459"/>
      <c r="E459"/>
      <c r="F459"/>
      <c r="G459"/>
      <c r="H459"/>
      <c r="I459"/>
      <c r="J459"/>
      <c r="K459" s="13" t="s">
        <v>28</v>
      </c>
      <c r="L459" s="13" t="s">
        <v>467</v>
      </c>
      <c r="M459" s="13" t="s">
        <v>422</v>
      </c>
      <c r="N459" s="15">
        <v>0</v>
      </c>
      <c r="O459" s="16">
        <v>2.9960807729456196</v>
      </c>
      <c r="P459" s="17">
        <v>0</v>
      </c>
      <c r="Q459" s="17">
        <v>0</v>
      </c>
      <c r="R459" s="13"/>
      <c r="S459" s="13" t="s">
        <v>218</v>
      </c>
      <c r="T459" s="13" t="s">
        <v>609</v>
      </c>
      <c r="U459" s="13" t="s">
        <v>416</v>
      </c>
      <c r="V459" s="13" t="s">
        <v>549</v>
      </c>
      <c r="W459" s="14">
        <v>0</v>
      </c>
    </row>
    <row r="460" spans="1:23" x14ac:dyDescent="0.2">
      <c r="A460"/>
      <c r="B460"/>
      <c r="C460"/>
      <c r="D460"/>
      <c r="E460"/>
      <c r="F460"/>
      <c r="G460"/>
      <c r="H460"/>
      <c r="I460"/>
      <c r="J460"/>
      <c r="K460" s="13" t="s">
        <v>28</v>
      </c>
      <c r="L460" s="13" t="s">
        <v>614</v>
      </c>
      <c r="M460" s="13" t="s">
        <v>447</v>
      </c>
      <c r="N460" s="15">
        <v>9</v>
      </c>
      <c r="O460" s="16">
        <v>0</v>
      </c>
      <c r="P460" s="17">
        <v>0</v>
      </c>
      <c r="Q460" s="17">
        <v>0</v>
      </c>
      <c r="R460" s="13"/>
      <c r="S460" s="13" t="s">
        <v>218</v>
      </c>
      <c r="T460" s="13" t="s">
        <v>613</v>
      </c>
      <c r="U460" s="13" t="s">
        <v>444</v>
      </c>
      <c r="V460" s="13" t="s">
        <v>549</v>
      </c>
      <c r="W460" s="14">
        <v>0</v>
      </c>
    </row>
    <row r="461" spans="1:23" x14ac:dyDescent="0.2">
      <c r="A461"/>
      <c r="B461"/>
      <c r="C461"/>
      <c r="D461"/>
      <c r="E461"/>
      <c r="F461"/>
      <c r="G461"/>
      <c r="H461"/>
      <c r="I461"/>
      <c r="J461"/>
      <c r="K461" s="13" t="s">
        <v>28</v>
      </c>
      <c r="L461" s="13" t="s">
        <v>616</v>
      </c>
      <c r="M461" s="13" t="s">
        <v>485</v>
      </c>
      <c r="N461" s="15">
        <v>1</v>
      </c>
      <c r="O461" s="16">
        <v>0</v>
      </c>
      <c r="P461" s="17">
        <v>0</v>
      </c>
      <c r="Q461" s="17">
        <v>0</v>
      </c>
      <c r="R461" s="13"/>
      <c r="S461" s="13" t="s">
        <v>220</v>
      </c>
      <c r="T461" s="13" t="s">
        <v>609</v>
      </c>
      <c r="U461" s="13" t="s">
        <v>416</v>
      </c>
      <c r="V461" s="13" t="s">
        <v>549</v>
      </c>
      <c r="W461" s="14">
        <v>0</v>
      </c>
    </row>
    <row r="462" spans="1:23" x14ac:dyDescent="0.2">
      <c r="A462"/>
      <c r="B462"/>
      <c r="C462"/>
      <c r="D462"/>
      <c r="E462"/>
      <c r="F462"/>
      <c r="G462"/>
      <c r="H462"/>
      <c r="I462"/>
      <c r="J462"/>
      <c r="K462" s="13" t="s">
        <v>29</v>
      </c>
      <c r="L462" s="13" t="s">
        <v>389</v>
      </c>
      <c r="M462" s="13" t="s">
        <v>388</v>
      </c>
      <c r="N462" s="15">
        <v>0</v>
      </c>
      <c r="O462" s="16">
        <v>0</v>
      </c>
      <c r="P462" s="17">
        <v>96.438599985826741</v>
      </c>
      <c r="Q462" s="17">
        <v>0</v>
      </c>
      <c r="R462" s="13"/>
      <c r="S462" s="13" t="s">
        <v>220</v>
      </c>
      <c r="T462" s="13" t="s">
        <v>528</v>
      </c>
      <c r="U462" s="13" t="s">
        <v>384</v>
      </c>
      <c r="V462" s="13" t="s">
        <v>549</v>
      </c>
      <c r="W462" s="14">
        <v>0</v>
      </c>
    </row>
    <row r="463" spans="1:23" x14ac:dyDescent="0.2">
      <c r="A463"/>
      <c r="B463"/>
      <c r="C463"/>
      <c r="D463"/>
      <c r="E463"/>
      <c r="F463"/>
      <c r="G463"/>
      <c r="H463"/>
      <c r="I463"/>
      <c r="J463"/>
      <c r="K463" s="13" t="s">
        <v>29</v>
      </c>
      <c r="L463" s="13" t="s">
        <v>391</v>
      </c>
      <c r="M463" s="13" t="s">
        <v>358</v>
      </c>
      <c r="N463" s="15">
        <v>0</v>
      </c>
      <c r="O463" s="16">
        <v>0</v>
      </c>
      <c r="P463" s="17">
        <v>8794.2302999614731</v>
      </c>
      <c r="Q463" s="17">
        <v>0</v>
      </c>
      <c r="R463" s="13"/>
      <c r="S463" s="13" t="s">
        <v>220</v>
      </c>
      <c r="T463" s="13" t="s">
        <v>528</v>
      </c>
      <c r="U463" s="13" t="s">
        <v>384</v>
      </c>
      <c r="V463" s="13" t="s">
        <v>553</v>
      </c>
      <c r="W463" s="14">
        <v>0</v>
      </c>
    </row>
    <row r="464" spans="1:23" x14ac:dyDescent="0.2">
      <c r="A464"/>
      <c r="B464"/>
      <c r="C464"/>
      <c r="D464"/>
      <c r="E464"/>
      <c r="F464"/>
      <c r="G464"/>
      <c r="H464"/>
      <c r="I464"/>
      <c r="J464"/>
      <c r="K464" s="13" t="s">
        <v>29</v>
      </c>
      <c r="L464" s="13" t="s">
        <v>486</v>
      </c>
      <c r="M464" s="13" t="s">
        <v>439</v>
      </c>
      <c r="N464" s="15">
        <v>0</v>
      </c>
      <c r="O464" s="16">
        <v>0</v>
      </c>
      <c r="P464" s="17">
        <v>337.56286514899932</v>
      </c>
      <c r="Q464" s="17">
        <v>0</v>
      </c>
      <c r="R464" s="13"/>
      <c r="S464" s="13" t="s">
        <v>220</v>
      </c>
      <c r="T464" s="13" t="s">
        <v>613</v>
      </c>
      <c r="U464" s="13" t="s">
        <v>444</v>
      </c>
      <c r="V464" s="13" t="s">
        <v>549</v>
      </c>
      <c r="W464" s="14">
        <v>0</v>
      </c>
    </row>
    <row r="465" spans="1:23" x14ac:dyDescent="0.2">
      <c r="A465"/>
      <c r="B465"/>
      <c r="C465"/>
      <c r="D465"/>
      <c r="E465"/>
      <c r="F465"/>
      <c r="G465"/>
      <c r="H465"/>
      <c r="I465"/>
      <c r="J465"/>
      <c r="K465" s="13" t="s">
        <v>29</v>
      </c>
      <c r="L465" s="13" t="s">
        <v>399</v>
      </c>
      <c r="M465" s="13" t="s">
        <v>400</v>
      </c>
      <c r="N465" s="15">
        <v>0</v>
      </c>
      <c r="O465" s="16">
        <v>0</v>
      </c>
      <c r="P465" s="17">
        <v>11.858949998391505</v>
      </c>
      <c r="Q465" s="17">
        <v>0</v>
      </c>
      <c r="R465" s="13"/>
      <c r="S465" s="13" t="s">
        <v>220</v>
      </c>
      <c r="T465" s="13" t="s">
        <v>611</v>
      </c>
      <c r="U465" s="13" t="s">
        <v>423</v>
      </c>
      <c r="V465" s="13" t="s">
        <v>549</v>
      </c>
      <c r="W465" s="14">
        <v>0</v>
      </c>
    </row>
    <row r="466" spans="1:23" x14ac:dyDescent="0.2">
      <c r="A466"/>
      <c r="B466"/>
      <c r="C466"/>
      <c r="D466"/>
      <c r="E466"/>
      <c r="F466"/>
      <c r="G466"/>
      <c r="H466"/>
      <c r="I466"/>
      <c r="J466"/>
      <c r="K466" s="13" t="s">
        <v>29</v>
      </c>
      <c r="L466" s="13" t="s">
        <v>401</v>
      </c>
      <c r="M466" s="13" t="s">
        <v>360</v>
      </c>
      <c r="N466" s="15">
        <v>0</v>
      </c>
      <c r="O466" s="16">
        <v>0</v>
      </c>
      <c r="P466" s="17">
        <v>2757.2801000183345</v>
      </c>
      <c r="Q466" s="17">
        <v>0</v>
      </c>
      <c r="R466" s="13"/>
      <c r="S466" s="13" t="s">
        <v>222</v>
      </c>
      <c r="T466" s="13" t="s">
        <v>609</v>
      </c>
      <c r="U466" s="13" t="s">
        <v>416</v>
      </c>
      <c r="V466" s="13" t="s">
        <v>549</v>
      </c>
      <c r="W466" s="14">
        <v>0</v>
      </c>
    </row>
    <row r="467" spans="1:23" x14ac:dyDescent="0.2">
      <c r="A467"/>
      <c r="B467"/>
      <c r="C467"/>
      <c r="D467"/>
      <c r="E467"/>
      <c r="F467"/>
      <c r="G467"/>
      <c r="H467"/>
      <c r="I467"/>
      <c r="J467"/>
      <c r="K467" s="13" t="s">
        <v>29</v>
      </c>
      <c r="L467" s="13" t="s">
        <v>402</v>
      </c>
      <c r="M467" s="13" t="s">
        <v>403</v>
      </c>
      <c r="N467" s="15">
        <v>0</v>
      </c>
      <c r="O467" s="16">
        <v>0</v>
      </c>
      <c r="P467" s="17">
        <v>13755.470999798803</v>
      </c>
      <c r="Q467" s="17">
        <v>0</v>
      </c>
      <c r="R467" s="13"/>
      <c r="S467" s="13" t="s">
        <v>222</v>
      </c>
      <c r="T467" s="13" t="s">
        <v>528</v>
      </c>
      <c r="U467" s="13" t="s">
        <v>384</v>
      </c>
      <c r="V467" s="13" t="s">
        <v>549</v>
      </c>
      <c r="W467" s="14">
        <v>0</v>
      </c>
    </row>
    <row r="468" spans="1:23" x14ac:dyDescent="0.2">
      <c r="A468"/>
      <c r="B468"/>
      <c r="C468"/>
      <c r="D468"/>
      <c r="E468"/>
      <c r="F468"/>
      <c r="G468"/>
      <c r="H468"/>
      <c r="I468"/>
      <c r="J468"/>
      <c r="K468" s="13" t="s">
        <v>29</v>
      </c>
      <c r="L468" s="13" t="s">
        <v>448</v>
      </c>
      <c r="M468" s="13" t="s">
        <v>366</v>
      </c>
      <c r="N468" s="15">
        <v>0</v>
      </c>
      <c r="O468" s="16">
        <v>0</v>
      </c>
      <c r="P468" s="17">
        <v>3156.3398999519923</v>
      </c>
      <c r="Q468" s="17">
        <v>0</v>
      </c>
      <c r="R468" s="13"/>
      <c r="S468" s="13" t="s">
        <v>222</v>
      </c>
      <c r="T468" s="13" t="s">
        <v>613</v>
      </c>
      <c r="U468" s="13" t="s">
        <v>444</v>
      </c>
      <c r="V468" s="13" t="s">
        <v>549</v>
      </c>
      <c r="W468" s="14">
        <v>0</v>
      </c>
    </row>
    <row r="469" spans="1:23" x14ac:dyDescent="0.2">
      <c r="A469"/>
      <c r="B469"/>
      <c r="C469"/>
      <c r="D469"/>
      <c r="E469"/>
      <c r="F469"/>
      <c r="G469"/>
      <c r="H469"/>
      <c r="I469"/>
      <c r="J469"/>
      <c r="K469" s="13" t="s">
        <v>29</v>
      </c>
      <c r="L469" s="13" t="s">
        <v>462</v>
      </c>
      <c r="M469" s="13" t="s">
        <v>370</v>
      </c>
      <c r="N469" s="15">
        <v>0</v>
      </c>
      <c r="O469" s="16">
        <v>0</v>
      </c>
      <c r="P469" s="17">
        <v>1620.8787999938138</v>
      </c>
      <c r="Q469" s="17">
        <v>0</v>
      </c>
      <c r="R469" s="13"/>
      <c r="S469" s="13" t="s">
        <v>224</v>
      </c>
      <c r="T469" s="13" t="s">
        <v>609</v>
      </c>
      <c r="U469" s="13" t="s">
        <v>416</v>
      </c>
      <c r="V469" s="13" t="s">
        <v>549</v>
      </c>
      <c r="W469" s="14">
        <v>0</v>
      </c>
    </row>
    <row r="470" spans="1:23" x14ac:dyDescent="0.2">
      <c r="A470"/>
      <c r="B470"/>
      <c r="C470"/>
      <c r="D470"/>
      <c r="E470"/>
      <c r="F470"/>
      <c r="G470"/>
      <c r="H470"/>
      <c r="I470"/>
      <c r="J470"/>
      <c r="K470" s="13" t="s">
        <v>29</v>
      </c>
      <c r="L470" s="13" t="s">
        <v>482</v>
      </c>
      <c r="M470" s="13" t="s">
        <v>483</v>
      </c>
      <c r="N470" s="15">
        <v>0</v>
      </c>
      <c r="O470" s="16">
        <v>0</v>
      </c>
      <c r="P470" s="17">
        <v>2737.897299931999</v>
      </c>
      <c r="Q470" s="17">
        <v>0</v>
      </c>
      <c r="R470" s="13"/>
      <c r="S470" s="13" t="s">
        <v>224</v>
      </c>
      <c r="T470" s="13" t="s">
        <v>528</v>
      </c>
      <c r="U470" s="13" t="s">
        <v>384</v>
      </c>
      <c r="V470" s="13" t="s">
        <v>549</v>
      </c>
      <c r="W470" s="14">
        <v>0</v>
      </c>
    </row>
    <row r="471" spans="1:23" x14ac:dyDescent="0.2">
      <c r="A471"/>
      <c r="B471"/>
      <c r="C471"/>
      <c r="D471"/>
      <c r="E471"/>
      <c r="F471"/>
      <c r="G471"/>
      <c r="H471"/>
      <c r="I471"/>
      <c r="J471"/>
      <c r="K471" s="13" t="s">
        <v>29</v>
      </c>
      <c r="L471" s="13" t="s">
        <v>451</v>
      </c>
      <c r="M471" s="13" t="s">
        <v>369</v>
      </c>
      <c r="N471" s="15">
        <v>0</v>
      </c>
      <c r="O471" s="16">
        <v>0</v>
      </c>
      <c r="P471" s="17">
        <v>53457.794549276106</v>
      </c>
      <c r="Q471" s="17">
        <v>0</v>
      </c>
      <c r="R471" s="13"/>
      <c r="S471" s="13" t="s">
        <v>224</v>
      </c>
      <c r="T471" s="13" t="s">
        <v>613</v>
      </c>
      <c r="U471" s="13" t="s">
        <v>444</v>
      </c>
      <c r="V471" s="13" t="s">
        <v>549</v>
      </c>
      <c r="W471" s="14">
        <v>0</v>
      </c>
    </row>
    <row r="472" spans="1:23" x14ac:dyDescent="0.2">
      <c r="A472"/>
      <c r="B472"/>
      <c r="C472"/>
      <c r="D472"/>
      <c r="E472"/>
      <c r="F472"/>
      <c r="G472"/>
      <c r="H472"/>
      <c r="I472"/>
      <c r="J472"/>
      <c r="K472" s="13" t="s">
        <v>29</v>
      </c>
      <c r="L472" s="13" t="s">
        <v>381</v>
      </c>
      <c r="M472" s="13" t="s">
        <v>382</v>
      </c>
      <c r="N472" s="15">
        <v>46</v>
      </c>
      <c r="O472" s="16">
        <v>0</v>
      </c>
      <c r="P472" s="17">
        <v>0</v>
      </c>
      <c r="Q472" s="17">
        <v>0</v>
      </c>
      <c r="R472" s="13"/>
      <c r="S472" s="13" t="s">
        <v>224</v>
      </c>
      <c r="T472" s="13" t="s">
        <v>613</v>
      </c>
      <c r="U472" s="13" t="s">
        <v>444</v>
      </c>
      <c r="V472" s="13" t="s">
        <v>553</v>
      </c>
      <c r="W472" s="14">
        <v>0</v>
      </c>
    </row>
    <row r="473" spans="1:23" x14ac:dyDescent="0.2">
      <c r="A473"/>
      <c r="B473"/>
      <c r="C473"/>
      <c r="D473"/>
      <c r="E473"/>
      <c r="F473"/>
      <c r="G473"/>
      <c r="H473"/>
      <c r="I473"/>
      <c r="J473"/>
      <c r="K473" s="13" t="s">
        <v>29</v>
      </c>
      <c r="L473" s="13" t="s">
        <v>407</v>
      </c>
      <c r="M473" s="13" t="s">
        <v>408</v>
      </c>
      <c r="N473" s="15">
        <v>16</v>
      </c>
      <c r="O473" s="16">
        <v>0</v>
      </c>
      <c r="P473" s="17">
        <v>0</v>
      </c>
      <c r="Q473" s="17">
        <v>0</v>
      </c>
      <c r="R473" s="13"/>
      <c r="S473" s="13" t="s">
        <v>226</v>
      </c>
      <c r="T473" s="13" t="s">
        <v>467</v>
      </c>
      <c r="U473" s="13" t="s">
        <v>422</v>
      </c>
      <c r="V473" s="13" t="s">
        <v>549</v>
      </c>
      <c r="W473" s="14">
        <v>0</v>
      </c>
    </row>
    <row r="474" spans="1:23" x14ac:dyDescent="0.2">
      <c r="A474"/>
      <c r="B474"/>
      <c r="C474"/>
      <c r="D474"/>
      <c r="E474"/>
      <c r="F474"/>
      <c r="G474"/>
      <c r="H474"/>
      <c r="I474"/>
      <c r="J474"/>
      <c r="K474" s="13" t="s">
        <v>29</v>
      </c>
      <c r="L474" s="13" t="s">
        <v>471</v>
      </c>
      <c r="M474" s="13" t="s">
        <v>472</v>
      </c>
      <c r="N474" s="15">
        <v>0</v>
      </c>
      <c r="O474" s="16">
        <v>0</v>
      </c>
      <c r="P474" s="17">
        <v>19653.966534512165</v>
      </c>
      <c r="Q474" s="17">
        <v>0</v>
      </c>
      <c r="R474" s="13"/>
      <c r="S474" s="13" t="s">
        <v>226</v>
      </c>
      <c r="T474" s="13" t="s">
        <v>467</v>
      </c>
      <c r="U474" s="13" t="s">
        <v>422</v>
      </c>
      <c r="V474" s="13" t="s">
        <v>553</v>
      </c>
      <c r="W474" s="14">
        <v>0</v>
      </c>
    </row>
    <row r="475" spans="1:23" x14ac:dyDescent="0.2">
      <c r="A475"/>
      <c r="B475"/>
      <c r="C475"/>
      <c r="D475"/>
      <c r="E475"/>
      <c r="F475"/>
      <c r="G475"/>
      <c r="H475"/>
      <c r="I475"/>
      <c r="J475"/>
      <c r="K475" s="13" t="s">
        <v>29</v>
      </c>
      <c r="L475" s="13" t="s">
        <v>411</v>
      </c>
      <c r="M475" s="13" t="s">
        <v>362</v>
      </c>
      <c r="N475" s="15">
        <v>0</v>
      </c>
      <c r="O475" s="16">
        <v>0</v>
      </c>
      <c r="P475" s="17">
        <v>487.27679998091827</v>
      </c>
      <c r="Q475" s="17">
        <v>0</v>
      </c>
      <c r="R475" s="13"/>
      <c r="S475" s="13" t="s">
        <v>226</v>
      </c>
      <c r="T475" s="13" t="s">
        <v>528</v>
      </c>
      <c r="U475" s="13" t="s">
        <v>384</v>
      </c>
      <c r="V475" s="13" t="s">
        <v>549</v>
      </c>
      <c r="W475" s="14">
        <v>0</v>
      </c>
    </row>
    <row r="476" spans="1:23" x14ac:dyDescent="0.2">
      <c r="A476"/>
      <c r="B476"/>
      <c r="C476"/>
      <c r="D476"/>
      <c r="E476"/>
      <c r="F476"/>
      <c r="G476"/>
      <c r="H476"/>
      <c r="I476"/>
      <c r="J476"/>
      <c r="K476" s="13" t="s">
        <v>29</v>
      </c>
      <c r="L476" s="13" t="s">
        <v>411</v>
      </c>
      <c r="M476" s="13" t="s">
        <v>362</v>
      </c>
      <c r="N476" s="15">
        <v>9</v>
      </c>
      <c r="O476" s="16">
        <v>0</v>
      </c>
      <c r="P476" s="17">
        <v>0</v>
      </c>
      <c r="Q476" s="17">
        <v>0</v>
      </c>
      <c r="R476" s="13"/>
      <c r="S476" s="13" t="s">
        <v>226</v>
      </c>
      <c r="T476" s="13" t="s">
        <v>613</v>
      </c>
      <c r="U476" s="13" t="s">
        <v>444</v>
      </c>
      <c r="V476" s="13" t="s">
        <v>549</v>
      </c>
      <c r="W476" s="14">
        <v>0</v>
      </c>
    </row>
    <row r="477" spans="1:23" x14ac:dyDescent="0.2">
      <c r="A477"/>
      <c r="B477"/>
      <c r="C477"/>
      <c r="D477"/>
      <c r="E477"/>
      <c r="F477"/>
      <c r="G477"/>
      <c r="H477"/>
      <c r="I477"/>
      <c r="J477"/>
      <c r="K477" s="13" t="s">
        <v>29</v>
      </c>
      <c r="L477" s="13" t="s">
        <v>413</v>
      </c>
      <c r="M477" s="13" t="s">
        <v>428</v>
      </c>
      <c r="N477" s="15">
        <v>2</v>
      </c>
      <c r="O477" s="16">
        <v>0</v>
      </c>
      <c r="P477" s="17">
        <v>0</v>
      </c>
      <c r="Q477" s="17">
        <v>0</v>
      </c>
      <c r="R477" s="13"/>
      <c r="S477" s="13" t="s">
        <v>226</v>
      </c>
      <c r="T477" s="13" t="s">
        <v>613</v>
      </c>
      <c r="U477" s="13" t="s">
        <v>444</v>
      </c>
      <c r="V477" s="13" t="s">
        <v>553</v>
      </c>
      <c r="W477" s="14">
        <v>0</v>
      </c>
    </row>
    <row r="478" spans="1:23" x14ac:dyDescent="0.2">
      <c r="A478"/>
      <c r="B478"/>
      <c r="C478"/>
      <c r="D478"/>
      <c r="E478"/>
      <c r="F478"/>
      <c r="G478"/>
      <c r="H478"/>
      <c r="I478"/>
      <c r="J478"/>
      <c r="K478" s="13" t="s">
        <v>29</v>
      </c>
      <c r="L478" s="13" t="s">
        <v>475</v>
      </c>
      <c r="M478" s="13" t="s">
        <v>470</v>
      </c>
      <c r="N478" s="15">
        <v>1</v>
      </c>
      <c r="O478" s="16">
        <v>0</v>
      </c>
      <c r="P478" s="17">
        <v>0</v>
      </c>
      <c r="Q478" s="17">
        <v>0</v>
      </c>
      <c r="R478" s="13"/>
      <c r="S478" s="13" t="s">
        <v>228</v>
      </c>
      <c r="T478" s="13" t="s">
        <v>404</v>
      </c>
      <c r="U478" s="13" t="s">
        <v>405</v>
      </c>
      <c r="V478" s="13" t="s">
        <v>549</v>
      </c>
      <c r="W478" s="14">
        <v>1.2</v>
      </c>
    </row>
    <row r="479" spans="1:23" x14ac:dyDescent="0.2">
      <c r="A479"/>
      <c r="B479"/>
      <c r="C479"/>
      <c r="D479"/>
      <c r="E479"/>
      <c r="F479"/>
      <c r="G479"/>
      <c r="H479"/>
      <c r="I479"/>
      <c r="J479"/>
      <c r="K479" s="13" t="s">
        <v>29</v>
      </c>
      <c r="L479" s="13" t="s">
        <v>603</v>
      </c>
      <c r="M479" s="13" t="s">
        <v>385</v>
      </c>
      <c r="N479" s="15">
        <v>2</v>
      </c>
      <c r="O479" s="16">
        <v>0</v>
      </c>
      <c r="P479" s="17">
        <v>0</v>
      </c>
      <c r="Q479" s="17">
        <v>0</v>
      </c>
      <c r="R479" s="13"/>
      <c r="S479" s="13" t="s">
        <v>228</v>
      </c>
      <c r="T479" s="13" t="s">
        <v>528</v>
      </c>
      <c r="U479" s="13" t="s">
        <v>384</v>
      </c>
      <c r="V479" s="13" t="s">
        <v>549</v>
      </c>
      <c r="W479" s="14">
        <v>0</v>
      </c>
    </row>
    <row r="480" spans="1:23" x14ac:dyDescent="0.2">
      <c r="A480"/>
      <c r="B480"/>
      <c r="C480"/>
      <c r="D480"/>
      <c r="E480"/>
      <c r="F480"/>
      <c r="G480"/>
      <c r="H480"/>
      <c r="I480"/>
      <c r="J480"/>
      <c r="K480" s="13" t="s">
        <v>29</v>
      </c>
      <c r="L480" s="13" t="s">
        <v>607</v>
      </c>
      <c r="M480" s="13" t="s">
        <v>431</v>
      </c>
      <c r="N480" s="15">
        <v>4</v>
      </c>
      <c r="O480" s="16">
        <v>0</v>
      </c>
      <c r="P480" s="17">
        <v>0</v>
      </c>
      <c r="Q480" s="17">
        <v>0</v>
      </c>
      <c r="R480" s="13"/>
      <c r="S480" s="13" t="s">
        <v>228</v>
      </c>
      <c r="T480" s="13" t="s">
        <v>613</v>
      </c>
      <c r="U480" s="13" t="s">
        <v>444</v>
      </c>
      <c r="V480" s="13" t="s">
        <v>549</v>
      </c>
      <c r="W480" s="14">
        <v>0</v>
      </c>
    </row>
    <row r="481" spans="1:23" x14ac:dyDescent="0.2">
      <c r="A481"/>
      <c r="B481"/>
      <c r="C481"/>
      <c r="D481"/>
      <c r="E481"/>
      <c r="F481"/>
      <c r="G481"/>
      <c r="H481"/>
      <c r="I481"/>
      <c r="J481"/>
      <c r="K481" s="13" t="s">
        <v>29</v>
      </c>
      <c r="L481" s="13" t="s">
        <v>608</v>
      </c>
      <c r="M481" s="13" t="s">
        <v>432</v>
      </c>
      <c r="N481" s="15">
        <v>63</v>
      </c>
      <c r="O481" s="16">
        <v>0</v>
      </c>
      <c r="P481" s="17">
        <v>0</v>
      </c>
      <c r="Q481" s="17">
        <v>0</v>
      </c>
      <c r="R481" s="13"/>
      <c r="S481" s="13" t="s">
        <v>228</v>
      </c>
      <c r="T481" s="13" t="s">
        <v>613</v>
      </c>
      <c r="U481" s="13" t="s">
        <v>444</v>
      </c>
      <c r="V481" s="13" t="s">
        <v>553</v>
      </c>
      <c r="W481" s="14">
        <v>0</v>
      </c>
    </row>
    <row r="482" spans="1:23" x14ac:dyDescent="0.2">
      <c r="A482"/>
      <c r="B482"/>
      <c r="C482"/>
      <c r="D482"/>
      <c r="E482"/>
      <c r="F482"/>
      <c r="G482"/>
      <c r="H482"/>
      <c r="I482"/>
      <c r="J482"/>
      <c r="K482" s="13" t="s">
        <v>29</v>
      </c>
      <c r="L482" s="13" t="s">
        <v>615</v>
      </c>
      <c r="M482" s="13" t="s">
        <v>449</v>
      </c>
      <c r="N482" s="15">
        <v>1</v>
      </c>
      <c r="O482" s="16">
        <v>0</v>
      </c>
      <c r="P482" s="17">
        <v>0</v>
      </c>
      <c r="Q482" s="17">
        <v>0</v>
      </c>
      <c r="R482" s="13"/>
      <c r="S482" s="13" t="s">
        <v>228</v>
      </c>
      <c r="T482" s="13" t="s">
        <v>613</v>
      </c>
      <c r="U482" s="13" t="s">
        <v>444</v>
      </c>
      <c r="V482" s="13" t="s">
        <v>550</v>
      </c>
      <c r="W482" s="14">
        <v>0</v>
      </c>
    </row>
    <row r="483" spans="1:23" x14ac:dyDescent="0.2">
      <c r="A483"/>
      <c r="B483"/>
      <c r="C483"/>
      <c r="D483"/>
      <c r="E483"/>
      <c r="F483"/>
      <c r="G483"/>
      <c r="H483"/>
      <c r="I483"/>
      <c r="J483"/>
      <c r="K483" s="13" t="s">
        <v>29</v>
      </c>
      <c r="L483" s="13" t="s">
        <v>417</v>
      </c>
      <c r="M483" s="13" t="s">
        <v>414</v>
      </c>
      <c r="N483" s="15">
        <v>0</v>
      </c>
      <c r="O483" s="16">
        <v>0</v>
      </c>
      <c r="P483" s="17">
        <v>48.593399993387528</v>
      </c>
      <c r="Q483" s="17">
        <v>0</v>
      </c>
      <c r="R483" s="13"/>
      <c r="S483" s="13" t="s">
        <v>230</v>
      </c>
      <c r="T483" s="13" t="s">
        <v>395</v>
      </c>
      <c r="U483" s="13" t="s">
        <v>602</v>
      </c>
      <c r="V483" s="13" t="s">
        <v>549</v>
      </c>
      <c r="W483" s="14">
        <v>0</v>
      </c>
    </row>
    <row r="484" spans="1:23" x14ac:dyDescent="0.2">
      <c r="A484"/>
      <c r="B484"/>
      <c r="C484"/>
      <c r="D484"/>
      <c r="E484"/>
      <c r="F484"/>
      <c r="G484"/>
      <c r="H484"/>
      <c r="I484"/>
      <c r="J484"/>
      <c r="K484" s="13" t="s">
        <v>29</v>
      </c>
      <c r="L484" s="13" t="s">
        <v>419</v>
      </c>
      <c r="M484" s="13" t="s">
        <v>442</v>
      </c>
      <c r="N484" s="15">
        <v>0</v>
      </c>
      <c r="O484" s="16">
        <v>19.404179876234544</v>
      </c>
      <c r="P484" s="17">
        <v>0</v>
      </c>
      <c r="Q484" s="17">
        <v>0</v>
      </c>
      <c r="R484" s="13"/>
      <c r="S484" s="13" t="s">
        <v>230</v>
      </c>
      <c r="T484" s="13" t="s">
        <v>404</v>
      </c>
      <c r="U484" s="13" t="s">
        <v>405</v>
      </c>
      <c r="V484" s="13" t="s">
        <v>553</v>
      </c>
      <c r="W484" s="14">
        <v>1.2</v>
      </c>
    </row>
    <row r="485" spans="1:23" x14ac:dyDescent="0.2">
      <c r="A485"/>
      <c r="B485"/>
      <c r="C485"/>
      <c r="D485"/>
      <c r="E485"/>
      <c r="F485"/>
      <c r="G485"/>
      <c r="H485"/>
      <c r="I485"/>
      <c r="J485"/>
      <c r="K485" s="13" t="s">
        <v>29</v>
      </c>
      <c r="L485" s="13" t="s">
        <v>609</v>
      </c>
      <c r="M485" s="13" t="s">
        <v>416</v>
      </c>
      <c r="N485" s="15">
        <v>0</v>
      </c>
      <c r="O485" s="16">
        <v>40.615853722061544</v>
      </c>
      <c r="P485" s="17">
        <v>0</v>
      </c>
      <c r="Q485" s="17">
        <v>0</v>
      </c>
      <c r="R485" s="13"/>
      <c r="S485" s="13" t="s">
        <v>230</v>
      </c>
      <c r="T485" s="13" t="s">
        <v>406</v>
      </c>
      <c r="U485" s="13" t="s">
        <v>361</v>
      </c>
      <c r="V485" s="13" t="s">
        <v>549</v>
      </c>
      <c r="W485" s="14">
        <v>1</v>
      </c>
    </row>
    <row r="486" spans="1:23" x14ac:dyDescent="0.2">
      <c r="A486"/>
      <c r="B486"/>
      <c r="C486"/>
      <c r="D486"/>
      <c r="E486"/>
      <c r="F486"/>
      <c r="G486"/>
      <c r="H486"/>
      <c r="I486"/>
      <c r="J486"/>
      <c r="K486" s="13" t="s">
        <v>29</v>
      </c>
      <c r="L486" s="13" t="s">
        <v>421</v>
      </c>
      <c r="M486" s="13" t="s">
        <v>443</v>
      </c>
      <c r="N486" s="15">
        <v>87</v>
      </c>
      <c r="O486" s="16">
        <v>0</v>
      </c>
      <c r="P486" s="17">
        <v>0</v>
      </c>
      <c r="Q486" s="17">
        <v>0</v>
      </c>
      <c r="R486" s="13"/>
      <c r="S486" s="13" t="s">
        <v>230</v>
      </c>
      <c r="T486" s="13" t="s">
        <v>406</v>
      </c>
      <c r="U486" s="13" t="s">
        <v>361</v>
      </c>
      <c r="V486" s="13" t="s">
        <v>553</v>
      </c>
      <c r="W486" s="14">
        <v>1.2</v>
      </c>
    </row>
    <row r="487" spans="1:23" x14ac:dyDescent="0.2">
      <c r="A487"/>
      <c r="B487"/>
      <c r="C487"/>
      <c r="D487"/>
      <c r="E487"/>
      <c r="F487"/>
      <c r="G487"/>
      <c r="H487"/>
      <c r="I487"/>
      <c r="J487"/>
      <c r="K487" s="13" t="s">
        <v>29</v>
      </c>
      <c r="L487" s="13" t="s">
        <v>383</v>
      </c>
      <c r="M487" s="13" t="s">
        <v>420</v>
      </c>
      <c r="N487" s="15">
        <v>9</v>
      </c>
      <c r="O487" s="16">
        <v>0</v>
      </c>
      <c r="P487" s="17">
        <v>0</v>
      </c>
      <c r="Q487" s="17">
        <v>0</v>
      </c>
      <c r="R487" s="13"/>
      <c r="S487" s="13" t="s">
        <v>230</v>
      </c>
      <c r="T487" s="13" t="s">
        <v>609</v>
      </c>
      <c r="U487" s="13" t="s">
        <v>416</v>
      </c>
      <c r="V487" s="13" t="s">
        <v>549</v>
      </c>
      <c r="W487" s="14">
        <v>0</v>
      </c>
    </row>
    <row r="488" spans="1:23" x14ac:dyDescent="0.2">
      <c r="A488"/>
      <c r="B488"/>
      <c r="C488"/>
      <c r="D488"/>
      <c r="E488"/>
      <c r="F488"/>
      <c r="G488"/>
      <c r="H488"/>
      <c r="I488"/>
      <c r="J488"/>
      <c r="K488" s="13" t="s">
        <v>29</v>
      </c>
      <c r="L488" s="13" t="s">
        <v>613</v>
      </c>
      <c r="M488" s="13" t="s">
        <v>444</v>
      </c>
      <c r="N488" s="15">
        <v>0</v>
      </c>
      <c r="O488" s="16">
        <v>59.111748797047319</v>
      </c>
      <c r="P488" s="17">
        <v>0</v>
      </c>
      <c r="Q488" s="17">
        <v>0</v>
      </c>
      <c r="R488" s="13"/>
      <c r="S488" s="13" t="s">
        <v>230</v>
      </c>
      <c r="T488" s="13" t="s">
        <v>613</v>
      </c>
      <c r="U488" s="13" t="s">
        <v>444</v>
      </c>
      <c r="V488" s="13" t="s">
        <v>549</v>
      </c>
      <c r="W488" s="14">
        <v>0</v>
      </c>
    </row>
    <row r="489" spans="1:23" x14ac:dyDescent="0.2">
      <c r="A489"/>
      <c r="B489"/>
      <c r="C489"/>
      <c r="D489"/>
      <c r="E489"/>
      <c r="F489"/>
      <c r="G489"/>
      <c r="H489"/>
      <c r="I489"/>
      <c r="J489"/>
      <c r="K489" s="13" t="s">
        <v>29</v>
      </c>
      <c r="L489" s="13" t="s">
        <v>614</v>
      </c>
      <c r="M489" s="13" t="s">
        <v>447</v>
      </c>
      <c r="N489" s="15">
        <v>8</v>
      </c>
      <c r="O489" s="16">
        <v>0</v>
      </c>
      <c r="P489" s="17">
        <v>0</v>
      </c>
      <c r="Q489" s="17">
        <v>0</v>
      </c>
      <c r="R489" s="13"/>
      <c r="S489" s="13" t="s">
        <v>231</v>
      </c>
      <c r="T489" s="13" t="s">
        <v>404</v>
      </c>
      <c r="U489" s="13" t="s">
        <v>405</v>
      </c>
      <c r="V489" s="13" t="s">
        <v>549</v>
      </c>
      <c r="W489" s="14">
        <v>1.5</v>
      </c>
    </row>
    <row r="490" spans="1:23" x14ac:dyDescent="0.2">
      <c r="A490"/>
      <c r="B490"/>
      <c r="C490"/>
      <c r="D490"/>
      <c r="E490"/>
      <c r="F490"/>
      <c r="G490"/>
      <c r="H490"/>
      <c r="I490"/>
      <c r="J490"/>
      <c r="K490" s="13" t="s">
        <v>30</v>
      </c>
      <c r="L490" s="13" t="s">
        <v>387</v>
      </c>
      <c r="M490" s="13" t="s">
        <v>386</v>
      </c>
      <c r="N490" s="15">
        <v>0</v>
      </c>
      <c r="O490" s="16">
        <v>0</v>
      </c>
      <c r="P490" s="17">
        <v>20.789849996556736</v>
      </c>
      <c r="Q490" s="17">
        <v>0</v>
      </c>
      <c r="R490" s="13"/>
      <c r="S490" s="13" t="s">
        <v>231</v>
      </c>
      <c r="T490" s="13" t="s">
        <v>404</v>
      </c>
      <c r="U490" s="13" t="s">
        <v>405</v>
      </c>
      <c r="V490" s="13" t="s">
        <v>553</v>
      </c>
      <c r="W490" s="14">
        <v>1.2</v>
      </c>
    </row>
    <row r="491" spans="1:23" x14ac:dyDescent="0.2">
      <c r="A491"/>
      <c r="B491"/>
      <c r="C491"/>
      <c r="D491"/>
      <c r="E491"/>
      <c r="F491"/>
      <c r="G491"/>
      <c r="H491"/>
      <c r="I491"/>
      <c r="J491"/>
      <c r="K491" s="13" t="s">
        <v>30</v>
      </c>
      <c r="L491" s="13" t="s">
        <v>391</v>
      </c>
      <c r="M491" s="13" t="s">
        <v>358</v>
      </c>
      <c r="N491" s="15">
        <v>0</v>
      </c>
      <c r="O491" s="16">
        <v>0</v>
      </c>
      <c r="P491" s="17">
        <v>106.0167499997972</v>
      </c>
      <c r="Q491" s="17">
        <v>0</v>
      </c>
      <c r="R491" s="13"/>
      <c r="S491" s="13" t="s">
        <v>231</v>
      </c>
      <c r="T491" s="13" t="s">
        <v>404</v>
      </c>
      <c r="U491" s="13" t="s">
        <v>405</v>
      </c>
      <c r="V491" s="13" t="s">
        <v>550</v>
      </c>
      <c r="W491" s="14">
        <v>1.2</v>
      </c>
    </row>
    <row r="492" spans="1:23" x14ac:dyDescent="0.2">
      <c r="A492"/>
      <c r="B492"/>
      <c r="C492"/>
      <c r="D492"/>
      <c r="E492"/>
      <c r="F492"/>
      <c r="G492"/>
      <c r="H492"/>
      <c r="I492"/>
      <c r="J492"/>
      <c r="K492" s="13" t="s">
        <v>30</v>
      </c>
      <c r="L492" s="13" t="s">
        <v>486</v>
      </c>
      <c r="M492" s="13" t="s">
        <v>439</v>
      </c>
      <c r="N492" s="15">
        <v>0</v>
      </c>
      <c r="O492" s="16">
        <v>0</v>
      </c>
      <c r="P492" s="17">
        <v>789.38224999189981</v>
      </c>
      <c r="Q492" s="17">
        <v>0</v>
      </c>
      <c r="R492" s="13"/>
      <c r="S492" s="13" t="s">
        <v>232</v>
      </c>
      <c r="T492" s="13" t="s">
        <v>406</v>
      </c>
      <c r="U492" s="13" t="s">
        <v>361</v>
      </c>
      <c r="V492" s="13" t="s">
        <v>549</v>
      </c>
      <c r="W492" s="14">
        <v>1</v>
      </c>
    </row>
    <row r="493" spans="1:23" x14ac:dyDescent="0.2">
      <c r="A493"/>
      <c r="B493"/>
      <c r="C493"/>
      <c r="D493"/>
      <c r="E493"/>
      <c r="F493"/>
      <c r="G493"/>
      <c r="H493"/>
      <c r="I493"/>
      <c r="J493"/>
      <c r="K493" s="13" t="s">
        <v>30</v>
      </c>
      <c r="L493" s="13" t="s">
        <v>401</v>
      </c>
      <c r="M493" s="13" t="s">
        <v>360</v>
      </c>
      <c r="N493" s="15">
        <v>0</v>
      </c>
      <c r="O493" s="16">
        <v>0</v>
      </c>
      <c r="P493" s="17">
        <v>490.80469996981759</v>
      </c>
      <c r="Q493" s="17">
        <v>0</v>
      </c>
      <c r="R493" s="13"/>
      <c r="S493" s="13" t="s">
        <v>232</v>
      </c>
      <c r="T493" s="13" t="s">
        <v>613</v>
      </c>
      <c r="U493" s="13" t="s">
        <v>444</v>
      </c>
      <c r="V493" s="13" t="s">
        <v>549</v>
      </c>
      <c r="W493" s="14">
        <v>0</v>
      </c>
    </row>
    <row r="494" spans="1:23" x14ac:dyDescent="0.2">
      <c r="A494"/>
      <c r="B494"/>
      <c r="C494"/>
      <c r="D494"/>
      <c r="E494"/>
      <c r="F494"/>
      <c r="G494"/>
      <c r="H494"/>
      <c r="I494"/>
      <c r="J494"/>
      <c r="K494" s="13" t="s">
        <v>30</v>
      </c>
      <c r="L494" s="13" t="s">
        <v>402</v>
      </c>
      <c r="M494" s="13" t="s">
        <v>403</v>
      </c>
      <c r="N494" s="15">
        <v>0</v>
      </c>
      <c r="O494" s="16">
        <v>0</v>
      </c>
      <c r="P494" s="17">
        <v>17.168750005199694</v>
      </c>
      <c r="Q494" s="17">
        <v>0</v>
      </c>
      <c r="R494" s="13"/>
      <c r="S494" s="13" t="s">
        <v>232</v>
      </c>
      <c r="T494" s="13" t="s">
        <v>611</v>
      </c>
      <c r="U494" s="13" t="s">
        <v>423</v>
      </c>
      <c r="V494" s="13" t="s">
        <v>549</v>
      </c>
      <c r="W494" s="14">
        <v>0</v>
      </c>
    </row>
    <row r="495" spans="1:23" x14ac:dyDescent="0.2">
      <c r="A495"/>
      <c r="B495"/>
      <c r="C495"/>
      <c r="D495"/>
      <c r="E495"/>
      <c r="F495"/>
      <c r="G495"/>
      <c r="H495"/>
      <c r="I495"/>
      <c r="J495"/>
      <c r="K495" s="13" t="s">
        <v>30</v>
      </c>
      <c r="L495" s="13" t="s">
        <v>448</v>
      </c>
      <c r="M495" s="13" t="s">
        <v>366</v>
      </c>
      <c r="N495" s="15">
        <v>0</v>
      </c>
      <c r="O495" s="16">
        <v>0</v>
      </c>
      <c r="P495" s="17">
        <v>18.196000001839476</v>
      </c>
      <c r="Q495" s="17">
        <v>0</v>
      </c>
      <c r="R495" s="13"/>
      <c r="S495" s="13" t="s">
        <v>587</v>
      </c>
      <c r="T495" s="13" t="s">
        <v>406</v>
      </c>
      <c r="U495" s="13" t="s">
        <v>361</v>
      </c>
      <c r="V495" s="13" t="s">
        <v>549</v>
      </c>
      <c r="W495" s="14">
        <v>0.8</v>
      </c>
    </row>
    <row r="496" spans="1:23" x14ac:dyDescent="0.2">
      <c r="A496"/>
      <c r="B496"/>
      <c r="C496"/>
      <c r="D496"/>
      <c r="E496"/>
      <c r="F496"/>
      <c r="G496"/>
      <c r="H496"/>
      <c r="I496"/>
      <c r="J496"/>
      <c r="K496" s="13" t="s">
        <v>30</v>
      </c>
      <c r="L496" s="13" t="s">
        <v>462</v>
      </c>
      <c r="M496" s="13" t="s">
        <v>370</v>
      </c>
      <c r="N496" s="15">
        <v>0</v>
      </c>
      <c r="O496" s="16">
        <v>0</v>
      </c>
      <c r="P496" s="17">
        <v>598.55744998030593</v>
      </c>
      <c r="Q496" s="17">
        <v>0</v>
      </c>
      <c r="R496" s="13"/>
      <c r="S496" s="13" t="s">
        <v>587</v>
      </c>
      <c r="T496" s="13" t="s">
        <v>611</v>
      </c>
      <c r="U496" s="13" t="s">
        <v>423</v>
      </c>
      <c r="V496" s="13" t="s">
        <v>549</v>
      </c>
      <c r="W496" s="14">
        <v>0</v>
      </c>
    </row>
    <row r="497" spans="1:23" x14ac:dyDescent="0.2">
      <c r="A497"/>
      <c r="B497"/>
      <c r="C497"/>
      <c r="D497"/>
      <c r="E497"/>
      <c r="F497"/>
      <c r="G497"/>
      <c r="H497"/>
      <c r="I497"/>
      <c r="J497"/>
      <c r="K497" s="13" t="s">
        <v>30</v>
      </c>
      <c r="L497" s="13" t="s">
        <v>456</v>
      </c>
      <c r="M497" s="13" t="s">
        <v>457</v>
      </c>
      <c r="N497" s="15">
        <v>0</v>
      </c>
      <c r="O497" s="16">
        <v>0</v>
      </c>
      <c r="P497" s="17">
        <v>3878.3733498836013</v>
      </c>
      <c r="Q497" s="17">
        <v>0</v>
      </c>
      <c r="R497" s="13"/>
      <c r="S497" s="13" t="s">
        <v>587</v>
      </c>
      <c r="T497" s="13" t="s">
        <v>611</v>
      </c>
      <c r="U497" s="13" t="s">
        <v>423</v>
      </c>
      <c r="V497" s="13" t="s">
        <v>553</v>
      </c>
      <c r="W497" s="14">
        <v>0</v>
      </c>
    </row>
    <row r="498" spans="1:23" x14ac:dyDescent="0.2">
      <c r="A498"/>
      <c r="B498"/>
      <c r="C498"/>
      <c r="D498"/>
      <c r="E498"/>
      <c r="F498"/>
      <c r="G498"/>
      <c r="H498"/>
      <c r="I498"/>
      <c r="J498"/>
      <c r="K498" s="13" t="s">
        <v>30</v>
      </c>
      <c r="L498" s="13" t="s">
        <v>463</v>
      </c>
      <c r="M498" s="13" t="s">
        <v>372</v>
      </c>
      <c r="N498" s="15">
        <v>0</v>
      </c>
      <c r="O498" s="16">
        <v>0</v>
      </c>
      <c r="P498" s="17">
        <v>16138.306999685879</v>
      </c>
      <c r="Q498" s="17">
        <v>0</v>
      </c>
      <c r="R498" s="13"/>
      <c r="S498" s="13" t="s">
        <v>588</v>
      </c>
      <c r="T498" s="13" t="s">
        <v>528</v>
      </c>
      <c r="U498" s="13" t="s">
        <v>384</v>
      </c>
      <c r="V498" s="13" t="s">
        <v>549</v>
      </c>
      <c r="W498" s="14">
        <v>0</v>
      </c>
    </row>
    <row r="499" spans="1:23" x14ac:dyDescent="0.2">
      <c r="A499"/>
      <c r="B499"/>
      <c r="C499"/>
      <c r="D499"/>
      <c r="E499"/>
      <c r="F499"/>
      <c r="G499"/>
      <c r="H499"/>
      <c r="I499"/>
      <c r="J499"/>
      <c r="K499" s="13" t="s">
        <v>30</v>
      </c>
      <c r="L499" s="13" t="s">
        <v>471</v>
      </c>
      <c r="M499" s="13" t="s">
        <v>472</v>
      </c>
      <c r="N499" s="15">
        <v>0</v>
      </c>
      <c r="O499" s="16">
        <v>0</v>
      </c>
      <c r="P499" s="17">
        <v>10219.017899856861</v>
      </c>
      <c r="Q499" s="17">
        <v>0</v>
      </c>
      <c r="R499" s="13"/>
      <c r="S499" s="13" t="s">
        <v>588</v>
      </c>
      <c r="T499" s="13" t="s">
        <v>611</v>
      </c>
      <c r="U499" s="13" t="s">
        <v>423</v>
      </c>
      <c r="V499" s="13" t="s">
        <v>549</v>
      </c>
      <c r="W499" s="14">
        <v>0</v>
      </c>
    </row>
    <row r="500" spans="1:23" x14ac:dyDescent="0.2">
      <c r="A500"/>
      <c r="B500"/>
      <c r="C500"/>
      <c r="D500"/>
      <c r="E500"/>
      <c r="F500"/>
      <c r="G500"/>
      <c r="H500"/>
      <c r="I500"/>
      <c r="J500"/>
      <c r="K500" s="13" t="s">
        <v>30</v>
      </c>
      <c r="L500" s="13" t="s">
        <v>411</v>
      </c>
      <c r="M500" s="13" t="s">
        <v>362</v>
      </c>
      <c r="N500" s="15">
        <v>1</v>
      </c>
      <c r="O500" s="16">
        <v>0</v>
      </c>
      <c r="P500" s="17">
        <v>0</v>
      </c>
      <c r="Q500" s="17">
        <v>0</v>
      </c>
      <c r="R500" s="13"/>
      <c r="S500" s="13" t="s">
        <v>234</v>
      </c>
      <c r="T500" s="13" t="s">
        <v>395</v>
      </c>
      <c r="U500" s="13" t="s">
        <v>602</v>
      </c>
      <c r="V500" s="13" t="s">
        <v>549</v>
      </c>
      <c r="W500" s="14">
        <v>0</v>
      </c>
    </row>
    <row r="501" spans="1:23" x14ac:dyDescent="0.2">
      <c r="A501"/>
      <c r="B501"/>
      <c r="C501"/>
      <c r="D501"/>
      <c r="E501"/>
      <c r="F501"/>
      <c r="G501"/>
      <c r="H501"/>
      <c r="I501"/>
      <c r="J501"/>
      <c r="K501" s="13" t="s">
        <v>30</v>
      </c>
      <c r="L501" s="13" t="s">
        <v>413</v>
      </c>
      <c r="M501" s="13" t="s">
        <v>428</v>
      </c>
      <c r="N501" s="15">
        <v>2</v>
      </c>
      <c r="O501" s="16">
        <v>0</v>
      </c>
      <c r="P501" s="17">
        <v>0</v>
      </c>
      <c r="Q501" s="17">
        <v>0</v>
      </c>
      <c r="R501" s="13"/>
      <c r="S501" s="13" t="s">
        <v>234</v>
      </c>
      <c r="T501" s="13" t="s">
        <v>404</v>
      </c>
      <c r="U501" s="13" t="s">
        <v>405</v>
      </c>
      <c r="V501" s="13" t="s">
        <v>549</v>
      </c>
      <c r="W501" s="14">
        <v>1</v>
      </c>
    </row>
    <row r="502" spans="1:23" x14ac:dyDescent="0.2">
      <c r="A502"/>
      <c r="B502"/>
      <c r="C502"/>
      <c r="D502"/>
      <c r="E502"/>
      <c r="F502"/>
      <c r="G502"/>
      <c r="H502"/>
      <c r="I502"/>
      <c r="J502"/>
      <c r="K502" s="13" t="s">
        <v>30</v>
      </c>
      <c r="L502" s="13" t="s">
        <v>608</v>
      </c>
      <c r="M502" s="13" t="s">
        <v>432</v>
      </c>
      <c r="N502" s="15">
        <v>2</v>
      </c>
      <c r="O502" s="16">
        <v>0</v>
      </c>
      <c r="P502" s="17">
        <v>0</v>
      </c>
      <c r="Q502" s="17">
        <v>0</v>
      </c>
      <c r="R502" s="13"/>
      <c r="S502" s="13" t="s">
        <v>234</v>
      </c>
      <c r="T502" s="13" t="s">
        <v>404</v>
      </c>
      <c r="U502" s="13" t="s">
        <v>405</v>
      </c>
      <c r="V502" s="13" t="s">
        <v>553</v>
      </c>
      <c r="W502" s="14">
        <v>1.5</v>
      </c>
    </row>
    <row r="503" spans="1:23" x14ac:dyDescent="0.2">
      <c r="A503"/>
      <c r="B503"/>
      <c r="C503"/>
      <c r="D503"/>
      <c r="E503"/>
      <c r="F503"/>
      <c r="G503"/>
      <c r="H503"/>
      <c r="I503"/>
      <c r="J503"/>
      <c r="K503" s="13" t="s">
        <v>30</v>
      </c>
      <c r="L503" s="13" t="s">
        <v>614</v>
      </c>
      <c r="M503" s="13" t="s">
        <v>447</v>
      </c>
      <c r="N503" s="15">
        <v>2</v>
      </c>
      <c r="O503" s="16">
        <v>0</v>
      </c>
      <c r="P503" s="17">
        <v>0</v>
      </c>
      <c r="Q503" s="17">
        <v>0</v>
      </c>
      <c r="R503" s="13"/>
      <c r="S503" s="13" t="s">
        <v>234</v>
      </c>
      <c r="T503" s="13" t="s">
        <v>404</v>
      </c>
      <c r="U503" s="13" t="s">
        <v>405</v>
      </c>
      <c r="V503" s="13" t="s">
        <v>551</v>
      </c>
      <c r="W503" s="14">
        <v>1.2</v>
      </c>
    </row>
    <row r="504" spans="1:23" x14ac:dyDescent="0.2">
      <c r="A504"/>
      <c r="B504"/>
      <c r="C504"/>
      <c r="D504"/>
      <c r="E504"/>
      <c r="F504"/>
      <c r="G504"/>
      <c r="H504"/>
      <c r="I504"/>
      <c r="J504"/>
      <c r="K504" s="13" t="s">
        <v>31</v>
      </c>
      <c r="L504" s="13" t="s">
        <v>391</v>
      </c>
      <c r="M504" s="13" t="s">
        <v>358</v>
      </c>
      <c r="N504" s="15">
        <v>0</v>
      </c>
      <c r="O504" s="16">
        <v>0</v>
      </c>
      <c r="P504" s="17">
        <v>2701.2268499511811</v>
      </c>
      <c r="Q504" s="17">
        <v>0</v>
      </c>
      <c r="R504" s="13"/>
      <c r="S504" s="13" t="s">
        <v>234</v>
      </c>
      <c r="T504" s="13" t="s">
        <v>404</v>
      </c>
      <c r="U504" s="13" t="s">
        <v>405</v>
      </c>
      <c r="V504" s="13" t="s">
        <v>552</v>
      </c>
      <c r="W504" s="14">
        <v>1.8</v>
      </c>
    </row>
    <row r="505" spans="1:23" x14ac:dyDescent="0.2">
      <c r="A505"/>
      <c r="B505"/>
      <c r="C505"/>
      <c r="D505"/>
      <c r="E505"/>
      <c r="F505"/>
      <c r="G505"/>
      <c r="H505"/>
      <c r="I505"/>
      <c r="J505"/>
      <c r="K505" s="13" t="s">
        <v>31</v>
      </c>
      <c r="L505" s="13" t="s">
        <v>401</v>
      </c>
      <c r="M505" s="13" t="s">
        <v>360</v>
      </c>
      <c r="N505" s="15">
        <v>0</v>
      </c>
      <c r="O505" s="16">
        <v>0</v>
      </c>
      <c r="P505" s="17">
        <v>111.57619999033568</v>
      </c>
      <c r="Q505" s="17">
        <v>0</v>
      </c>
      <c r="R505" s="13"/>
      <c r="S505" s="13" t="s">
        <v>234</v>
      </c>
      <c r="T505" s="13" t="s">
        <v>622</v>
      </c>
      <c r="U505" s="13" t="s">
        <v>524</v>
      </c>
      <c r="V505" s="13" t="s">
        <v>549</v>
      </c>
      <c r="W505" s="14">
        <v>0</v>
      </c>
    </row>
    <row r="506" spans="1:23" x14ac:dyDescent="0.2">
      <c r="A506"/>
      <c r="B506"/>
      <c r="C506"/>
      <c r="D506"/>
      <c r="E506"/>
      <c r="F506"/>
      <c r="G506"/>
      <c r="H506"/>
      <c r="I506"/>
      <c r="J506"/>
      <c r="K506" s="13" t="s">
        <v>31</v>
      </c>
      <c r="L506" s="13" t="s">
        <v>402</v>
      </c>
      <c r="M506" s="13" t="s">
        <v>403</v>
      </c>
      <c r="N506" s="15">
        <v>0</v>
      </c>
      <c r="O506" s="16">
        <v>0</v>
      </c>
      <c r="P506" s="17">
        <v>1457.229665878755</v>
      </c>
      <c r="Q506" s="17">
        <v>0</v>
      </c>
      <c r="R506" s="13"/>
      <c r="S506" s="13" t="s">
        <v>234</v>
      </c>
      <c r="T506" s="13" t="s">
        <v>528</v>
      </c>
      <c r="U506" s="13" t="s">
        <v>384</v>
      </c>
      <c r="V506" s="13" t="s">
        <v>549</v>
      </c>
      <c r="W506" s="14">
        <v>0</v>
      </c>
    </row>
    <row r="507" spans="1:23" x14ac:dyDescent="0.2">
      <c r="A507"/>
      <c r="B507"/>
      <c r="C507"/>
      <c r="D507"/>
      <c r="E507"/>
      <c r="F507"/>
      <c r="G507"/>
      <c r="H507"/>
      <c r="I507"/>
      <c r="J507"/>
      <c r="K507" s="13" t="s">
        <v>31</v>
      </c>
      <c r="L507" s="13" t="s">
        <v>456</v>
      </c>
      <c r="M507" s="13" t="s">
        <v>457</v>
      </c>
      <c r="N507" s="15">
        <v>0</v>
      </c>
      <c r="O507" s="16">
        <v>0</v>
      </c>
      <c r="P507" s="17">
        <v>19949.82123382733</v>
      </c>
      <c r="Q507" s="17">
        <v>0</v>
      </c>
      <c r="R507" s="13"/>
      <c r="S507" s="13" t="s">
        <v>234</v>
      </c>
      <c r="T507" s="13" t="s">
        <v>613</v>
      </c>
      <c r="U507" s="13" t="s">
        <v>444</v>
      </c>
      <c r="V507" s="13" t="s">
        <v>553</v>
      </c>
      <c r="W507" s="14">
        <v>0</v>
      </c>
    </row>
    <row r="508" spans="1:23" x14ac:dyDescent="0.2">
      <c r="A508"/>
      <c r="B508"/>
      <c r="C508"/>
      <c r="D508"/>
      <c r="E508"/>
      <c r="F508"/>
      <c r="G508"/>
      <c r="H508"/>
      <c r="I508"/>
      <c r="J508"/>
      <c r="K508" s="13" t="s">
        <v>31</v>
      </c>
      <c r="L508" s="13" t="s">
        <v>404</v>
      </c>
      <c r="M508" s="13" t="s">
        <v>405</v>
      </c>
      <c r="N508" s="15">
        <v>0</v>
      </c>
      <c r="O508" s="16">
        <v>0</v>
      </c>
      <c r="P508" s="17">
        <v>459.81194995012049</v>
      </c>
      <c r="Q508" s="17">
        <v>1290.8301649307871</v>
      </c>
      <c r="R508" s="13"/>
      <c r="S508" s="13" t="s">
        <v>234</v>
      </c>
      <c r="T508" s="13" t="s">
        <v>613</v>
      </c>
      <c r="U508" s="13" t="s">
        <v>444</v>
      </c>
      <c r="V508" s="13" t="s">
        <v>550</v>
      </c>
      <c r="W508" s="14">
        <v>0</v>
      </c>
    </row>
    <row r="509" spans="1:23" x14ac:dyDescent="0.2">
      <c r="A509"/>
      <c r="B509"/>
      <c r="C509"/>
      <c r="D509"/>
      <c r="E509"/>
      <c r="F509"/>
      <c r="G509"/>
      <c r="H509"/>
      <c r="I509"/>
      <c r="J509"/>
      <c r="K509" s="13" t="s">
        <v>31</v>
      </c>
      <c r="L509" s="13" t="s">
        <v>451</v>
      </c>
      <c r="M509" s="13" t="s">
        <v>369</v>
      </c>
      <c r="N509" s="15">
        <v>0</v>
      </c>
      <c r="O509" s="16">
        <v>0</v>
      </c>
      <c r="P509" s="17">
        <v>24679.665899597723</v>
      </c>
      <c r="Q509" s="17">
        <v>0</v>
      </c>
      <c r="R509" s="13"/>
      <c r="S509" s="13" t="s">
        <v>234</v>
      </c>
      <c r="T509" s="13" t="s">
        <v>613</v>
      </c>
      <c r="U509" s="13" t="s">
        <v>444</v>
      </c>
      <c r="V509" s="13" t="s">
        <v>551</v>
      </c>
      <c r="W509" s="14">
        <v>0</v>
      </c>
    </row>
    <row r="510" spans="1:23" x14ac:dyDescent="0.2">
      <c r="A510"/>
      <c r="B510"/>
      <c r="C510"/>
      <c r="D510"/>
      <c r="E510"/>
      <c r="F510"/>
      <c r="G510"/>
      <c r="H510"/>
      <c r="I510"/>
      <c r="J510"/>
      <c r="K510" s="13" t="s">
        <v>31</v>
      </c>
      <c r="L510" s="13" t="s">
        <v>381</v>
      </c>
      <c r="M510" s="13" t="s">
        <v>382</v>
      </c>
      <c r="N510" s="15">
        <v>6</v>
      </c>
      <c r="O510" s="16">
        <v>0</v>
      </c>
      <c r="P510" s="17">
        <v>0</v>
      </c>
      <c r="Q510" s="17">
        <v>0</v>
      </c>
      <c r="R510" s="13"/>
      <c r="S510" s="13" t="s">
        <v>234</v>
      </c>
      <c r="T510" s="13" t="s">
        <v>611</v>
      </c>
      <c r="U510" s="13" t="s">
        <v>423</v>
      </c>
      <c r="V510" s="13" t="s">
        <v>549</v>
      </c>
      <c r="W510" s="14">
        <v>0</v>
      </c>
    </row>
    <row r="511" spans="1:23" x14ac:dyDescent="0.2">
      <c r="A511"/>
      <c r="B511"/>
      <c r="C511"/>
      <c r="D511"/>
      <c r="E511"/>
      <c r="F511"/>
      <c r="G511"/>
      <c r="H511"/>
      <c r="I511"/>
      <c r="J511"/>
      <c r="K511" s="13" t="s">
        <v>31</v>
      </c>
      <c r="L511" s="13" t="s">
        <v>413</v>
      </c>
      <c r="M511" s="13" t="s">
        <v>428</v>
      </c>
      <c r="N511" s="15">
        <v>4</v>
      </c>
      <c r="O511" s="16">
        <v>0</v>
      </c>
      <c r="P511" s="17">
        <v>0</v>
      </c>
      <c r="Q511" s="17">
        <v>0</v>
      </c>
      <c r="R511" s="13"/>
      <c r="S511" s="13" t="s">
        <v>234</v>
      </c>
      <c r="T511" s="13" t="s">
        <v>611</v>
      </c>
      <c r="U511" s="13" t="s">
        <v>423</v>
      </c>
      <c r="V511" s="13" t="s">
        <v>553</v>
      </c>
      <c r="W511" s="14">
        <v>0</v>
      </c>
    </row>
    <row r="512" spans="1:23" x14ac:dyDescent="0.2">
      <c r="A512"/>
      <c r="B512"/>
      <c r="C512"/>
      <c r="D512"/>
      <c r="E512"/>
      <c r="F512"/>
      <c r="G512"/>
      <c r="H512"/>
      <c r="I512"/>
      <c r="J512"/>
      <c r="K512" s="13" t="s">
        <v>31</v>
      </c>
      <c r="L512" s="13" t="s">
        <v>475</v>
      </c>
      <c r="M512" s="13" t="s">
        <v>470</v>
      </c>
      <c r="N512" s="15">
        <v>3</v>
      </c>
      <c r="O512" s="16">
        <v>0</v>
      </c>
      <c r="P512" s="17">
        <v>0</v>
      </c>
      <c r="Q512" s="17">
        <v>0</v>
      </c>
      <c r="R512" s="13"/>
      <c r="S512" s="13" t="s">
        <v>237</v>
      </c>
      <c r="T512" s="13" t="s">
        <v>395</v>
      </c>
      <c r="U512" s="13" t="s">
        <v>602</v>
      </c>
      <c r="V512" s="13" t="s">
        <v>549</v>
      </c>
      <c r="W512" s="14">
        <v>0</v>
      </c>
    </row>
    <row r="513" spans="1:23" x14ac:dyDescent="0.2">
      <c r="A513"/>
      <c r="B513"/>
      <c r="C513"/>
      <c r="D513"/>
      <c r="E513"/>
      <c r="F513"/>
      <c r="G513"/>
      <c r="H513"/>
      <c r="I513"/>
      <c r="J513"/>
      <c r="K513" s="13" t="s">
        <v>31</v>
      </c>
      <c r="L513" s="13" t="s">
        <v>421</v>
      </c>
      <c r="M513" s="13" t="s">
        <v>443</v>
      </c>
      <c r="N513" s="15">
        <v>1</v>
      </c>
      <c r="O513" s="16">
        <v>0</v>
      </c>
      <c r="P513" s="17">
        <v>0</v>
      </c>
      <c r="Q513" s="17">
        <v>0</v>
      </c>
      <c r="R513" s="13"/>
      <c r="S513" s="13" t="s">
        <v>237</v>
      </c>
      <c r="T513" s="13" t="s">
        <v>404</v>
      </c>
      <c r="U513" s="13" t="s">
        <v>405</v>
      </c>
      <c r="V513" s="13" t="s">
        <v>549</v>
      </c>
      <c r="W513" s="14">
        <v>1.5</v>
      </c>
    </row>
    <row r="514" spans="1:23" x14ac:dyDescent="0.2">
      <c r="A514"/>
      <c r="B514"/>
      <c r="C514"/>
      <c r="D514"/>
      <c r="E514"/>
      <c r="F514"/>
      <c r="G514"/>
      <c r="H514"/>
      <c r="I514"/>
      <c r="J514"/>
      <c r="K514" s="13" t="s">
        <v>32</v>
      </c>
      <c r="L514" s="13" t="s">
        <v>435</v>
      </c>
      <c r="M514" s="13" t="s">
        <v>364</v>
      </c>
      <c r="N514" s="15">
        <v>0</v>
      </c>
      <c r="O514" s="16">
        <v>0</v>
      </c>
      <c r="P514" s="17">
        <v>61.448949999151118</v>
      </c>
      <c r="Q514" s="17">
        <v>0</v>
      </c>
      <c r="R514" s="13"/>
      <c r="S514" s="13" t="s">
        <v>237</v>
      </c>
      <c r="T514" s="13" t="s">
        <v>528</v>
      </c>
      <c r="U514" s="13" t="s">
        <v>384</v>
      </c>
      <c r="V514" s="13" t="s">
        <v>549</v>
      </c>
      <c r="W514" s="14">
        <v>0</v>
      </c>
    </row>
    <row r="515" spans="1:23" x14ac:dyDescent="0.2">
      <c r="A515"/>
      <c r="B515"/>
      <c r="C515"/>
      <c r="D515"/>
      <c r="E515"/>
      <c r="F515"/>
      <c r="G515"/>
      <c r="H515"/>
      <c r="I515"/>
      <c r="J515"/>
      <c r="K515" s="13" t="s">
        <v>32</v>
      </c>
      <c r="L515" s="13" t="s">
        <v>387</v>
      </c>
      <c r="M515" s="13" t="s">
        <v>386</v>
      </c>
      <c r="N515" s="15">
        <v>0</v>
      </c>
      <c r="O515" s="16">
        <v>0</v>
      </c>
      <c r="P515" s="17">
        <v>3605.0422999197767</v>
      </c>
      <c r="Q515" s="17">
        <v>0</v>
      </c>
      <c r="R515" s="13"/>
      <c r="S515" s="13" t="s">
        <v>237</v>
      </c>
      <c r="T515" s="13" t="s">
        <v>613</v>
      </c>
      <c r="U515" s="13" t="s">
        <v>444</v>
      </c>
      <c r="V515" s="13" t="s">
        <v>549</v>
      </c>
      <c r="W515" s="14">
        <v>0</v>
      </c>
    </row>
    <row r="516" spans="1:23" x14ac:dyDescent="0.2">
      <c r="A516"/>
      <c r="B516"/>
      <c r="C516"/>
      <c r="D516"/>
      <c r="E516"/>
      <c r="F516"/>
      <c r="G516"/>
      <c r="H516"/>
      <c r="I516"/>
      <c r="J516"/>
      <c r="K516" s="13" t="s">
        <v>32</v>
      </c>
      <c r="L516" s="13" t="s">
        <v>389</v>
      </c>
      <c r="M516" s="13" t="s">
        <v>388</v>
      </c>
      <c r="N516" s="15">
        <v>0</v>
      </c>
      <c r="O516" s="16">
        <v>0</v>
      </c>
      <c r="P516" s="17">
        <v>13.025565000323583</v>
      </c>
      <c r="Q516" s="17">
        <v>0</v>
      </c>
      <c r="R516" s="13"/>
      <c r="S516" s="13" t="s">
        <v>237</v>
      </c>
      <c r="T516" s="13" t="s">
        <v>613</v>
      </c>
      <c r="U516" s="13" t="s">
        <v>444</v>
      </c>
      <c r="V516" s="13" t="s">
        <v>553</v>
      </c>
      <c r="W516" s="14">
        <v>0</v>
      </c>
    </row>
    <row r="517" spans="1:23" x14ac:dyDescent="0.2">
      <c r="A517"/>
      <c r="B517"/>
      <c r="C517"/>
      <c r="D517"/>
      <c r="E517"/>
      <c r="F517"/>
      <c r="G517"/>
      <c r="H517"/>
      <c r="I517"/>
      <c r="J517"/>
      <c r="K517" s="13" t="s">
        <v>32</v>
      </c>
      <c r="L517" s="13" t="s">
        <v>542</v>
      </c>
      <c r="M517" s="13" t="s">
        <v>390</v>
      </c>
      <c r="N517" s="15">
        <v>0</v>
      </c>
      <c r="O517" s="16">
        <v>0</v>
      </c>
      <c r="P517" s="17">
        <v>14.526699995123035</v>
      </c>
      <c r="Q517" s="17">
        <v>0</v>
      </c>
      <c r="R517" s="13"/>
      <c r="S517" s="13" t="s">
        <v>237</v>
      </c>
      <c r="T517" s="13" t="s">
        <v>613</v>
      </c>
      <c r="U517" s="13" t="s">
        <v>444</v>
      </c>
      <c r="V517" s="13" t="s">
        <v>550</v>
      </c>
      <c r="W517" s="14">
        <v>0</v>
      </c>
    </row>
    <row r="518" spans="1:23" x14ac:dyDescent="0.2">
      <c r="A518"/>
      <c r="B518"/>
      <c r="C518"/>
      <c r="D518"/>
      <c r="E518"/>
      <c r="F518"/>
      <c r="G518"/>
      <c r="H518"/>
      <c r="I518"/>
      <c r="J518"/>
      <c r="K518" s="13" t="s">
        <v>32</v>
      </c>
      <c r="L518" s="13" t="s">
        <v>391</v>
      </c>
      <c r="M518" s="13" t="s">
        <v>358</v>
      </c>
      <c r="N518" s="15">
        <v>0</v>
      </c>
      <c r="O518" s="16">
        <v>0</v>
      </c>
      <c r="P518" s="17">
        <v>3319.4685657829818</v>
      </c>
      <c r="Q518" s="17">
        <v>0</v>
      </c>
      <c r="R518" s="13"/>
      <c r="S518" s="13" t="s">
        <v>237</v>
      </c>
      <c r="T518" s="13" t="s">
        <v>611</v>
      </c>
      <c r="U518" s="13" t="s">
        <v>423</v>
      </c>
      <c r="V518" s="13" t="s">
        <v>553</v>
      </c>
      <c r="W518" s="14">
        <v>0</v>
      </c>
    </row>
    <row r="519" spans="1:23" x14ac:dyDescent="0.2">
      <c r="A519"/>
      <c r="B519"/>
      <c r="C519"/>
      <c r="D519"/>
      <c r="E519"/>
      <c r="F519"/>
      <c r="G519"/>
      <c r="H519"/>
      <c r="I519"/>
      <c r="J519"/>
      <c r="K519" s="13" t="s">
        <v>32</v>
      </c>
      <c r="L519" s="13" t="s">
        <v>486</v>
      </c>
      <c r="M519" s="13" t="s">
        <v>439</v>
      </c>
      <c r="N519" s="15">
        <v>0</v>
      </c>
      <c r="O519" s="16">
        <v>0</v>
      </c>
      <c r="P519" s="17">
        <v>4.1116499999262386</v>
      </c>
      <c r="Q519" s="17">
        <v>0</v>
      </c>
      <c r="R519" s="13"/>
      <c r="S519" s="13" t="s">
        <v>239</v>
      </c>
      <c r="T519" s="13" t="s">
        <v>404</v>
      </c>
      <c r="U519" s="13" t="s">
        <v>405</v>
      </c>
      <c r="V519" s="13" t="s">
        <v>549</v>
      </c>
      <c r="W519" s="14">
        <v>1</v>
      </c>
    </row>
    <row r="520" spans="1:23" x14ac:dyDescent="0.2">
      <c r="A520"/>
      <c r="B520"/>
      <c r="C520"/>
      <c r="D520"/>
      <c r="E520"/>
      <c r="F520"/>
      <c r="G520"/>
      <c r="H520"/>
      <c r="I520"/>
      <c r="J520"/>
      <c r="K520" s="13" t="s">
        <v>32</v>
      </c>
      <c r="L520" s="13" t="s">
        <v>512</v>
      </c>
      <c r="M520" s="13" t="s">
        <v>466</v>
      </c>
      <c r="N520" s="15">
        <v>0</v>
      </c>
      <c r="O520" s="16">
        <v>0</v>
      </c>
      <c r="P520" s="17">
        <v>49.949899994980569</v>
      </c>
      <c r="Q520" s="17">
        <v>0</v>
      </c>
      <c r="R520" s="13"/>
      <c r="S520" s="13" t="s">
        <v>239</v>
      </c>
      <c r="T520" s="13" t="s">
        <v>404</v>
      </c>
      <c r="U520" s="13" t="s">
        <v>405</v>
      </c>
      <c r="V520" s="13" t="s">
        <v>553</v>
      </c>
      <c r="W520" s="14">
        <v>0.5</v>
      </c>
    </row>
    <row r="521" spans="1:23" x14ac:dyDescent="0.2">
      <c r="A521"/>
      <c r="B521"/>
      <c r="C521"/>
      <c r="D521"/>
      <c r="E521"/>
      <c r="F521"/>
      <c r="G521"/>
      <c r="H521"/>
      <c r="I521"/>
      <c r="J521"/>
      <c r="K521" s="13" t="s">
        <v>32</v>
      </c>
      <c r="L521" s="13" t="s">
        <v>399</v>
      </c>
      <c r="M521" s="13" t="s">
        <v>400</v>
      </c>
      <c r="N521" s="15">
        <v>0</v>
      </c>
      <c r="O521" s="16">
        <v>0</v>
      </c>
      <c r="P521" s="17">
        <v>816.51135000824706</v>
      </c>
      <c r="Q521" s="17">
        <v>0</v>
      </c>
      <c r="R521" s="13"/>
      <c r="S521" s="13" t="s">
        <v>239</v>
      </c>
      <c r="T521" s="13" t="s">
        <v>406</v>
      </c>
      <c r="U521" s="13" t="s">
        <v>361</v>
      </c>
      <c r="V521" s="13" t="s">
        <v>549</v>
      </c>
      <c r="W521" s="14">
        <v>1.6</v>
      </c>
    </row>
    <row r="522" spans="1:23" x14ac:dyDescent="0.2">
      <c r="A522"/>
      <c r="B522"/>
      <c r="C522"/>
      <c r="D522"/>
      <c r="E522"/>
      <c r="F522"/>
      <c r="G522"/>
      <c r="H522"/>
      <c r="I522"/>
      <c r="J522"/>
      <c r="K522" s="13" t="s">
        <v>32</v>
      </c>
      <c r="L522" s="13" t="s">
        <v>401</v>
      </c>
      <c r="M522" s="13" t="s">
        <v>360</v>
      </c>
      <c r="N522" s="15">
        <v>0</v>
      </c>
      <c r="O522" s="16">
        <v>0</v>
      </c>
      <c r="P522" s="17">
        <v>230.85955009204235</v>
      </c>
      <c r="Q522" s="17">
        <v>0</v>
      </c>
      <c r="R522" s="13"/>
      <c r="S522" s="13" t="s">
        <v>239</v>
      </c>
      <c r="T522" s="13" t="s">
        <v>406</v>
      </c>
      <c r="U522" s="13" t="s">
        <v>361</v>
      </c>
      <c r="V522" s="13" t="s">
        <v>549</v>
      </c>
      <c r="W522" s="14">
        <v>1.5</v>
      </c>
    </row>
    <row r="523" spans="1:23" x14ac:dyDescent="0.2">
      <c r="A523"/>
      <c r="B523"/>
      <c r="C523"/>
      <c r="D523"/>
      <c r="E523"/>
      <c r="F523"/>
      <c r="G523"/>
      <c r="H523"/>
      <c r="I523"/>
      <c r="J523"/>
      <c r="K523" s="13" t="s">
        <v>32</v>
      </c>
      <c r="L523" s="13" t="s">
        <v>402</v>
      </c>
      <c r="M523" s="13" t="s">
        <v>403</v>
      </c>
      <c r="N523" s="15">
        <v>0</v>
      </c>
      <c r="O523" s="16">
        <v>0</v>
      </c>
      <c r="P523" s="17">
        <v>18499.64453386328</v>
      </c>
      <c r="Q523" s="17">
        <v>0</v>
      </c>
      <c r="R523" s="13"/>
      <c r="S523" s="13" t="s">
        <v>239</v>
      </c>
      <c r="T523" s="13" t="s">
        <v>609</v>
      </c>
      <c r="U523" s="13" t="s">
        <v>416</v>
      </c>
      <c r="V523" s="13" t="s">
        <v>633</v>
      </c>
      <c r="W523" s="14">
        <v>0</v>
      </c>
    </row>
    <row r="524" spans="1:23" x14ac:dyDescent="0.2">
      <c r="A524"/>
      <c r="B524"/>
      <c r="C524"/>
      <c r="D524"/>
      <c r="E524"/>
      <c r="F524"/>
      <c r="G524"/>
      <c r="H524"/>
      <c r="I524"/>
      <c r="J524"/>
      <c r="K524" s="13" t="s">
        <v>32</v>
      </c>
      <c r="L524" s="13" t="s">
        <v>448</v>
      </c>
      <c r="M524" s="13" t="s">
        <v>366</v>
      </c>
      <c r="N524" s="15">
        <v>0</v>
      </c>
      <c r="O524" s="16">
        <v>0</v>
      </c>
      <c r="P524" s="17">
        <v>819.48720001279298</v>
      </c>
      <c r="Q524" s="17">
        <v>0</v>
      </c>
      <c r="R524" s="13"/>
      <c r="S524" s="13" t="s">
        <v>239</v>
      </c>
      <c r="T524" s="13" t="s">
        <v>622</v>
      </c>
      <c r="U524" s="13" t="s">
        <v>524</v>
      </c>
      <c r="V524" s="13" t="s">
        <v>549</v>
      </c>
      <c r="W524" s="14">
        <v>0</v>
      </c>
    </row>
    <row r="525" spans="1:23" x14ac:dyDescent="0.2">
      <c r="A525"/>
      <c r="B525"/>
      <c r="C525"/>
      <c r="D525"/>
      <c r="E525"/>
      <c r="F525"/>
      <c r="G525"/>
      <c r="H525"/>
      <c r="I525"/>
      <c r="J525"/>
      <c r="K525" s="13" t="s">
        <v>32</v>
      </c>
      <c r="L525" s="13" t="s">
        <v>404</v>
      </c>
      <c r="M525" s="13" t="s">
        <v>405</v>
      </c>
      <c r="N525" s="15">
        <v>0</v>
      </c>
      <c r="O525" s="16">
        <v>0</v>
      </c>
      <c r="P525" s="17">
        <v>883.12580002903087</v>
      </c>
      <c r="Q525" s="17">
        <v>1645.1399424771864</v>
      </c>
      <c r="R525" s="13"/>
      <c r="S525" s="13" t="s">
        <v>239</v>
      </c>
      <c r="T525" s="13" t="s">
        <v>467</v>
      </c>
      <c r="U525" s="13" t="s">
        <v>422</v>
      </c>
      <c r="V525" s="13" t="s">
        <v>549</v>
      </c>
      <c r="W525" s="14">
        <v>0</v>
      </c>
    </row>
    <row r="526" spans="1:23" x14ac:dyDescent="0.2">
      <c r="A526"/>
      <c r="B526"/>
      <c r="C526"/>
      <c r="D526"/>
      <c r="E526"/>
      <c r="F526"/>
      <c r="G526"/>
      <c r="H526"/>
      <c r="I526"/>
      <c r="J526"/>
      <c r="K526" s="13" t="s">
        <v>32</v>
      </c>
      <c r="L526" s="13" t="s">
        <v>451</v>
      </c>
      <c r="M526" s="13" t="s">
        <v>369</v>
      </c>
      <c r="N526" s="15">
        <v>0</v>
      </c>
      <c r="O526" s="16">
        <v>0</v>
      </c>
      <c r="P526" s="17">
        <v>28255.753114698513</v>
      </c>
      <c r="Q526" s="17">
        <v>0</v>
      </c>
      <c r="R526" s="13"/>
      <c r="S526" s="13" t="s">
        <v>239</v>
      </c>
      <c r="T526" s="13" t="s">
        <v>467</v>
      </c>
      <c r="U526" s="13" t="s">
        <v>422</v>
      </c>
      <c r="V526" s="13" t="s">
        <v>553</v>
      </c>
      <c r="W526" s="14">
        <v>0</v>
      </c>
    </row>
    <row r="527" spans="1:23" x14ac:dyDescent="0.2">
      <c r="A527"/>
      <c r="B527"/>
      <c r="C527"/>
      <c r="D527"/>
      <c r="E527"/>
      <c r="F527"/>
      <c r="G527"/>
      <c r="H527"/>
      <c r="I527"/>
      <c r="J527"/>
      <c r="K527" s="13" t="s">
        <v>32</v>
      </c>
      <c r="L527" s="13" t="s">
        <v>381</v>
      </c>
      <c r="M527" s="13" t="s">
        <v>382</v>
      </c>
      <c r="N527" s="15">
        <v>145</v>
      </c>
      <c r="O527" s="16">
        <v>0</v>
      </c>
      <c r="P527" s="17">
        <v>0</v>
      </c>
      <c r="Q527" s="17">
        <v>0</v>
      </c>
      <c r="R527" s="13"/>
      <c r="S527" s="13" t="s">
        <v>239</v>
      </c>
      <c r="T527" s="13" t="s">
        <v>528</v>
      </c>
      <c r="U527" s="13" t="s">
        <v>384</v>
      </c>
      <c r="V527" s="13" t="s">
        <v>553</v>
      </c>
      <c r="W527" s="14">
        <v>0</v>
      </c>
    </row>
    <row r="528" spans="1:23" x14ac:dyDescent="0.2">
      <c r="A528"/>
      <c r="B528"/>
      <c r="C528"/>
      <c r="D528"/>
      <c r="E528"/>
      <c r="F528"/>
      <c r="G528"/>
      <c r="H528"/>
      <c r="I528"/>
      <c r="J528"/>
      <c r="K528" s="13" t="s">
        <v>32</v>
      </c>
      <c r="L528" s="13" t="s">
        <v>606</v>
      </c>
      <c r="M528" s="13" t="s">
        <v>430</v>
      </c>
      <c r="N528" s="15">
        <v>17</v>
      </c>
      <c r="O528" s="16">
        <v>0</v>
      </c>
      <c r="P528" s="17">
        <v>0</v>
      </c>
      <c r="Q528" s="17">
        <v>0</v>
      </c>
      <c r="R528" s="13"/>
      <c r="S528" s="13" t="s">
        <v>239</v>
      </c>
      <c r="T528" s="13" t="s">
        <v>528</v>
      </c>
      <c r="U528" s="13" t="s">
        <v>384</v>
      </c>
      <c r="V528" s="13" t="s">
        <v>550</v>
      </c>
      <c r="W528" s="14">
        <v>0</v>
      </c>
    </row>
    <row r="529" spans="1:23" x14ac:dyDescent="0.2">
      <c r="A529"/>
      <c r="B529"/>
      <c r="C529"/>
      <c r="D529"/>
      <c r="E529"/>
      <c r="F529"/>
      <c r="G529"/>
      <c r="H529"/>
      <c r="I529"/>
      <c r="J529"/>
      <c r="K529" s="13" t="s">
        <v>32</v>
      </c>
      <c r="L529" s="13" t="s">
        <v>607</v>
      </c>
      <c r="M529" s="13" t="s">
        <v>431</v>
      </c>
      <c r="N529" s="15">
        <v>6</v>
      </c>
      <c r="O529" s="16">
        <v>0</v>
      </c>
      <c r="P529" s="17">
        <v>0</v>
      </c>
      <c r="Q529" s="17">
        <v>0</v>
      </c>
      <c r="R529" s="13"/>
      <c r="S529" s="13" t="s">
        <v>239</v>
      </c>
      <c r="T529" s="13" t="s">
        <v>528</v>
      </c>
      <c r="U529" s="13" t="s">
        <v>384</v>
      </c>
      <c r="V529" s="13" t="s">
        <v>551</v>
      </c>
      <c r="W529" s="14">
        <v>0</v>
      </c>
    </row>
    <row r="530" spans="1:23" x14ac:dyDescent="0.2">
      <c r="A530"/>
      <c r="B530"/>
      <c r="C530"/>
      <c r="D530"/>
      <c r="E530"/>
      <c r="F530"/>
      <c r="G530"/>
      <c r="H530"/>
      <c r="I530"/>
      <c r="J530"/>
      <c r="K530" s="13" t="s">
        <v>32</v>
      </c>
      <c r="L530" s="13" t="s">
        <v>609</v>
      </c>
      <c r="M530" s="13" t="s">
        <v>416</v>
      </c>
      <c r="N530" s="15">
        <v>0</v>
      </c>
      <c r="O530" s="16">
        <v>4.945593998726082</v>
      </c>
      <c r="P530" s="17">
        <v>0</v>
      </c>
      <c r="Q530" s="17">
        <v>0</v>
      </c>
      <c r="R530" s="13"/>
      <c r="S530" s="13" t="s">
        <v>239</v>
      </c>
      <c r="T530" s="13" t="s">
        <v>613</v>
      </c>
      <c r="U530" s="13" t="s">
        <v>444</v>
      </c>
      <c r="V530" s="13" t="s">
        <v>549</v>
      </c>
      <c r="W530" s="14">
        <v>0</v>
      </c>
    </row>
    <row r="531" spans="1:23" x14ac:dyDescent="0.2">
      <c r="A531"/>
      <c r="B531"/>
      <c r="C531"/>
      <c r="D531"/>
      <c r="E531"/>
      <c r="F531"/>
      <c r="G531"/>
      <c r="H531"/>
      <c r="I531"/>
      <c r="J531"/>
      <c r="K531" s="13" t="s">
        <v>32</v>
      </c>
      <c r="L531" s="13" t="s">
        <v>421</v>
      </c>
      <c r="M531" s="13" t="s">
        <v>443</v>
      </c>
      <c r="N531" s="15">
        <v>9</v>
      </c>
      <c r="O531" s="16">
        <v>0</v>
      </c>
      <c r="P531" s="17">
        <v>0</v>
      </c>
      <c r="Q531" s="17">
        <v>0</v>
      </c>
      <c r="R531" s="13"/>
      <c r="S531" s="13" t="s">
        <v>239</v>
      </c>
      <c r="T531" s="13" t="s">
        <v>613</v>
      </c>
      <c r="U531" s="13" t="s">
        <v>444</v>
      </c>
      <c r="V531" s="13" t="s">
        <v>553</v>
      </c>
      <c r="W531" s="14">
        <v>0</v>
      </c>
    </row>
    <row r="532" spans="1:23" x14ac:dyDescent="0.2">
      <c r="A532"/>
      <c r="B532"/>
      <c r="C532"/>
      <c r="D532"/>
      <c r="E532"/>
      <c r="F532"/>
      <c r="G532"/>
      <c r="H532"/>
      <c r="I532"/>
      <c r="J532"/>
      <c r="K532" s="13" t="s">
        <v>32</v>
      </c>
      <c r="L532" s="13" t="s">
        <v>383</v>
      </c>
      <c r="M532" s="13" t="s">
        <v>420</v>
      </c>
      <c r="N532" s="15">
        <v>4</v>
      </c>
      <c r="O532" s="16">
        <v>0</v>
      </c>
      <c r="P532" s="17">
        <v>0</v>
      </c>
      <c r="Q532" s="17">
        <v>0</v>
      </c>
      <c r="R532" s="13"/>
      <c r="S532" s="13" t="s">
        <v>239</v>
      </c>
      <c r="T532" s="13" t="s">
        <v>613</v>
      </c>
      <c r="U532" s="13" t="s">
        <v>444</v>
      </c>
      <c r="V532" s="13" t="s">
        <v>550</v>
      </c>
      <c r="W532" s="14">
        <v>0</v>
      </c>
    </row>
    <row r="533" spans="1:23" x14ac:dyDescent="0.2">
      <c r="A533"/>
      <c r="B533"/>
      <c r="C533"/>
      <c r="D533"/>
      <c r="E533"/>
      <c r="F533"/>
      <c r="G533"/>
      <c r="H533"/>
      <c r="I533"/>
      <c r="J533"/>
      <c r="K533" s="13" t="s">
        <v>32</v>
      </c>
      <c r="L533" s="13" t="s">
        <v>446</v>
      </c>
      <c r="M533" s="13" t="s">
        <v>371</v>
      </c>
      <c r="N533" s="15">
        <v>2</v>
      </c>
      <c r="O533" s="16">
        <v>0</v>
      </c>
      <c r="P533" s="17">
        <v>0</v>
      </c>
      <c r="Q533" s="17">
        <v>0</v>
      </c>
      <c r="R533" s="13"/>
      <c r="S533" s="13" t="s">
        <v>239</v>
      </c>
      <c r="T533" s="13" t="s">
        <v>611</v>
      </c>
      <c r="U533" s="13" t="s">
        <v>423</v>
      </c>
      <c r="V533" s="13" t="s">
        <v>549</v>
      </c>
      <c r="W533" s="14">
        <v>0</v>
      </c>
    </row>
    <row r="534" spans="1:23" x14ac:dyDescent="0.2">
      <c r="A534"/>
      <c r="B534"/>
      <c r="C534"/>
      <c r="D534"/>
      <c r="E534"/>
      <c r="F534"/>
      <c r="G534"/>
      <c r="H534"/>
      <c r="I534"/>
      <c r="J534"/>
      <c r="K534" s="13" t="s">
        <v>32</v>
      </c>
      <c r="L534" s="13" t="s">
        <v>614</v>
      </c>
      <c r="M534" s="13" t="s">
        <v>447</v>
      </c>
      <c r="N534" s="15">
        <v>12</v>
      </c>
      <c r="O534" s="16">
        <v>0</v>
      </c>
      <c r="P534" s="17">
        <v>0</v>
      </c>
      <c r="Q534" s="17">
        <v>0</v>
      </c>
      <c r="R534" s="13"/>
      <c r="S534" s="13" t="s">
        <v>241</v>
      </c>
      <c r="T534" s="13" t="s">
        <v>395</v>
      </c>
      <c r="U534" s="13" t="s">
        <v>602</v>
      </c>
      <c r="V534" s="13" t="s">
        <v>549</v>
      </c>
      <c r="W534" s="14">
        <v>0</v>
      </c>
    </row>
    <row r="535" spans="1:23" x14ac:dyDescent="0.2">
      <c r="A535"/>
      <c r="B535"/>
      <c r="C535"/>
      <c r="D535"/>
      <c r="E535"/>
      <c r="F535"/>
      <c r="G535"/>
      <c r="H535"/>
      <c r="I535"/>
      <c r="J535"/>
      <c r="K535" s="13" t="s">
        <v>33</v>
      </c>
      <c r="L535" s="13" t="s">
        <v>389</v>
      </c>
      <c r="M535" s="13" t="s">
        <v>388</v>
      </c>
      <c r="N535" s="15">
        <v>0</v>
      </c>
      <c r="O535" s="16">
        <v>0</v>
      </c>
      <c r="P535" s="17">
        <v>530.12904999232592</v>
      </c>
      <c r="Q535" s="17">
        <v>0</v>
      </c>
      <c r="R535" s="13"/>
      <c r="S535" s="13" t="s">
        <v>241</v>
      </c>
      <c r="T535" s="13" t="s">
        <v>528</v>
      </c>
      <c r="U535" s="13" t="s">
        <v>384</v>
      </c>
      <c r="V535" s="13" t="s">
        <v>549</v>
      </c>
      <c r="W535" s="14">
        <v>0</v>
      </c>
    </row>
    <row r="536" spans="1:23" x14ac:dyDescent="0.2">
      <c r="A536"/>
      <c r="B536"/>
      <c r="C536"/>
      <c r="D536"/>
      <c r="E536"/>
      <c r="F536"/>
      <c r="G536"/>
      <c r="H536"/>
      <c r="I536"/>
      <c r="J536"/>
      <c r="K536" s="13" t="s">
        <v>33</v>
      </c>
      <c r="L536" s="13" t="s">
        <v>542</v>
      </c>
      <c r="M536" s="13" t="s">
        <v>390</v>
      </c>
      <c r="N536" s="15">
        <v>0</v>
      </c>
      <c r="O536" s="16">
        <v>0</v>
      </c>
      <c r="P536" s="17">
        <v>24.429799993314475</v>
      </c>
      <c r="Q536" s="17">
        <v>0</v>
      </c>
      <c r="R536" s="13"/>
      <c r="S536" s="13" t="s">
        <v>241</v>
      </c>
      <c r="T536" s="13" t="s">
        <v>613</v>
      </c>
      <c r="U536" s="13" t="s">
        <v>444</v>
      </c>
      <c r="V536" s="13" t="s">
        <v>549</v>
      </c>
      <c r="W536" s="14">
        <v>0</v>
      </c>
    </row>
    <row r="537" spans="1:23" x14ac:dyDescent="0.2">
      <c r="A537"/>
      <c r="B537"/>
      <c r="C537"/>
      <c r="D537"/>
      <c r="E537"/>
      <c r="F537"/>
      <c r="G537"/>
      <c r="H537"/>
      <c r="I537"/>
      <c r="J537"/>
      <c r="K537" s="13" t="s">
        <v>33</v>
      </c>
      <c r="L537" s="13" t="s">
        <v>391</v>
      </c>
      <c r="M537" s="13" t="s">
        <v>358</v>
      </c>
      <c r="N537" s="15">
        <v>0</v>
      </c>
      <c r="O537" s="16">
        <v>0</v>
      </c>
      <c r="P537" s="17">
        <v>471.5071000449027</v>
      </c>
      <c r="Q537" s="17">
        <v>0</v>
      </c>
      <c r="R537" s="13"/>
      <c r="S537" s="13" t="s">
        <v>241</v>
      </c>
      <c r="T537" s="13" t="s">
        <v>613</v>
      </c>
      <c r="U537" s="13" t="s">
        <v>444</v>
      </c>
      <c r="V537" s="13" t="s">
        <v>553</v>
      </c>
      <c r="W537" s="14">
        <v>0</v>
      </c>
    </row>
    <row r="538" spans="1:23" x14ac:dyDescent="0.2">
      <c r="A538"/>
      <c r="B538"/>
      <c r="C538"/>
      <c r="D538"/>
      <c r="E538"/>
      <c r="F538"/>
      <c r="G538"/>
      <c r="H538"/>
      <c r="I538"/>
      <c r="J538"/>
      <c r="K538" s="13" t="s">
        <v>33</v>
      </c>
      <c r="L538" s="13" t="s">
        <v>399</v>
      </c>
      <c r="M538" s="13" t="s">
        <v>400</v>
      </c>
      <c r="N538" s="15">
        <v>0</v>
      </c>
      <c r="O538" s="16">
        <v>0</v>
      </c>
      <c r="P538" s="17">
        <v>84.636500010016846</v>
      </c>
      <c r="Q538" s="17">
        <v>0</v>
      </c>
      <c r="R538" s="13"/>
      <c r="S538" s="13" t="s">
        <v>241</v>
      </c>
      <c r="T538" s="13" t="s">
        <v>611</v>
      </c>
      <c r="U538" s="13" t="s">
        <v>423</v>
      </c>
      <c r="V538" s="13" t="s">
        <v>549</v>
      </c>
      <c r="W538" s="14">
        <v>0</v>
      </c>
    </row>
    <row r="539" spans="1:23" x14ac:dyDescent="0.2">
      <c r="A539"/>
      <c r="B539"/>
      <c r="C539"/>
      <c r="D539"/>
      <c r="E539"/>
      <c r="F539"/>
      <c r="G539"/>
      <c r="H539"/>
      <c r="I539"/>
      <c r="J539"/>
      <c r="K539" s="13" t="s">
        <v>33</v>
      </c>
      <c r="L539" s="13" t="s">
        <v>401</v>
      </c>
      <c r="M539" s="13" t="s">
        <v>360</v>
      </c>
      <c r="N539" s="15">
        <v>0</v>
      </c>
      <c r="O539" s="16">
        <v>0</v>
      </c>
      <c r="P539" s="17">
        <v>451.3736999824888</v>
      </c>
      <c r="Q539" s="17">
        <v>0</v>
      </c>
      <c r="R539" s="13"/>
      <c r="S539" s="13" t="s">
        <v>243</v>
      </c>
      <c r="T539" s="13" t="s">
        <v>404</v>
      </c>
      <c r="U539" s="13" t="s">
        <v>405</v>
      </c>
      <c r="V539" s="13" t="s">
        <v>549</v>
      </c>
      <c r="W539" s="14">
        <v>1</v>
      </c>
    </row>
    <row r="540" spans="1:23" x14ac:dyDescent="0.2">
      <c r="A540"/>
      <c r="B540"/>
      <c r="C540"/>
      <c r="D540"/>
      <c r="E540"/>
      <c r="F540"/>
      <c r="G540"/>
      <c r="H540"/>
      <c r="I540"/>
      <c r="J540"/>
      <c r="K540" s="13" t="s">
        <v>33</v>
      </c>
      <c r="L540" s="13" t="s">
        <v>402</v>
      </c>
      <c r="M540" s="13" t="s">
        <v>403</v>
      </c>
      <c r="N540" s="15">
        <v>0</v>
      </c>
      <c r="O540" s="16">
        <v>0</v>
      </c>
      <c r="P540" s="17">
        <v>9426.2760571159888</v>
      </c>
      <c r="Q540" s="17">
        <v>0</v>
      </c>
      <c r="R540" s="13"/>
      <c r="S540" s="13" t="s">
        <v>243</v>
      </c>
      <c r="T540" s="13" t="s">
        <v>404</v>
      </c>
      <c r="U540" s="13" t="s">
        <v>405</v>
      </c>
      <c r="V540" s="13" t="s">
        <v>553</v>
      </c>
      <c r="W540" s="14">
        <v>1.5</v>
      </c>
    </row>
    <row r="541" spans="1:23" x14ac:dyDescent="0.2">
      <c r="A541"/>
      <c r="B541"/>
      <c r="C541"/>
      <c r="D541"/>
      <c r="E541"/>
      <c r="F541"/>
      <c r="G541"/>
      <c r="H541"/>
      <c r="I541"/>
      <c r="J541"/>
      <c r="K541" s="13" t="s">
        <v>33</v>
      </c>
      <c r="L541" s="13" t="s">
        <v>462</v>
      </c>
      <c r="M541" s="13" t="s">
        <v>370</v>
      </c>
      <c r="N541" s="15">
        <v>0</v>
      </c>
      <c r="O541" s="16">
        <v>0</v>
      </c>
      <c r="P541" s="17">
        <v>53.125850003204739</v>
      </c>
      <c r="Q541" s="17">
        <v>0</v>
      </c>
      <c r="R541" s="13"/>
      <c r="S541" s="13" t="s">
        <v>243</v>
      </c>
      <c r="T541" s="13" t="s">
        <v>404</v>
      </c>
      <c r="U541" s="13" t="s">
        <v>405</v>
      </c>
      <c r="V541" s="13" t="s">
        <v>550</v>
      </c>
      <c r="W541" s="14">
        <v>2</v>
      </c>
    </row>
    <row r="542" spans="1:23" x14ac:dyDescent="0.2">
      <c r="A542"/>
      <c r="B542"/>
      <c r="C542"/>
      <c r="D542"/>
      <c r="E542"/>
      <c r="F542"/>
      <c r="G542"/>
      <c r="H542"/>
      <c r="I542"/>
      <c r="J542"/>
      <c r="K542" s="13" t="s">
        <v>33</v>
      </c>
      <c r="L542" s="13" t="s">
        <v>451</v>
      </c>
      <c r="M542" s="13" t="s">
        <v>369</v>
      </c>
      <c r="N542" s="15">
        <v>0</v>
      </c>
      <c r="O542" s="16">
        <v>0</v>
      </c>
      <c r="P542" s="17">
        <v>11041.478057142243</v>
      </c>
      <c r="Q542" s="17">
        <v>0</v>
      </c>
      <c r="R542" s="13"/>
      <c r="S542" s="13" t="s">
        <v>243</v>
      </c>
      <c r="T542" s="13" t="s">
        <v>404</v>
      </c>
      <c r="U542" s="13" t="s">
        <v>405</v>
      </c>
      <c r="V542" s="13" t="s">
        <v>551</v>
      </c>
      <c r="W542" s="14">
        <v>1</v>
      </c>
    </row>
    <row r="543" spans="1:23" x14ac:dyDescent="0.2">
      <c r="A543"/>
      <c r="B543"/>
      <c r="C543"/>
      <c r="D543"/>
      <c r="E543"/>
      <c r="F543"/>
      <c r="G543"/>
      <c r="H543"/>
      <c r="I543"/>
      <c r="J543"/>
      <c r="K543" s="13" t="s">
        <v>33</v>
      </c>
      <c r="L543" s="13" t="s">
        <v>381</v>
      </c>
      <c r="M543" s="13" t="s">
        <v>382</v>
      </c>
      <c r="N543" s="15">
        <v>10</v>
      </c>
      <c r="O543" s="16">
        <v>0</v>
      </c>
      <c r="P543" s="17">
        <v>0</v>
      </c>
      <c r="Q543" s="17">
        <v>0</v>
      </c>
      <c r="R543" s="13"/>
      <c r="S543" s="13" t="s">
        <v>243</v>
      </c>
      <c r="T543" s="13" t="s">
        <v>528</v>
      </c>
      <c r="U543" s="13" t="s">
        <v>384</v>
      </c>
      <c r="V543" s="13" t="s">
        <v>549</v>
      </c>
      <c r="W543" s="14">
        <v>0</v>
      </c>
    </row>
    <row r="544" spans="1:23" x14ac:dyDescent="0.2">
      <c r="A544"/>
      <c r="B544"/>
      <c r="C544"/>
      <c r="D544"/>
      <c r="E544"/>
      <c r="F544"/>
      <c r="G544"/>
      <c r="H544"/>
      <c r="I544"/>
      <c r="J544"/>
      <c r="K544" s="13" t="s">
        <v>33</v>
      </c>
      <c r="L544" s="13" t="s">
        <v>421</v>
      </c>
      <c r="M544" s="13" t="s">
        <v>443</v>
      </c>
      <c r="N544" s="15">
        <v>6</v>
      </c>
      <c r="O544" s="16">
        <v>0</v>
      </c>
      <c r="P544" s="17">
        <v>0</v>
      </c>
      <c r="Q544" s="17">
        <v>0</v>
      </c>
      <c r="R544" s="13"/>
      <c r="S544" s="13" t="s">
        <v>243</v>
      </c>
      <c r="T544" s="13" t="s">
        <v>528</v>
      </c>
      <c r="U544" s="13" t="s">
        <v>384</v>
      </c>
      <c r="V544" s="13" t="s">
        <v>553</v>
      </c>
      <c r="W544" s="14">
        <v>0</v>
      </c>
    </row>
    <row r="545" spans="1:23" x14ac:dyDescent="0.2">
      <c r="A545"/>
      <c r="B545"/>
      <c r="C545"/>
      <c r="D545"/>
      <c r="E545"/>
      <c r="F545"/>
      <c r="G545"/>
      <c r="H545"/>
      <c r="I545"/>
      <c r="J545"/>
      <c r="K545" s="13" t="s">
        <v>33</v>
      </c>
      <c r="L545" s="13" t="s">
        <v>614</v>
      </c>
      <c r="M545" s="13" t="s">
        <v>447</v>
      </c>
      <c r="N545" s="15">
        <v>6</v>
      </c>
      <c r="O545" s="16">
        <v>0</v>
      </c>
      <c r="P545" s="17">
        <v>0</v>
      </c>
      <c r="Q545" s="17">
        <v>0</v>
      </c>
      <c r="R545" s="13"/>
      <c r="S545" s="13" t="s">
        <v>243</v>
      </c>
      <c r="T545" s="13" t="s">
        <v>613</v>
      </c>
      <c r="U545" s="13" t="s">
        <v>444</v>
      </c>
      <c r="V545" s="13" t="s">
        <v>549</v>
      </c>
      <c r="W545" s="14">
        <v>0</v>
      </c>
    </row>
    <row r="546" spans="1:23" x14ac:dyDescent="0.2">
      <c r="A546"/>
      <c r="B546"/>
      <c r="C546"/>
      <c r="D546"/>
      <c r="E546"/>
      <c r="F546"/>
      <c r="G546"/>
      <c r="H546"/>
      <c r="I546"/>
      <c r="J546"/>
      <c r="K546" s="13" t="s">
        <v>34</v>
      </c>
      <c r="L546" s="13" t="s">
        <v>391</v>
      </c>
      <c r="M546" s="13" t="s">
        <v>358</v>
      </c>
      <c r="N546" s="15">
        <v>0</v>
      </c>
      <c r="O546" s="16">
        <v>0</v>
      </c>
      <c r="P546" s="17">
        <v>75.437049994925189</v>
      </c>
      <c r="Q546" s="17">
        <v>0</v>
      </c>
      <c r="R546" s="13"/>
      <c r="S546" s="13" t="s">
        <v>243</v>
      </c>
      <c r="T546" s="13" t="s">
        <v>613</v>
      </c>
      <c r="U546" s="13" t="s">
        <v>444</v>
      </c>
      <c r="V546" s="13" t="s">
        <v>553</v>
      </c>
      <c r="W546" s="14">
        <v>0</v>
      </c>
    </row>
    <row r="547" spans="1:23" x14ac:dyDescent="0.2">
      <c r="A547"/>
      <c r="B547"/>
      <c r="C547"/>
      <c r="D547"/>
      <c r="E547"/>
      <c r="F547"/>
      <c r="G547"/>
      <c r="H547"/>
      <c r="I547"/>
      <c r="J547"/>
      <c r="K547" s="13" t="s">
        <v>34</v>
      </c>
      <c r="L547" s="13" t="s">
        <v>399</v>
      </c>
      <c r="M547" s="13" t="s">
        <v>400</v>
      </c>
      <c r="N547" s="15">
        <v>0</v>
      </c>
      <c r="O547" s="16">
        <v>0</v>
      </c>
      <c r="P547" s="17">
        <v>20.986849999779935</v>
      </c>
      <c r="Q547" s="17">
        <v>0</v>
      </c>
      <c r="R547" s="13"/>
      <c r="S547" s="13" t="s">
        <v>245</v>
      </c>
      <c r="T547" s="13" t="s">
        <v>395</v>
      </c>
      <c r="U547" s="13" t="s">
        <v>602</v>
      </c>
      <c r="V547" s="13" t="s">
        <v>553</v>
      </c>
      <c r="W547" s="14">
        <v>0</v>
      </c>
    </row>
    <row r="548" spans="1:23" x14ac:dyDescent="0.2">
      <c r="A548"/>
      <c r="B548"/>
      <c r="C548"/>
      <c r="D548"/>
      <c r="E548"/>
      <c r="F548"/>
      <c r="G548"/>
      <c r="H548"/>
      <c r="I548"/>
      <c r="J548"/>
      <c r="K548" s="13" t="s">
        <v>34</v>
      </c>
      <c r="L548" s="13" t="s">
        <v>401</v>
      </c>
      <c r="M548" s="13" t="s">
        <v>360</v>
      </c>
      <c r="N548" s="15">
        <v>0</v>
      </c>
      <c r="O548" s="16">
        <v>0</v>
      </c>
      <c r="P548" s="17">
        <v>447.43844999920822</v>
      </c>
      <c r="Q548" s="17">
        <v>0</v>
      </c>
      <c r="R548" s="13"/>
      <c r="S548" s="13" t="s">
        <v>245</v>
      </c>
      <c r="T548" s="13" t="s">
        <v>396</v>
      </c>
      <c r="U548" s="13" t="s">
        <v>604</v>
      </c>
      <c r="V548" s="13" t="s">
        <v>549</v>
      </c>
      <c r="W548" s="14">
        <v>1.5</v>
      </c>
    </row>
    <row r="549" spans="1:23" x14ac:dyDescent="0.2">
      <c r="A549"/>
      <c r="B549"/>
      <c r="C549"/>
      <c r="D549"/>
      <c r="E549"/>
      <c r="F549"/>
      <c r="G549"/>
      <c r="H549"/>
      <c r="I549"/>
      <c r="J549"/>
      <c r="K549" s="13" t="s">
        <v>34</v>
      </c>
      <c r="L549" s="13" t="s">
        <v>402</v>
      </c>
      <c r="M549" s="13" t="s">
        <v>403</v>
      </c>
      <c r="N549" s="15">
        <v>0</v>
      </c>
      <c r="O549" s="16">
        <v>0</v>
      </c>
      <c r="P549" s="17">
        <v>1027.7692999366648</v>
      </c>
      <c r="Q549" s="17">
        <v>0</v>
      </c>
      <c r="R549" s="13"/>
      <c r="S549" s="13" t="s">
        <v>245</v>
      </c>
      <c r="T549" s="13" t="s">
        <v>404</v>
      </c>
      <c r="U549" s="13" t="s">
        <v>405</v>
      </c>
      <c r="V549" s="13" t="s">
        <v>549</v>
      </c>
      <c r="W549" s="14">
        <v>1</v>
      </c>
    </row>
    <row r="550" spans="1:23" x14ac:dyDescent="0.2">
      <c r="A550"/>
      <c r="B550"/>
      <c r="C550"/>
      <c r="D550"/>
      <c r="E550"/>
      <c r="F550"/>
      <c r="G550"/>
      <c r="H550"/>
      <c r="I550"/>
      <c r="J550"/>
      <c r="K550" s="13" t="s">
        <v>34</v>
      </c>
      <c r="L550" s="13" t="s">
        <v>448</v>
      </c>
      <c r="M550" s="13" t="s">
        <v>366</v>
      </c>
      <c r="N550" s="15">
        <v>0</v>
      </c>
      <c r="O550" s="16">
        <v>0</v>
      </c>
      <c r="P550" s="17">
        <v>108.34810000481315</v>
      </c>
      <c r="Q550" s="17">
        <v>0</v>
      </c>
      <c r="R550" s="13"/>
      <c r="S550" s="13" t="s">
        <v>245</v>
      </c>
      <c r="T550" s="13" t="s">
        <v>404</v>
      </c>
      <c r="U550" s="13" t="s">
        <v>405</v>
      </c>
      <c r="V550" s="13" t="s">
        <v>550</v>
      </c>
      <c r="W550" s="14">
        <v>1</v>
      </c>
    </row>
    <row r="551" spans="1:23" x14ac:dyDescent="0.2">
      <c r="A551"/>
      <c r="B551"/>
      <c r="C551"/>
      <c r="D551"/>
      <c r="E551"/>
      <c r="F551"/>
      <c r="G551"/>
      <c r="H551"/>
      <c r="I551"/>
      <c r="J551"/>
      <c r="K551" s="13" t="s">
        <v>34</v>
      </c>
      <c r="L551" s="13" t="s">
        <v>462</v>
      </c>
      <c r="M551" s="13" t="s">
        <v>370</v>
      </c>
      <c r="N551" s="15">
        <v>0</v>
      </c>
      <c r="O551" s="16">
        <v>0</v>
      </c>
      <c r="P551" s="17">
        <v>115.41496842679872</v>
      </c>
      <c r="Q551" s="17">
        <v>0</v>
      </c>
      <c r="R551" s="13"/>
      <c r="S551" s="13" t="s">
        <v>245</v>
      </c>
      <c r="T551" s="13" t="s">
        <v>404</v>
      </c>
      <c r="U551" s="13" t="s">
        <v>405</v>
      </c>
      <c r="V551" s="13" t="s">
        <v>551</v>
      </c>
      <c r="W551" s="14">
        <v>1.5</v>
      </c>
    </row>
    <row r="552" spans="1:23" x14ac:dyDescent="0.2">
      <c r="A552"/>
      <c r="B552"/>
      <c r="C552"/>
      <c r="D552"/>
      <c r="E552"/>
      <c r="F552"/>
      <c r="G552"/>
      <c r="H552"/>
      <c r="I552"/>
      <c r="J552"/>
      <c r="K552" s="13" t="s">
        <v>34</v>
      </c>
      <c r="L552" s="13" t="s">
        <v>451</v>
      </c>
      <c r="M552" s="13" t="s">
        <v>369</v>
      </c>
      <c r="N552" s="15">
        <v>0</v>
      </c>
      <c r="O552" s="16">
        <v>0</v>
      </c>
      <c r="P552" s="17">
        <v>1801.1681183599237</v>
      </c>
      <c r="Q552" s="17">
        <v>0</v>
      </c>
      <c r="R552" s="13"/>
      <c r="S552" s="13" t="s">
        <v>245</v>
      </c>
      <c r="T552" s="13" t="s">
        <v>622</v>
      </c>
      <c r="U552" s="13" t="s">
        <v>524</v>
      </c>
      <c r="V552" s="13" t="s">
        <v>549</v>
      </c>
      <c r="W552" s="14">
        <v>0</v>
      </c>
    </row>
    <row r="553" spans="1:23" x14ac:dyDescent="0.2">
      <c r="A553"/>
      <c r="B553"/>
      <c r="C553"/>
      <c r="D553"/>
      <c r="E553"/>
      <c r="F553"/>
      <c r="G553"/>
      <c r="H553"/>
      <c r="I553"/>
      <c r="J553"/>
      <c r="K553" s="13" t="s">
        <v>34</v>
      </c>
      <c r="L553" s="13" t="s">
        <v>381</v>
      </c>
      <c r="M553" s="13" t="s">
        <v>382</v>
      </c>
      <c r="N553" s="15">
        <v>42</v>
      </c>
      <c r="O553" s="16">
        <v>0</v>
      </c>
      <c r="P553" s="17">
        <v>0</v>
      </c>
      <c r="Q553" s="17">
        <v>0</v>
      </c>
      <c r="R553" s="13"/>
      <c r="S553" s="13" t="s">
        <v>245</v>
      </c>
      <c r="T553" s="13" t="s">
        <v>528</v>
      </c>
      <c r="U553" s="13" t="s">
        <v>384</v>
      </c>
      <c r="V553" s="13" t="s">
        <v>553</v>
      </c>
      <c r="W553" s="14">
        <v>0</v>
      </c>
    </row>
    <row r="554" spans="1:23" x14ac:dyDescent="0.2">
      <c r="A554"/>
      <c r="B554"/>
      <c r="C554"/>
      <c r="D554"/>
      <c r="E554"/>
      <c r="F554"/>
      <c r="G554"/>
      <c r="H554"/>
      <c r="I554"/>
      <c r="J554"/>
      <c r="K554" s="13" t="s">
        <v>34</v>
      </c>
      <c r="L554" s="13" t="s">
        <v>411</v>
      </c>
      <c r="M554" s="13" t="s">
        <v>362</v>
      </c>
      <c r="N554" s="15">
        <v>0</v>
      </c>
      <c r="O554" s="16">
        <v>0</v>
      </c>
      <c r="P554" s="17">
        <v>5.7733999977339066</v>
      </c>
      <c r="Q554" s="17">
        <v>0</v>
      </c>
      <c r="R554" s="13"/>
      <c r="S554" s="13" t="s">
        <v>245</v>
      </c>
      <c r="T554" s="13" t="s">
        <v>613</v>
      </c>
      <c r="U554" s="13" t="s">
        <v>444</v>
      </c>
      <c r="V554" s="13" t="s">
        <v>549</v>
      </c>
      <c r="W554" s="14">
        <v>0</v>
      </c>
    </row>
    <row r="555" spans="1:23" x14ac:dyDescent="0.2">
      <c r="A555"/>
      <c r="B555"/>
      <c r="C555"/>
      <c r="D555"/>
      <c r="E555"/>
      <c r="F555"/>
      <c r="G555"/>
      <c r="H555"/>
      <c r="I555"/>
      <c r="J555"/>
      <c r="K555" s="13" t="s">
        <v>34</v>
      </c>
      <c r="L555" s="13" t="s">
        <v>411</v>
      </c>
      <c r="M555" s="13" t="s">
        <v>362</v>
      </c>
      <c r="N555" s="15">
        <v>1</v>
      </c>
      <c r="O555" s="16">
        <v>0</v>
      </c>
      <c r="P555" s="17">
        <v>0</v>
      </c>
      <c r="Q555" s="17">
        <v>0</v>
      </c>
      <c r="R555" s="13"/>
      <c r="S555" s="13" t="s">
        <v>245</v>
      </c>
      <c r="T555" s="13" t="s">
        <v>613</v>
      </c>
      <c r="U555" s="13" t="s">
        <v>444</v>
      </c>
      <c r="V555" s="13" t="s">
        <v>551</v>
      </c>
      <c r="W555" s="14">
        <v>0</v>
      </c>
    </row>
    <row r="556" spans="1:23" x14ac:dyDescent="0.2">
      <c r="A556"/>
      <c r="B556"/>
      <c r="C556"/>
      <c r="D556"/>
      <c r="E556"/>
      <c r="F556"/>
      <c r="G556"/>
      <c r="H556"/>
      <c r="I556"/>
      <c r="J556"/>
      <c r="K556" s="13" t="s">
        <v>34</v>
      </c>
      <c r="L556" s="13" t="s">
        <v>413</v>
      </c>
      <c r="M556" s="13" t="s">
        <v>428</v>
      </c>
      <c r="N556" s="15">
        <v>1</v>
      </c>
      <c r="O556" s="16">
        <v>0</v>
      </c>
      <c r="P556" s="17">
        <v>0</v>
      </c>
      <c r="Q556" s="17">
        <v>0</v>
      </c>
      <c r="R556" s="13"/>
      <c r="S556" s="13" t="s">
        <v>245</v>
      </c>
      <c r="T556" s="13" t="s">
        <v>611</v>
      </c>
      <c r="U556" s="13" t="s">
        <v>423</v>
      </c>
      <c r="V556" s="13" t="s">
        <v>549</v>
      </c>
      <c r="W556" s="14">
        <v>0</v>
      </c>
    </row>
    <row r="557" spans="1:23" x14ac:dyDescent="0.2">
      <c r="A557"/>
      <c r="B557"/>
      <c r="C557"/>
      <c r="D557"/>
      <c r="E557"/>
      <c r="F557"/>
      <c r="G557"/>
      <c r="H557"/>
      <c r="I557"/>
      <c r="J557"/>
      <c r="K557" s="13" t="s">
        <v>34</v>
      </c>
      <c r="L557" s="13" t="s">
        <v>608</v>
      </c>
      <c r="M557" s="13" t="s">
        <v>432</v>
      </c>
      <c r="N557" s="15">
        <v>10</v>
      </c>
      <c r="O557" s="16">
        <v>0</v>
      </c>
      <c r="P557" s="17">
        <v>0</v>
      </c>
      <c r="Q557" s="17">
        <v>0</v>
      </c>
      <c r="R557" s="13"/>
      <c r="S557" s="13" t="s">
        <v>247</v>
      </c>
      <c r="T557" s="13" t="s">
        <v>395</v>
      </c>
      <c r="U557" s="13" t="s">
        <v>602</v>
      </c>
      <c r="V557" s="13" t="s">
        <v>553</v>
      </c>
      <c r="W557" s="14">
        <v>0</v>
      </c>
    </row>
    <row r="558" spans="1:23" x14ac:dyDescent="0.2">
      <c r="A558"/>
      <c r="B558"/>
      <c r="C558"/>
      <c r="D558"/>
      <c r="E558"/>
      <c r="F558"/>
      <c r="G558"/>
      <c r="H558"/>
      <c r="I558"/>
      <c r="J558"/>
      <c r="K558" s="13" t="s">
        <v>34</v>
      </c>
      <c r="L558" s="13" t="s">
        <v>419</v>
      </c>
      <c r="M558" s="13" t="s">
        <v>442</v>
      </c>
      <c r="N558" s="15">
        <v>0</v>
      </c>
      <c r="O558" s="16">
        <v>369.05087523970042</v>
      </c>
      <c r="P558" s="17">
        <v>0</v>
      </c>
      <c r="Q558" s="17">
        <v>0</v>
      </c>
      <c r="R558" s="13"/>
      <c r="S558" s="13" t="s">
        <v>247</v>
      </c>
      <c r="T558" s="13" t="s">
        <v>404</v>
      </c>
      <c r="U558" s="13" t="s">
        <v>405</v>
      </c>
      <c r="V558" s="13" t="s">
        <v>549</v>
      </c>
      <c r="W558" s="14">
        <v>1</v>
      </c>
    </row>
    <row r="559" spans="1:23" x14ac:dyDescent="0.2">
      <c r="A559"/>
      <c r="B559"/>
      <c r="C559"/>
      <c r="D559"/>
      <c r="E559"/>
      <c r="F559"/>
      <c r="G559"/>
      <c r="H559"/>
      <c r="I559"/>
      <c r="J559"/>
      <c r="K559" s="13" t="s">
        <v>34</v>
      </c>
      <c r="L559" s="13" t="s">
        <v>383</v>
      </c>
      <c r="M559" s="13" t="s">
        <v>420</v>
      </c>
      <c r="N559" s="15">
        <v>2</v>
      </c>
      <c r="O559" s="16">
        <v>0</v>
      </c>
      <c r="P559" s="17">
        <v>0</v>
      </c>
      <c r="Q559" s="17">
        <v>0</v>
      </c>
      <c r="R559" s="13"/>
      <c r="S559" s="13" t="s">
        <v>247</v>
      </c>
      <c r="T559" s="13" t="s">
        <v>404</v>
      </c>
      <c r="U559" s="13" t="s">
        <v>405</v>
      </c>
      <c r="V559" s="13" t="s">
        <v>553</v>
      </c>
      <c r="W559" s="14">
        <v>1.5</v>
      </c>
    </row>
    <row r="560" spans="1:23" x14ac:dyDescent="0.2">
      <c r="A560"/>
      <c r="B560"/>
      <c r="C560"/>
      <c r="D560"/>
      <c r="E560"/>
      <c r="F560"/>
      <c r="G560"/>
      <c r="H560"/>
      <c r="I560"/>
      <c r="J560"/>
      <c r="K560" s="13" t="s">
        <v>34</v>
      </c>
      <c r="L560" s="13" t="s">
        <v>467</v>
      </c>
      <c r="M560" s="13" t="s">
        <v>422</v>
      </c>
      <c r="N560" s="15">
        <v>0</v>
      </c>
      <c r="O560" s="16">
        <v>3.0761176821665641</v>
      </c>
      <c r="P560" s="17">
        <v>0</v>
      </c>
      <c r="Q560" s="17">
        <v>0</v>
      </c>
      <c r="R560" s="13"/>
      <c r="S560" s="13" t="s">
        <v>247</v>
      </c>
      <c r="T560" s="13" t="s">
        <v>404</v>
      </c>
      <c r="U560" s="13" t="s">
        <v>405</v>
      </c>
      <c r="V560" s="13" t="s">
        <v>550</v>
      </c>
      <c r="W560" s="14">
        <v>1.5</v>
      </c>
    </row>
    <row r="561" spans="1:23" x14ac:dyDescent="0.2">
      <c r="A561"/>
      <c r="B561"/>
      <c r="C561"/>
      <c r="D561"/>
      <c r="E561"/>
      <c r="F561"/>
      <c r="G561"/>
      <c r="H561"/>
      <c r="I561"/>
      <c r="J561"/>
      <c r="K561" s="13" t="s">
        <v>34</v>
      </c>
      <c r="L561" s="13" t="s">
        <v>614</v>
      </c>
      <c r="M561" s="13" t="s">
        <v>447</v>
      </c>
      <c r="N561" s="15">
        <v>1</v>
      </c>
      <c r="O561" s="16">
        <v>0</v>
      </c>
      <c r="P561" s="17">
        <v>0</v>
      </c>
      <c r="Q561" s="17">
        <v>0</v>
      </c>
      <c r="R561" s="13"/>
      <c r="S561" s="13" t="s">
        <v>247</v>
      </c>
      <c r="T561" s="13" t="s">
        <v>406</v>
      </c>
      <c r="U561" s="13" t="s">
        <v>361</v>
      </c>
      <c r="V561" s="13" t="s">
        <v>549</v>
      </c>
      <c r="W561" s="14">
        <v>1</v>
      </c>
    </row>
    <row r="562" spans="1:23" x14ac:dyDescent="0.2">
      <c r="A562"/>
      <c r="B562"/>
      <c r="C562"/>
      <c r="D562"/>
      <c r="E562"/>
      <c r="F562"/>
      <c r="G562"/>
      <c r="H562"/>
      <c r="I562"/>
      <c r="J562"/>
      <c r="K562" s="13" t="s">
        <v>34</v>
      </c>
      <c r="L562" s="13" t="s">
        <v>458</v>
      </c>
      <c r="M562" s="13" t="s">
        <v>459</v>
      </c>
      <c r="N562" s="15">
        <v>0</v>
      </c>
      <c r="O562" s="16">
        <v>0</v>
      </c>
      <c r="P562" s="17">
        <v>7768.4277498443889</v>
      </c>
      <c r="Q562" s="17">
        <v>0</v>
      </c>
      <c r="R562" s="13"/>
      <c r="S562" s="13" t="s">
        <v>247</v>
      </c>
      <c r="T562" s="13" t="s">
        <v>419</v>
      </c>
      <c r="U562" s="13" t="s">
        <v>442</v>
      </c>
      <c r="V562" s="13" t="s">
        <v>549</v>
      </c>
      <c r="W562" s="14">
        <v>0</v>
      </c>
    </row>
    <row r="563" spans="1:23" x14ac:dyDescent="0.2">
      <c r="A563"/>
      <c r="B563"/>
      <c r="C563"/>
      <c r="D563"/>
      <c r="E563"/>
      <c r="F563"/>
      <c r="G563"/>
      <c r="H563"/>
      <c r="I563"/>
      <c r="J563"/>
      <c r="K563" s="13" t="s">
        <v>35</v>
      </c>
      <c r="L563" s="13" t="s">
        <v>391</v>
      </c>
      <c r="M563" s="13" t="s">
        <v>358</v>
      </c>
      <c r="N563" s="15">
        <v>0</v>
      </c>
      <c r="O563" s="16">
        <v>0</v>
      </c>
      <c r="P563" s="17">
        <v>2952.8050499458232</v>
      </c>
      <c r="Q563" s="17">
        <v>0</v>
      </c>
      <c r="R563" s="13"/>
      <c r="S563" s="13" t="s">
        <v>247</v>
      </c>
      <c r="T563" s="13" t="s">
        <v>622</v>
      </c>
      <c r="U563" s="13" t="s">
        <v>524</v>
      </c>
      <c r="V563" s="13" t="s">
        <v>549</v>
      </c>
      <c r="W563" s="14">
        <v>0</v>
      </c>
    </row>
    <row r="564" spans="1:23" x14ac:dyDescent="0.2">
      <c r="A564"/>
      <c r="B564"/>
      <c r="C564"/>
      <c r="D564"/>
      <c r="E564"/>
      <c r="F564"/>
      <c r="G564"/>
      <c r="H564"/>
      <c r="I564"/>
      <c r="J564"/>
      <c r="K564" s="13" t="s">
        <v>35</v>
      </c>
      <c r="L564" s="13" t="s">
        <v>436</v>
      </c>
      <c r="M564" s="13" t="s">
        <v>487</v>
      </c>
      <c r="N564" s="15">
        <v>0</v>
      </c>
      <c r="O564" s="16">
        <v>0</v>
      </c>
      <c r="P564" s="17">
        <v>37.030549997357227</v>
      </c>
      <c r="Q564" s="17">
        <v>0</v>
      </c>
      <c r="R564" s="13"/>
      <c r="S564" s="13" t="s">
        <v>247</v>
      </c>
      <c r="T564" s="13" t="s">
        <v>528</v>
      </c>
      <c r="U564" s="13" t="s">
        <v>384</v>
      </c>
      <c r="V564" s="13" t="s">
        <v>549</v>
      </c>
      <c r="W564" s="14">
        <v>0</v>
      </c>
    </row>
    <row r="565" spans="1:23" x14ac:dyDescent="0.2">
      <c r="A565"/>
      <c r="B565"/>
      <c r="C565"/>
      <c r="D565"/>
      <c r="E565"/>
      <c r="F565"/>
      <c r="G565"/>
      <c r="H565"/>
      <c r="I565"/>
      <c r="J565"/>
      <c r="K565" s="13" t="s">
        <v>35</v>
      </c>
      <c r="L565" s="13" t="s">
        <v>438</v>
      </c>
      <c r="M565" s="13" t="s">
        <v>461</v>
      </c>
      <c r="N565" s="15">
        <v>0</v>
      </c>
      <c r="O565" s="16">
        <v>0</v>
      </c>
      <c r="P565" s="17">
        <v>186.59629999913977</v>
      </c>
      <c r="Q565" s="17">
        <v>0</v>
      </c>
      <c r="R565" s="13"/>
      <c r="S565" s="13" t="s">
        <v>247</v>
      </c>
      <c r="T565" s="13" t="s">
        <v>528</v>
      </c>
      <c r="U565" s="13" t="s">
        <v>384</v>
      </c>
      <c r="V565" s="13" t="s">
        <v>553</v>
      </c>
      <c r="W565" s="14">
        <v>0</v>
      </c>
    </row>
    <row r="566" spans="1:23" x14ac:dyDescent="0.2">
      <c r="A566"/>
      <c r="B566"/>
      <c r="C566"/>
      <c r="D566"/>
      <c r="E566"/>
      <c r="F566"/>
      <c r="G566"/>
      <c r="H566"/>
      <c r="I566"/>
      <c r="J566"/>
      <c r="K566" s="13" t="s">
        <v>35</v>
      </c>
      <c r="L566" s="13" t="s">
        <v>401</v>
      </c>
      <c r="M566" s="13" t="s">
        <v>360</v>
      </c>
      <c r="N566" s="15">
        <v>0</v>
      </c>
      <c r="O566" s="16">
        <v>0</v>
      </c>
      <c r="P566" s="17">
        <v>4247.3930324606235</v>
      </c>
      <c r="Q566" s="17">
        <v>0</v>
      </c>
      <c r="R566" s="13"/>
      <c r="S566" s="13" t="s">
        <v>247</v>
      </c>
      <c r="T566" s="13" t="s">
        <v>613</v>
      </c>
      <c r="U566" s="13" t="s">
        <v>444</v>
      </c>
      <c r="V566" s="13" t="s">
        <v>549</v>
      </c>
      <c r="W566" s="14">
        <v>0</v>
      </c>
    </row>
    <row r="567" spans="1:23" x14ac:dyDescent="0.2">
      <c r="A567"/>
      <c r="B567"/>
      <c r="C567"/>
      <c r="D567"/>
      <c r="E567"/>
      <c r="F567"/>
      <c r="G567"/>
      <c r="H567"/>
      <c r="I567"/>
      <c r="J567"/>
      <c r="K567" s="13" t="s">
        <v>35</v>
      </c>
      <c r="L567" s="13" t="s">
        <v>402</v>
      </c>
      <c r="M567" s="13" t="s">
        <v>403</v>
      </c>
      <c r="N567" s="15">
        <v>0</v>
      </c>
      <c r="O567" s="16">
        <v>0</v>
      </c>
      <c r="P567" s="17">
        <v>1027.3410999748291</v>
      </c>
      <c r="Q567" s="17">
        <v>0</v>
      </c>
      <c r="R567" s="13"/>
      <c r="S567" s="13" t="s">
        <v>247</v>
      </c>
      <c r="T567" s="13" t="s">
        <v>613</v>
      </c>
      <c r="U567" s="13" t="s">
        <v>444</v>
      </c>
      <c r="V567" s="13" t="s">
        <v>553</v>
      </c>
      <c r="W567" s="14">
        <v>0</v>
      </c>
    </row>
    <row r="568" spans="1:23" x14ac:dyDescent="0.2">
      <c r="A568"/>
      <c r="B568"/>
      <c r="C568"/>
      <c r="D568"/>
      <c r="E568"/>
      <c r="F568"/>
      <c r="G568"/>
      <c r="H568"/>
      <c r="I568"/>
      <c r="J568"/>
      <c r="K568" s="13" t="s">
        <v>35</v>
      </c>
      <c r="L568" s="13" t="s">
        <v>448</v>
      </c>
      <c r="M568" s="13" t="s">
        <v>366</v>
      </c>
      <c r="N568" s="15">
        <v>0</v>
      </c>
      <c r="O568" s="16">
        <v>0</v>
      </c>
      <c r="P568" s="17">
        <v>8607.0033498452631</v>
      </c>
      <c r="Q568" s="17">
        <v>0</v>
      </c>
      <c r="R568" s="13"/>
      <c r="S568" s="13" t="s">
        <v>247</v>
      </c>
      <c r="T568" s="13" t="s">
        <v>611</v>
      </c>
      <c r="U568" s="13" t="s">
        <v>423</v>
      </c>
      <c r="V568" s="13" t="s">
        <v>549</v>
      </c>
      <c r="W568" s="14">
        <v>0</v>
      </c>
    </row>
    <row r="569" spans="1:23" x14ac:dyDescent="0.2">
      <c r="A569"/>
      <c r="B569"/>
      <c r="C569"/>
      <c r="D569"/>
      <c r="E569"/>
      <c r="F569"/>
      <c r="G569"/>
      <c r="H569"/>
      <c r="I569"/>
      <c r="J569"/>
      <c r="K569" s="13" t="s">
        <v>35</v>
      </c>
      <c r="L569" s="13" t="s">
        <v>488</v>
      </c>
      <c r="M569" s="13" t="s">
        <v>489</v>
      </c>
      <c r="N569" s="15">
        <v>0</v>
      </c>
      <c r="O569" s="16">
        <v>0</v>
      </c>
      <c r="P569" s="17">
        <v>3151.4826349911791</v>
      </c>
      <c r="Q569" s="17">
        <v>0</v>
      </c>
      <c r="R569" s="13"/>
      <c r="S569" s="13" t="s">
        <v>249</v>
      </c>
      <c r="T569" s="13" t="s">
        <v>404</v>
      </c>
      <c r="U569" s="13" t="s">
        <v>405</v>
      </c>
      <c r="V569" s="13" t="s">
        <v>549</v>
      </c>
      <c r="W569" s="14">
        <v>1.5</v>
      </c>
    </row>
    <row r="570" spans="1:23" x14ac:dyDescent="0.2">
      <c r="A570"/>
      <c r="B570"/>
      <c r="C570"/>
      <c r="D570"/>
      <c r="E570"/>
      <c r="F570"/>
      <c r="G570"/>
      <c r="H570"/>
      <c r="I570"/>
      <c r="J570"/>
      <c r="K570" s="13" t="s">
        <v>35</v>
      </c>
      <c r="L570" s="13" t="s">
        <v>462</v>
      </c>
      <c r="M570" s="13" t="s">
        <v>370</v>
      </c>
      <c r="N570" s="15">
        <v>0</v>
      </c>
      <c r="O570" s="16">
        <v>0</v>
      </c>
      <c r="P570" s="17">
        <v>0.39850000116601564</v>
      </c>
      <c r="Q570" s="17">
        <v>0</v>
      </c>
      <c r="R570" s="13"/>
      <c r="S570" s="13" t="s">
        <v>249</v>
      </c>
      <c r="T570" s="13" t="s">
        <v>404</v>
      </c>
      <c r="U570" s="13" t="s">
        <v>405</v>
      </c>
      <c r="V570" s="13" t="s">
        <v>553</v>
      </c>
      <c r="W570" s="14">
        <v>1.2</v>
      </c>
    </row>
    <row r="571" spans="1:23" x14ac:dyDescent="0.2">
      <c r="A571"/>
      <c r="B571"/>
      <c r="C571"/>
      <c r="D571"/>
      <c r="E571"/>
      <c r="F571"/>
      <c r="G571"/>
      <c r="H571"/>
      <c r="I571"/>
      <c r="J571"/>
      <c r="K571" s="13" t="s">
        <v>35</v>
      </c>
      <c r="L571" s="13" t="s">
        <v>490</v>
      </c>
      <c r="M571" s="13" t="s">
        <v>491</v>
      </c>
      <c r="N571" s="15">
        <v>0</v>
      </c>
      <c r="O571" s="16">
        <v>0</v>
      </c>
      <c r="P571" s="17">
        <v>15622.198905918129</v>
      </c>
      <c r="Q571" s="17">
        <v>0</v>
      </c>
      <c r="R571" s="13"/>
      <c r="S571" s="13" t="s">
        <v>249</v>
      </c>
      <c r="T571" s="13" t="s">
        <v>404</v>
      </c>
      <c r="U571" s="13" t="s">
        <v>405</v>
      </c>
      <c r="V571" s="13" t="s">
        <v>550</v>
      </c>
      <c r="W571" s="14">
        <v>1.5</v>
      </c>
    </row>
    <row r="572" spans="1:23" x14ac:dyDescent="0.2">
      <c r="A572"/>
      <c r="B572"/>
      <c r="C572"/>
      <c r="D572"/>
      <c r="E572"/>
      <c r="F572"/>
      <c r="G572"/>
      <c r="H572"/>
      <c r="I572"/>
      <c r="J572"/>
      <c r="K572" s="13" t="s">
        <v>35</v>
      </c>
      <c r="L572" s="13" t="s">
        <v>629</v>
      </c>
      <c r="M572" s="13" t="s">
        <v>630</v>
      </c>
      <c r="N572" s="15">
        <v>0</v>
      </c>
      <c r="O572" s="16">
        <v>0</v>
      </c>
      <c r="P572" s="17">
        <v>27.103446641022906</v>
      </c>
      <c r="Q572" s="17">
        <v>103.97832523436469</v>
      </c>
      <c r="R572" s="13"/>
      <c r="S572" s="13" t="s">
        <v>249</v>
      </c>
      <c r="T572" s="13" t="s">
        <v>404</v>
      </c>
      <c r="U572" s="13" t="s">
        <v>405</v>
      </c>
      <c r="V572" s="13" t="s">
        <v>551</v>
      </c>
      <c r="W572" s="14">
        <v>1.8</v>
      </c>
    </row>
    <row r="573" spans="1:23" x14ac:dyDescent="0.2">
      <c r="A573"/>
      <c r="B573"/>
      <c r="C573"/>
      <c r="D573"/>
      <c r="E573"/>
      <c r="F573"/>
      <c r="G573"/>
      <c r="H573"/>
      <c r="I573"/>
      <c r="J573"/>
      <c r="K573" s="13" t="s">
        <v>35</v>
      </c>
      <c r="L573" s="13" t="s">
        <v>451</v>
      </c>
      <c r="M573" s="13" t="s">
        <v>369</v>
      </c>
      <c r="N573" s="15">
        <v>0</v>
      </c>
      <c r="O573" s="16">
        <v>0</v>
      </c>
      <c r="P573" s="17">
        <v>35899.499269771353</v>
      </c>
      <c r="Q573" s="17">
        <v>0</v>
      </c>
      <c r="R573" s="13"/>
      <c r="S573" s="13" t="s">
        <v>249</v>
      </c>
      <c r="T573" s="13" t="s">
        <v>404</v>
      </c>
      <c r="U573" s="13" t="s">
        <v>405</v>
      </c>
      <c r="V573" s="13" t="s">
        <v>552</v>
      </c>
      <c r="W573" s="14">
        <v>1.5</v>
      </c>
    </row>
    <row r="574" spans="1:23" x14ac:dyDescent="0.2">
      <c r="A574"/>
      <c r="B574"/>
      <c r="C574"/>
      <c r="D574"/>
      <c r="E574"/>
      <c r="F574"/>
      <c r="G574"/>
      <c r="H574"/>
      <c r="I574"/>
      <c r="J574"/>
      <c r="K574" s="13" t="s">
        <v>35</v>
      </c>
      <c r="L574" s="13" t="s">
        <v>381</v>
      </c>
      <c r="M574" s="13" t="s">
        <v>382</v>
      </c>
      <c r="N574" s="15">
        <v>27</v>
      </c>
      <c r="O574" s="16">
        <v>0</v>
      </c>
      <c r="P574" s="17">
        <v>0</v>
      </c>
      <c r="Q574" s="17">
        <v>0</v>
      </c>
      <c r="R574" s="13"/>
      <c r="S574" s="13" t="s">
        <v>249</v>
      </c>
      <c r="T574" s="13" t="s">
        <v>404</v>
      </c>
      <c r="U574" s="13" t="s">
        <v>405</v>
      </c>
      <c r="V574" s="13" t="s">
        <v>554</v>
      </c>
      <c r="W574" s="14">
        <v>1.8</v>
      </c>
    </row>
    <row r="575" spans="1:23" x14ac:dyDescent="0.2">
      <c r="A575"/>
      <c r="B575"/>
      <c r="C575"/>
      <c r="D575"/>
      <c r="E575"/>
      <c r="F575"/>
      <c r="G575"/>
      <c r="H575"/>
      <c r="I575"/>
      <c r="J575"/>
      <c r="K575" s="13" t="s">
        <v>35</v>
      </c>
      <c r="L575" s="13" t="s">
        <v>409</v>
      </c>
      <c r="M575" s="13" t="s">
        <v>410</v>
      </c>
      <c r="N575" s="15">
        <v>3</v>
      </c>
      <c r="O575" s="16">
        <v>0</v>
      </c>
      <c r="P575" s="17">
        <v>0</v>
      </c>
      <c r="Q575" s="17">
        <v>0</v>
      </c>
      <c r="R575" s="13"/>
      <c r="S575" s="13" t="s">
        <v>249</v>
      </c>
      <c r="T575" s="13" t="s">
        <v>406</v>
      </c>
      <c r="U575" s="13" t="s">
        <v>361</v>
      </c>
      <c r="V575" s="13" t="s">
        <v>549</v>
      </c>
      <c r="W575" s="14">
        <v>0</v>
      </c>
    </row>
    <row r="576" spans="1:23" x14ac:dyDescent="0.2">
      <c r="A576"/>
      <c r="B576"/>
      <c r="C576"/>
      <c r="D576"/>
      <c r="E576"/>
      <c r="F576"/>
      <c r="G576"/>
      <c r="H576"/>
      <c r="I576"/>
      <c r="J576"/>
      <c r="K576" s="13" t="s">
        <v>35</v>
      </c>
      <c r="L576" s="13" t="s">
        <v>411</v>
      </c>
      <c r="M576" s="13" t="s">
        <v>362</v>
      </c>
      <c r="N576" s="15">
        <v>0</v>
      </c>
      <c r="O576" s="16">
        <v>0</v>
      </c>
      <c r="P576" s="17">
        <v>25.861799997005658</v>
      </c>
      <c r="Q576" s="17">
        <v>0</v>
      </c>
      <c r="R576" s="13"/>
      <c r="S576" s="13" t="s">
        <v>249</v>
      </c>
      <c r="T576" s="13" t="s">
        <v>528</v>
      </c>
      <c r="U576" s="13" t="s">
        <v>384</v>
      </c>
      <c r="V576" s="13" t="s">
        <v>549</v>
      </c>
      <c r="W576" s="14">
        <v>0</v>
      </c>
    </row>
    <row r="577" spans="1:23" x14ac:dyDescent="0.2">
      <c r="A577"/>
      <c r="B577"/>
      <c r="C577"/>
      <c r="D577"/>
      <c r="E577"/>
      <c r="F577"/>
      <c r="G577"/>
      <c r="H577"/>
      <c r="I577"/>
      <c r="J577"/>
      <c r="K577" s="13" t="s">
        <v>35</v>
      </c>
      <c r="L577" s="13" t="s">
        <v>413</v>
      </c>
      <c r="M577" s="13" t="s">
        <v>428</v>
      </c>
      <c r="N577" s="15">
        <v>2</v>
      </c>
      <c r="O577" s="16">
        <v>0</v>
      </c>
      <c r="P577" s="17">
        <v>0</v>
      </c>
      <c r="Q577" s="17">
        <v>0</v>
      </c>
      <c r="R577" s="13"/>
      <c r="S577" s="13" t="s">
        <v>249</v>
      </c>
      <c r="T577" s="13" t="s">
        <v>528</v>
      </c>
      <c r="U577" s="13" t="s">
        <v>384</v>
      </c>
      <c r="V577" s="13" t="s">
        <v>553</v>
      </c>
      <c r="W577" s="14">
        <v>0</v>
      </c>
    </row>
    <row r="578" spans="1:23" x14ac:dyDescent="0.2">
      <c r="A578"/>
      <c r="B578"/>
      <c r="C578"/>
      <c r="D578"/>
      <c r="E578"/>
      <c r="F578"/>
      <c r="G578"/>
      <c r="H578"/>
      <c r="I578"/>
      <c r="J578"/>
      <c r="K578" s="13" t="s">
        <v>35</v>
      </c>
      <c r="L578" s="13" t="s">
        <v>475</v>
      </c>
      <c r="M578" s="13" t="s">
        <v>470</v>
      </c>
      <c r="N578" s="15">
        <v>2</v>
      </c>
      <c r="O578" s="16">
        <v>0</v>
      </c>
      <c r="P578" s="17">
        <v>0</v>
      </c>
      <c r="Q578" s="17">
        <v>0</v>
      </c>
      <c r="R578" s="13"/>
      <c r="S578" s="13" t="s">
        <v>249</v>
      </c>
      <c r="T578" s="13" t="s">
        <v>528</v>
      </c>
      <c r="U578" s="13" t="s">
        <v>384</v>
      </c>
      <c r="V578" s="13" t="s">
        <v>550</v>
      </c>
      <c r="W578" s="14">
        <v>0</v>
      </c>
    </row>
    <row r="579" spans="1:23" x14ac:dyDescent="0.2">
      <c r="A579"/>
      <c r="B579"/>
      <c r="C579"/>
      <c r="D579"/>
      <c r="E579"/>
      <c r="F579"/>
      <c r="G579"/>
      <c r="H579"/>
      <c r="I579"/>
      <c r="J579"/>
      <c r="K579" s="13" t="s">
        <v>35</v>
      </c>
      <c r="L579" s="13" t="s">
        <v>606</v>
      </c>
      <c r="M579" s="13" t="s">
        <v>430</v>
      </c>
      <c r="N579" s="15">
        <v>2</v>
      </c>
      <c r="O579" s="16">
        <v>0</v>
      </c>
      <c r="P579" s="17">
        <v>0</v>
      </c>
      <c r="Q579" s="17">
        <v>0</v>
      </c>
      <c r="R579" s="13"/>
      <c r="S579" s="13" t="s">
        <v>249</v>
      </c>
      <c r="T579" s="13" t="s">
        <v>528</v>
      </c>
      <c r="U579" s="13" t="s">
        <v>384</v>
      </c>
      <c r="V579" s="13" t="s">
        <v>551</v>
      </c>
      <c r="W579" s="14">
        <v>0</v>
      </c>
    </row>
    <row r="580" spans="1:23" x14ac:dyDescent="0.2">
      <c r="A580"/>
      <c r="B580"/>
      <c r="C580"/>
      <c r="D580"/>
      <c r="E580"/>
      <c r="F580"/>
      <c r="G580"/>
      <c r="H580"/>
      <c r="I580"/>
      <c r="J580"/>
      <c r="K580" s="13" t="s">
        <v>35</v>
      </c>
      <c r="L580" s="13" t="s">
        <v>617</v>
      </c>
      <c r="M580" s="13" t="s">
        <v>492</v>
      </c>
      <c r="N580" s="15">
        <v>0</v>
      </c>
      <c r="O580" s="16">
        <v>126.42531503871868</v>
      </c>
      <c r="P580" s="17">
        <v>0</v>
      </c>
      <c r="Q580" s="17">
        <v>0</v>
      </c>
      <c r="R580" s="13"/>
      <c r="S580" s="13" t="s">
        <v>249</v>
      </c>
      <c r="T580" s="13" t="s">
        <v>613</v>
      </c>
      <c r="U580" s="13" t="s">
        <v>444</v>
      </c>
      <c r="V580" s="13" t="s">
        <v>549</v>
      </c>
      <c r="W580" s="14">
        <v>0</v>
      </c>
    </row>
    <row r="581" spans="1:23" x14ac:dyDescent="0.2">
      <c r="A581"/>
      <c r="B581"/>
      <c r="C581"/>
      <c r="D581"/>
      <c r="E581"/>
      <c r="F581"/>
      <c r="G581"/>
      <c r="H581"/>
      <c r="I581"/>
      <c r="J581"/>
      <c r="K581" s="13" t="s">
        <v>35</v>
      </c>
      <c r="L581" s="13" t="s">
        <v>417</v>
      </c>
      <c r="M581" s="13" t="s">
        <v>414</v>
      </c>
      <c r="N581" s="15">
        <v>0</v>
      </c>
      <c r="O581" s="16">
        <v>0</v>
      </c>
      <c r="P581" s="17">
        <v>14.284599999819394</v>
      </c>
      <c r="Q581" s="17">
        <v>0</v>
      </c>
      <c r="R581" s="13"/>
      <c r="S581" s="13" t="s">
        <v>249</v>
      </c>
      <c r="T581" s="13" t="s">
        <v>613</v>
      </c>
      <c r="U581" s="13" t="s">
        <v>444</v>
      </c>
      <c r="V581" s="13" t="s">
        <v>553</v>
      </c>
      <c r="W581" s="14">
        <v>0</v>
      </c>
    </row>
    <row r="582" spans="1:23" x14ac:dyDescent="0.2">
      <c r="A582"/>
      <c r="B582"/>
      <c r="C582"/>
      <c r="D582"/>
      <c r="E582"/>
      <c r="F582"/>
      <c r="G582"/>
      <c r="H582"/>
      <c r="I582"/>
      <c r="J582"/>
      <c r="K582" s="13" t="s">
        <v>35</v>
      </c>
      <c r="L582" s="13" t="s">
        <v>421</v>
      </c>
      <c r="M582" s="13" t="s">
        <v>443</v>
      </c>
      <c r="N582" s="15">
        <v>2</v>
      </c>
      <c r="O582" s="16">
        <v>0</v>
      </c>
      <c r="P582" s="17">
        <v>0</v>
      </c>
      <c r="Q582" s="17">
        <v>0</v>
      </c>
      <c r="R582" s="13"/>
      <c r="S582" s="13" t="s">
        <v>249</v>
      </c>
      <c r="T582" s="13" t="s">
        <v>611</v>
      </c>
      <c r="U582" s="13" t="s">
        <v>423</v>
      </c>
      <c r="V582" s="13" t="s">
        <v>549</v>
      </c>
      <c r="W582" s="14">
        <v>0</v>
      </c>
    </row>
    <row r="583" spans="1:23" x14ac:dyDescent="0.2">
      <c r="A583"/>
      <c r="B583"/>
      <c r="C583"/>
      <c r="D583"/>
      <c r="E583"/>
      <c r="F583"/>
      <c r="G583"/>
      <c r="H583"/>
      <c r="I583"/>
      <c r="J583"/>
      <c r="K583" s="13" t="s">
        <v>35</v>
      </c>
      <c r="L583" s="13" t="s">
        <v>467</v>
      </c>
      <c r="M583" s="13" t="s">
        <v>422</v>
      </c>
      <c r="N583" s="15">
        <v>0</v>
      </c>
      <c r="O583" s="16">
        <v>10.773557052434654</v>
      </c>
      <c r="P583" s="17">
        <v>0</v>
      </c>
      <c r="Q583" s="17">
        <v>0</v>
      </c>
      <c r="R583" s="13"/>
      <c r="S583" s="13" t="s">
        <v>251</v>
      </c>
      <c r="T583" s="13" t="s">
        <v>404</v>
      </c>
      <c r="U583" s="13" t="s">
        <v>405</v>
      </c>
      <c r="V583" s="13" t="s">
        <v>549</v>
      </c>
      <c r="W583" s="14">
        <v>1.4</v>
      </c>
    </row>
    <row r="584" spans="1:23" x14ac:dyDescent="0.2">
      <c r="A584"/>
      <c r="B584"/>
      <c r="C584"/>
      <c r="D584"/>
      <c r="E584"/>
      <c r="F584"/>
      <c r="G584"/>
      <c r="H584"/>
      <c r="I584"/>
      <c r="J584"/>
      <c r="K584" s="13" t="s">
        <v>35</v>
      </c>
      <c r="L584" s="13" t="s">
        <v>613</v>
      </c>
      <c r="M584" s="13" t="s">
        <v>444</v>
      </c>
      <c r="N584" s="15">
        <v>0</v>
      </c>
      <c r="O584" s="16">
        <v>20.029636090489724</v>
      </c>
      <c r="P584" s="17">
        <v>0</v>
      </c>
      <c r="Q584" s="17">
        <v>0</v>
      </c>
      <c r="R584" s="13"/>
      <c r="S584" s="13" t="s">
        <v>251</v>
      </c>
      <c r="T584" s="13" t="s">
        <v>404</v>
      </c>
      <c r="U584" s="13" t="s">
        <v>405</v>
      </c>
      <c r="V584" s="13" t="s">
        <v>549</v>
      </c>
      <c r="W584" s="14">
        <v>1</v>
      </c>
    </row>
    <row r="585" spans="1:23" x14ac:dyDescent="0.2">
      <c r="A585"/>
      <c r="B585"/>
      <c r="C585"/>
      <c r="D585"/>
      <c r="E585"/>
      <c r="F585"/>
      <c r="G585"/>
      <c r="H585"/>
      <c r="I585"/>
      <c r="J585"/>
      <c r="K585" s="13" t="s">
        <v>35</v>
      </c>
      <c r="L585" s="13" t="s">
        <v>614</v>
      </c>
      <c r="M585" s="13" t="s">
        <v>447</v>
      </c>
      <c r="N585" s="15">
        <v>3</v>
      </c>
      <c r="O585" s="16">
        <v>0</v>
      </c>
      <c r="P585" s="17">
        <v>0</v>
      </c>
      <c r="Q585" s="17">
        <v>0</v>
      </c>
      <c r="R585" s="13"/>
      <c r="S585" s="13" t="s">
        <v>251</v>
      </c>
      <c r="T585" s="13" t="s">
        <v>404</v>
      </c>
      <c r="U585" s="13" t="s">
        <v>405</v>
      </c>
      <c r="V585" s="13" t="s">
        <v>549</v>
      </c>
      <c r="W585" s="14">
        <v>1.2</v>
      </c>
    </row>
    <row r="586" spans="1:23" x14ac:dyDescent="0.2">
      <c r="A586"/>
      <c r="B586"/>
      <c r="C586"/>
      <c r="D586"/>
      <c r="E586"/>
      <c r="F586"/>
      <c r="G586"/>
      <c r="H586"/>
      <c r="I586"/>
      <c r="J586"/>
      <c r="K586" s="13" t="s">
        <v>35</v>
      </c>
      <c r="L586" s="13" t="s">
        <v>493</v>
      </c>
      <c r="M586" s="13" t="s">
        <v>494</v>
      </c>
      <c r="N586" s="15">
        <v>0</v>
      </c>
      <c r="O586" s="16">
        <v>0</v>
      </c>
      <c r="P586" s="17">
        <v>3.5000007166527218E-4</v>
      </c>
      <c r="Q586" s="17">
        <v>0</v>
      </c>
      <c r="R586" s="13"/>
      <c r="S586" s="13" t="s">
        <v>251</v>
      </c>
      <c r="T586" s="13" t="s">
        <v>609</v>
      </c>
      <c r="U586" s="13" t="s">
        <v>416</v>
      </c>
      <c r="V586" s="13" t="s">
        <v>549</v>
      </c>
      <c r="W586" s="14">
        <v>0</v>
      </c>
    </row>
    <row r="587" spans="1:23" x14ac:dyDescent="0.2">
      <c r="A587"/>
      <c r="B587"/>
      <c r="C587"/>
      <c r="D587"/>
      <c r="E587"/>
      <c r="F587"/>
      <c r="G587"/>
      <c r="H587"/>
      <c r="I587"/>
      <c r="J587"/>
      <c r="K587" s="13" t="s">
        <v>35</v>
      </c>
      <c r="L587" s="13" t="s">
        <v>464</v>
      </c>
      <c r="M587" s="13" t="s">
        <v>373</v>
      </c>
      <c r="N587" s="15">
        <v>0</v>
      </c>
      <c r="O587" s="16">
        <v>638.80156509259621</v>
      </c>
      <c r="P587" s="17">
        <v>0</v>
      </c>
      <c r="Q587" s="17">
        <v>0</v>
      </c>
      <c r="R587" s="13"/>
      <c r="S587" s="13" t="s">
        <v>251</v>
      </c>
      <c r="T587" s="13" t="s">
        <v>528</v>
      </c>
      <c r="U587" s="13" t="s">
        <v>384</v>
      </c>
      <c r="V587" s="13" t="s">
        <v>549</v>
      </c>
      <c r="W587" s="14">
        <v>0</v>
      </c>
    </row>
    <row r="588" spans="1:23" x14ac:dyDescent="0.2">
      <c r="A588"/>
      <c r="B588"/>
      <c r="C588"/>
      <c r="D588"/>
      <c r="E588"/>
      <c r="F588"/>
      <c r="G588"/>
      <c r="H588"/>
      <c r="I588"/>
      <c r="J588"/>
      <c r="K588" s="13" t="s">
        <v>35</v>
      </c>
      <c r="L588" s="13" t="s">
        <v>495</v>
      </c>
      <c r="M588" s="13" t="s">
        <v>496</v>
      </c>
      <c r="N588" s="15">
        <v>0</v>
      </c>
      <c r="O588" s="16">
        <v>0</v>
      </c>
      <c r="P588" s="17">
        <v>3198.1891999284062</v>
      </c>
      <c r="Q588" s="17">
        <v>0</v>
      </c>
      <c r="R588" s="13"/>
      <c r="S588" s="13" t="s">
        <v>253</v>
      </c>
      <c r="T588" s="13" t="s">
        <v>395</v>
      </c>
      <c r="U588" s="13" t="s">
        <v>602</v>
      </c>
      <c r="V588" s="13" t="s">
        <v>549</v>
      </c>
      <c r="W588" s="14">
        <v>0</v>
      </c>
    </row>
    <row r="589" spans="1:23" x14ac:dyDescent="0.2">
      <c r="A589"/>
      <c r="B589"/>
      <c r="C589"/>
      <c r="D589"/>
      <c r="E589"/>
      <c r="F589"/>
      <c r="G589"/>
      <c r="H589"/>
      <c r="I589"/>
      <c r="J589"/>
      <c r="K589" s="13" t="s">
        <v>36</v>
      </c>
      <c r="L589" s="13" t="s">
        <v>387</v>
      </c>
      <c r="M589" s="13" t="s">
        <v>386</v>
      </c>
      <c r="N589" s="15">
        <v>0</v>
      </c>
      <c r="O589" s="16">
        <v>0</v>
      </c>
      <c r="P589" s="17">
        <v>1826.1349500380236</v>
      </c>
      <c r="Q589" s="17">
        <v>0</v>
      </c>
      <c r="R589" s="13"/>
      <c r="S589" s="13" t="s">
        <v>253</v>
      </c>
      <c r="T589" s="13" t="s">
        <v>396</v>
      </c>
      <c r="U589" s="13" t="s">
        <v>604</v>
      </c>
      <c r="V589" s="13" t="s">
        <v>549</v>
      </c>
      <c r="W589" s="14">
        <v>1.5</v>
      </c>
    </row>
    <row r="590" spans="1:23" x14ac:dyDescent="0.2">
      <c r="A590"/>
      <c r="B590"/>
      <c r="C590"/>
      <c r="D590"/>
      <c r="E590"/>
      <c r="F590"/>
      <c r="G590"/>
      <c r="H590"/>
      <c r="I590"/>
      <c r="J590"/>
      <c r="K590" s="13" t="s">
        <v>36</v>
      </c>
      <c r="L590" s="13" t="s">
        <v>391</v>
      </c>
      <c r="M590" s="13" t="s">
        <v>358</v>
      </c>
      <c r="N590" s="15">
        <v>0</v>
      </c>
      <c r="O590" s="16">
        <v>0</v>
      </c>
      <c r="P590" s="17">
        <v>9494.702038422236</v>
      </c>
      <c r="Q590" s="17">
        <v>0</v>
      </c>
      <c r="R590" s="13"/>
      <c r="S590" s="13" t="s">
        <v>253</v>
      </c>
      <c r="T590" s="13" t="s">
        <v>404</v>
      </c>
      <c r="U590" s="13" t="s">
        <v>405</v>
      </c>
      <c r="V590" s="13" t="s">
        <v>549</v>
      </c>
      <c r="W590" s="14">
        <v>1.2</v>
      </c>
    </row>
    <row r="591" spans="1:23" x14ac:dyDescent="0.2">
      <c r="A591"/>
      <c r="B591"/>
      <c r="C591"/>
      <c r="D591"/>
      <c r="E591"/>
      <c r="F591"/>
      <c r="G591"/>
      <c r="H591"/>
      <c r="I591"/>
      <c r="J591"/>
      <c r="K591" s="13" t="s">
        <v>36</v>
      </c>
      <c r="L591" s="13" t="s">
        <v>401</v>
      </c>
      <c r="M591" s="13" t="s">
        <v>360</v>
      </c>
      <c r="N591" s="15">
        <v>0</v>
      </c>
      <c r="O591" s="16">
        <v>0</v>
      </c>
      <c r="P591" s="17">
        <v>22380.834704088407</v>
      </c>
      <c r="Q591" s="17">
        <v>0</v>
      </c>
      <c r="R591" s="13"/>
      <c r="S591" s="13" t="s">
        <v>253</v>
      </c>
      <c r="T591" s="13" t="s">
        <v>404</v>
      </c>
      <c r="U591" s="13" t="s">
        <v>405</v>
      </c>
      <c r="V591" s="13" t="s">
        <v>553</v>
      </c>
      <c r="W591" s="14">
        <v>2</v>
      </c>
    </row>
    <row r="592" spans="1:23" x14ac:dyDescent="0.2">
      <c r="A592"/>
      <c r="B592"/>
      <c r="C592"/>
      <c r="D592"/>
      <c r="E592"/>
      <c r="F592"/>
      <c r="G592"/>
      <c r="H592"/>
      <c r="I592"/>
      <c r="J592"/>
      <c r="K592" s="13" t="s">
        <v>36</v>
      </c>
      <c r="L592" s="13" t="s">
        <v>402</v>
      </c>
      <c r="M592" s="13" t="s">
        <v>403</v>
      </c>
      <c r="N592" s="15">
        <v>0</v>
      </c>
      <c r="O592" s="16">
        <v>0</v>
      </c>
      <c r="P592" s="17">
        <v>637.51225000521845</v>
      </c>
      <c r="Q592" s="17">
        <v>0</v>
      </c>
      <c r="R592" s="13"/>
      <c r="S592" s="13" t="s">
        <v>253</v>
      </c>
      <c r="T592" s="13" t="s">
        <v>404</v>
      </c>
      <c r="U592" s="13" t="s">
        <v>405</v>
      </c>
      <c r="V592" s="13" t="s">
        <v>550</v>
      </c>
      <c r="W592" s="14">
        <v>1</v>
      </c>
    </row>
    <row r="593" spans="1:23" x14ac:dyDescent="0.2">
      <c r="A593"/>
      <c r="B593"/>
      <c r="C593"/>
      <c r="D593"/>
      <c r="E593"/>
      <c r="F593"/>
      <c r="G593"/>
      <c r="H593"/>
      <c r="I593"/>
      <c r="J593"/>
      <c r="K593" s="13" t="s">
        <v>36</v>
      </c>
      <c r="L593" s="13" t="s">
        <v>448</v>
      </c>
      <c r="M593" s="13" t="s">
        <v>366</v>
      </c>
      <c r="N593" s="15">
        <v>0</v>
      </c>
      <c r="O593" s="16">
        <v>0</v>
      </c>
      <c r="P593" s="17">
        <v>10646.508749935994</v>
      </c>
      <c r="Q593" s="17">
        <v>0</v>
      </c>
      <c r="R593" s="13"/>
      <c r="S593" s="13" t="s">
        <v>253</v>
      </c>
      <c r="T593" s="13" t="s">
        <v>406</v>
      </c>
      <c r="U593" s="13" t="s">
        <v>361</v>
      </c>
      <c r="V593" s="13" t="s">
        <v>549</v>
      </c>
      <c r="W593" s="14">
        <v>1.2</v>
      </c>
    </row>
    <row r="594" spans="1:23" x14ac:dyDescent="0.2">
      <c r="A594"/>
      <c r="B594"/>
      <c r="C594"/>
      <c r="D594"/>
      <c r="E594"/>
      <c r="F594"/>
      <c r="G594"/>
      <c r="H594"/>
      <c r="I594"/>
      <c r="J594"/>
      <c r="K594" s="13" t="s">
        <v>36</v>
      </c>
      <c r="L594" s="13" t="s">
        <v>488</v>
      </c>
      <c r="M594" s="13" t="s">
        <v>489</v>
      </c>
      <c r="N594" s="15">
        <v>0</v>
      </c>
      <c r="O594" s="16">
        <v>0</v>
      </c>
      <c r="P594" s="17">
        <v>14549.013330156418</v>
      </c>
      <c r="Q594" s="17">
        <v>0</v>
      </c>
      <c r="R594" s="13"/>
      <c r="S594" s="13" t="s">
        <v>253</v>
      </c>
      <c r="T594" s="13" t="s">
        <v>406</v>
      </c>
      <c r="U594" s="13" t="s">
        <v>361</v>
      </c>
      <c r="V594" s="13" t="s">
        <v>549</v>
      </c>
      <c r="W594" s="14">
        <v>0</v>
      </c>
    </row>
    <row r="595" spans="1:23" x14ac:dyDescent="0.2">
      <c r="A595"/>
      <c r="B595"/>
      <c r="C595"/>
      <c r="D595"/>
      <c r="E595"/>
      <c r="F595"/>
      <c r="G595"/>
      <c r="H595"/>
      <c r="I595"/>
      <c r="J595"/>
      <c r="K595" s="13" t="s">
        <v>36</v>
      </c>
      <c r="L595" s="13" t="s">
        <v>462</v>
      </c>
      <c r="M595" s="13" t="s">
        <v>370</v>
      </c>
      <c r="N595" s="15">
        <v>0</v>
      </c>
      <c r="O595" s="16">
        <v>0</v>
      </c>
      <c r="P595" s="17">
        <v>5696.471049886828</v>
      </c>
      <c r="Q595" s="17">
        <v>0</v>
      </c>
      <c r="R595" s="13"/>
      <c r="S595" s="13" t="s">
        <v>253</v>
      </c>
      <c r="T595" s="13" t="s">
        <v>609</v>
      </c>
      <c r="U595" s="13" t="s">
        <v>416</v>
      </c>
      <c r="V595" s="13" t="s">
        <v>549</v>
      </c>
      <c r="W595" s="14">
        <v>0</v>
      </c>
    </row>
    <row r="596" spans="1:23" x14ac:dyDescent="0.2">
      <c r="A596"/>
      <c r="B596"/>
      <c r="C596"/>
      <c r="D596"/>
      <c r="E596"/>
      <c r="F596"/>
      <c r="G596"/>
      <c r="H596"/>
      <c r="I596"/>
      <c r="J596"/>
      <c r="K596" s="13" t="s">
        <v>36</v>
      </c>
      <c r="L596" s="13" t="s">
        <v>490</v>
      </c>
      <c r="M596" s="13" t="s">
        <v>491</v>
      </c>
      <c r="N596" s="15">
        <v>0</v>
      </c>
      <c r="O596" s="16">
        <v>0</v>
      </c>
      <c r="P596" s="17">
        <v>33556.767774936314</v>
      </c>
      <c r="Q596" s="17">
        <v>0</v>
      </c>
      <c r="R596" s="13"/>
      <c r="S596" s="13" t="s">
        <v>253</v>
      </c>
      <c r="T596" s="13" t="s">
        <v>528</v>
      </c>
      <c r="U596" s="13" t="s">
        <v>384</v>
      </c>
      <c r="V596" s="13" t="s">
        <v>549</v>
      </c>
      <c r="W596" s="14">
        <v>0</v>
      </c>
    </row>
    <row r="597" spans="1:23" x14ac:dyDescent="0.2">
      <c r="A597"/>
      <c r="B597"/>
      <c r="C597"/>
      <c r="D597"/>
      <c r="E597"/>
      <c r="F597"/>
      <c r="G597"/>
      <c r="H597"/>
      <c r="I597"/>
      <c r="J597"/>
      <c r="K597" s="13" t="s">
        <v>36</v>
      </c>
      <c r="L597" s="13" t="s">
        <v>497</v>
      </c>
      <c r="M597" s="13" t="s">
        <v>375</v>
      </c>
      <c r="N597" s="15">
        <v>0</v>
      </c>
      <c r="O597" s="16">
        <v>0</v>
      </c>
      <c r="P597" s="17">
        <v>72711.143636978726</v>
      </c>
      <c r="Q597" s="17">
        <v>0</v>
      </c>
      <c r="R597" s="13"/>
      <c r="S597" s="13" t="s">
        <v>253</v>
      </c>
      <c r="T597" s="13" t="s">
        <v>528</v>
      </c>
      <c r="U597" s="13" t="s">
        <v>384</v>
      </c>
      <c r="V597" s="13" t="s">
        <v>553</v>
      </c>
      <c r="W597" s="14">
        <v>0</v>
      </c>
    </row>
    <row r="598" spans="1:23" x14ac:dyDescent="0.2">
      <c r="A598"/>
      <c r="B598"/>
      <c r="C598"/>
      <c r="D598"/>
      <c r="E598"/>
      <c r="F598"/>
      <c r="G598"/>
      <c r="H598"/>
      <c r="I598"/>
      <c r="J598"/>
      <c r="K598" s="13" t="s">
        <v>36</v>
      </c>
      <c r="L598" s="13" t="s">
        <v>498</v>
      </c>
      <c r="M598" s="13" t="s">
        <v>499</v>
      </c>
      <c r="N598" s="15">
        <v>0</v>
      </c>
      <c r="O598" s="16">
        <v>0</v>
      </c>
      <c r="P598" s="17">
        <v>10875.363033272759</v>
      </c>
      <c r="Q598" s="17">
        <v>0</v>
      </c>
      <c r="R598" s="13"/>
      <c r="S598" s="13" t="s">
        <v>253</v>
      </c>
      <c r="T598" s="13" t="s">
        <v>613</v>
      </c>
      <c r="U598" s="13" t="s">
        <v>444</v>
      </c>
      <c r="V598" s="13" t="s">
        <v>549</v>
      </c>
      <c r="W598" s="14">
        <v>0</v>
      </c>
    </row>
    <row r="599" spans="1:23" x14ac:dyDescent="0.2">
      <c r="A599"/>
      <c r="B599"/>
      <c r="C599"/>
      <c r="D599"/>
      <c r="E599"/>
      <c r="F599"/>
      <c r="G599"/>
      <c r="H599"/>
      <c r="I599"/>
      <c r="J599"/>
      <c r="K599" s="13" t="s">
        <v>36</v>
      </c>
      <c r="L599" s="13" t="s">
        <v>451</v>
      </c>
      <c r="M599" s="13" t="s">
        <v>369</v>
      </c>
      <c r="N599" s="15">
        <v>0</v>
      </c>
      <c r="O599" s="16">
        <v>0</v>
      </c>
      <c r="P599" s="17">
        <v>190354.63586748933</v>
      </c>
      <c r="Q599" s="17">
        <v>0</v>
      </c>
      <c r="R599" s="13"/>
      <c r="S599" s="13" t="s">
        <v>253</v>
      </c>
      <c r="T599" s="13" t="s">
        <v>613</v>
      </c>
      <c r="U599" s="13" t="s">
        <v>444</v>
      </c>
      <c r="V599" s="13" t="s">
        <v>553</v>
      </c>
      <c r="W599" s="14">
        <v>0</v>
      </c>
    </row>
    <row r="600" spans="1:23" x14ac:dyDescent="0.2">
      <c r="A600"/>
      <c r="B600"/>
      <c r="C600"/>
      <c r="D600"/>
      <c r="E600"/>
      <c r="F600"/>
      <c r="G600"/>
      <c r="H600"/>
      <c r="I600"/>
      <c r="J600"/>
      <c r="K600" s="13" t="s">
        <v>36</v>
      </c>
      <c r="L600" s="13" t="s">
        <v>381</v>
      </c>
      <c r="M600" s="13" t="s">
        <v>382</v>
      </c>
      <c r="N600" s="15">
        <v>76</v>
      </c>
      <c r="O600" s="16">
        <v>0</v>
      </c>
      <c r="P600" s="17">
        <v>0</v>
      </c>
      <c r="Q600" s="17">
        <v>0</v>
      </c>
      <c r="R600" s="13"/>
      <c r="S600" s="13" t="s">
        <v>253</v>
      </c>
      <c r="T600" s="13" t="s">
        <v>611</v>
      </c>
      <c r="U600" s="13" t="s">
        <v>423</v>
      </c>
      <c r="V600" s="13" t="s">
        <v>549</v>
      </c>
      <c r="W600" s="14">
        <v>0</v>
      </c>
    </row>
    <row r="601" spans="1:23" x14ac:dyDescent="0.2">
      <c r="A601"/>
      <c r="B601"/>
      <c r="C601"/>
      <c r="D601"/>
      <c r="E601"/>
      <c r="F601"/>
      <c r="G601"/>
      <c r="H601"/>
      <c r="I601"/>
      <c r="J601"/>
      <c r="K601" s="13" t="s">
        <v>36</v>
      </c>
      <c r="L601" s="13" t="s">
        <v>471</v>
      </c>
      <c r="M601" s="13" t="s">
        <v>472</v>
      </c>
      <c r="N601" s="15">
        <v>0</v>
      </c>
      <c r="O601" s="16">
        <v>0</v>
      </c>
      <c r="P601" s="17">
        <v>7875.572549760398</v>
      </c>
      <c r="Q601" s="17">
        <v>0</v>
      </c>
      <c r="R601" s="13"/>
      <c r="S601" s="13" t="s">
        <v>255</v>
      </c>
      <c r="T601" s="13" t="s">
        <v>395</v>
      </c>
      <c r="U601" s="13" t="s">
        <v>602</v>
      </c>
      <c r="V601" s="13" t="s">
        <v>549</v>
      </c>
      <c r="W601" s="14">
        <v>0</v>
      </c>
    </row>
    <row r="602" spans="1:23" x14ac:dyDescent="0.2">
      <c r="A602"/>
      <c r="B602"/>
      <c r="C602"/>
      <c r="D602"/>
      <c r="E602"/>
      <c r="F602"/>
      <c r="G602"/>
      <c r="H602"/>
      <c r="I602"/>
      <c r="J602"/>
      <c r="K602" s="13" t="s">
        <v>36</v>
      </c>
      <c r="L602" s="13" t="s">
        <v>411</v>
      </c>
      <c r="M602" s="13" t="s">
        <v>362</v>
      </c>
      <c r="N602" s="15">
        <v>0</v>
      </c>
      <c r="O602" s="16">
        <v>0</v>
      </c>
      <c r="P602" s="17">
        <v>41.821800001565634</v>
      </c>
      <c r="Q602" s="17">
        <v>0</v>
      </c>
      <c r="R602" s="13"/>
      <c r="S602" s="13" t="s">
        <v>255</v>
      </c>
      <c r="T602" s="13" t="s">
        <v>395</v>
      </c>
      <c r="U602" s="13" t="s">
        <v>602</v>
      </c>
      <c r="V602" s="13" t="s">
        <v>553</v>
      </c>
      <c r="W602" s="14">
        <v>0</v>
      </c>
    </row>
    <row r="603" spans="1:23" x14ac:dyDescent="0.2">
      <c r="A603"/>
      <c r="B603"/>
      <c r="C603"/>
      <c r="D603"/>
      <c r="E603"/>
      <c r="F603"/>
      <c r="G603"/>
      <c r="H603"/>
      <c r="I603"/>
      <c r="J603"/>
      <c r="K603" s="13" t="s">
        <v>36</v>
      </c>
      <c r="L603" s="13" t="s">
        <v>413</v>
      </c>
      <c r="M603" s="13" t="s">
        <v>428</v>
      </c>
      <c r="N603" s="15">
        <v>4</v>
      </c>
      <c r="O603" s="16">
        <v>0</v>
      </c>
      <c r="P603" s="17">
        <v>0</v>
      </c>
      <c r="Q603" s="17">
        <v>0</v>
      </c>
      <c r="R603" s="13"/>
      <c r="S603" s="13" t="s">
        <v>255</v>
      </c>
      <c r="T603" s="13" t="s">
        <v>404</v>
      </c>
      <c r="U603" s="13" t="s">
        <v>405</v>
      </c>
      <c r="V603" s="13" t="s">
        <v>549</v>
      </c>
      <c r="W603" s="14">
        <v>1.3</v>
      </c>
    </row>
    <row r="604" spans="1:23" x14ac:dyDescent="0.2">
      <c r="A604"/>
      <c r="B604"/>
      <c r="C604"/>
      <c r="D604"/>
      <c r="E604"/>
      <c r="F604"/>
      <c r="G604"/>
      <c r="H604"/>
      <c r="I604"/>
      <c r="J604"/>
      <c r="K604" s="13" t="s">
        <v>36</v>
      </c>
      <c r="L604" s="13" t="s">
        <v>475</v>
      </c>
      <c r="M604" s="13" t="s">
        <v>470</v>
      </c>
      <c r="N604" s="15">
        <v>2</v>
      </c>
      <c r="O604" s="16">
        <v>0</v>
      </c>
      <c r="P604" s="17">
        <v>0</v>
      </c>
      <c r="Q604" s="17">
        <v>0</v>
      </c>
      <c r="R604" s="13"/>
      <c r="S604" s="13" t="s">
        <v>255</v>
      </c>
      <c r="T604" s="13" t="s">
        <v>528</v>
      </c>
      <c r="U604" s="13" t="s">
        <v>384</v>
      </c>
      <c r="V604" s="13" t="s">
        <v>549</v>
      </c>
      <c r="W604" s="14">
        <v>0</v>
      </c>
    </row>
    <row r="605" spans="1:23" x14ac:dyDescent="0.2">
      <c r="A605"/>
      <c r="B605"/>
      <c r="C605"/>
      <c r="D605"/>
      <c r="E605"/>
      <c r="F605"/>
      <c r="G605"/>
      <c r="H605"/>
      <c r="I605"/>
      <c r="J605"/>
      <c r="K605" s="13" t="s">
        <v>36</v>
      </c>
      <c r="L605" s="13" t="s">
        <v>607</v>
      </c>
      <c r="M605" s="13" t="s">
        <v>431</v>
      </c>
      <c r="N605" s="15">
        <v>1</v>
      </c>
      <c r="O605" s="16">
        <v>0</v>
      </c>
      <c r="P605" s="17">
        <v>0</v>
      </c>
      <c r="Q605" s="17">
        <v>0</v>
      </c>
      <c r="R605" s="13"/>
      <c r="S605" s="13" t="s">
        <v>255</v>
      </c>
      <c r="T605" s="13" t="s">
        <v>528</v>
      </c>
      <c r="U605" s="13" t="s">
        <v>384</v>
      </c>
      <c r="V605" s="13" t="s">
        <v>553</v>
      </c>
      <c r="W605" s="14">
        <v>0</v>
      </c>
    </row>
    <row r="606" spans="1:23" x14ac:dyDescent="0.2">
      <c r="A606"/>
      <c r="B606"/>
      <c r="C606"/>
      <c r="D606"/>
      <c r="E606"/>
      <c r="F606"/>
      <c r="G606"/>
      <c r="H606"/>
      <c r="I606"/>
      <c r="J606"/>
      <c r="K606" s="13" t="s">
        <v>36</v>
      </c>
      <c r="L606" s="13" t="s">
        <v>617</v>
      </c>
      <c r="M606" s="13" t="s">
        <v>492</v>
      </c>
      <c r="N606" s="15">
        <v>0</v>
      </c>
      <c r="O606" s="16">
        <v>94.237055102618172</v>
      </c>
      <c r="P606" s="17">
        <v>0</v>
      </c>
      <c r="Q606" s="17">
        <v>0</v>
      </c>
      <c r="R606" s="13"/>
      <c r="S606" s="13" t="s">
        <v>255</v>
      </c>
      <c r="T606" s="13" t="s">
        <v>613</v>
      </c>
      <c r="U606" s="13" t="s">
        <v>444</v>
      </c>
      <c r="V606" s="13" t="s">
        <v>549</v>
      </c>
      <c r="W606" s="14">
        <v>0</v>
      </c>
    </row>
    <row r="607" spans="1:23" x14ac:dyDescent="0.2">
      <c r="A607"/>
      <c r="B607"/>
      <c r="C607"/>
      <c r="D607"/>
      <c r="E607"/>
      <c r="F607"/>
      <c r="G607"/>
      <c r="H607"/>
      <c r="I607"/>
      <c r="J607"/>
      <c r="K607" s="13" t="s">
        <v>36</v>
      </c>
      <c r="L607" s="13" t="s">
        <v>608</v>
      </c>
      <c r="M607" s="13" t="s">
        <v>432</v>
      </c>
      <c r="N607" s="15">
        <v>9</v>
      </c>
      <c r="O607" s="16">
        <v>0</v>
      </c>
      <c r="P607" s="17">
        <v>0</v>
      </c>
      <c r="Q607" s="17">
        <v>0</v>
      </c>
      <c r="R607" s="13"/>
      <c r="S607" s="13" t="s">
        <v>255</v>
      </c>
      <c r="T607" s="13" t="s">
        <v>613</v>
      </c>
      <c r="U607" s="13" t="s">
        <v>444</v>
      </c>
      <c r="V607" s="13" t="s">
        <v>553</v>
      </c>
      <c r="W607" s="14">
        <v>0</v>
      </c>
    </row>
    <row r="608" spans="1:23" x14ac:dyDescent="0.2">
      <c r="A608"/>
      <c r="B608"/>
      <c r="C608"/>
      <c r="D608"/>
      <c r="E608"/>
      <c r="F608"/>
      <c r="G608"/>
      <c r="H608"/>
      <c r="I608"/>
      <c r="J608"/>
      <c r="K608" s="13" t="s">
        <v>36</v>
      </c>
      <c r="L608" s="13" t="s">
        <v>417</v>
      </c>
      <c r="M608" s="13" t="s">
        <v>414</v>
      </c>
      <c r="N608" s="15">
        <v>0</v>
      </c>
      <c r="O608" s="16">
        <v>0</v>
      </c>
      <c r="P608" s="17">
        <v>62.790000006415063</v>
      </c>
      <c r="Q608" s="17">
        <v>0</v>
      </c>
      <c r="R608" s="13"/>
      <c r="S608" s="13" t="s">
        <v>255</v>
      </c>
      <c r="T608" s="13" t="s">
        <v>611</v>
      </c>
      <c r="U608" s="13" t="s">
        <v>423</v>
      </c>
      <c r="V608" s="13" t="s">
        <v>549</v>
      </c>
      <c r="W608" s="14">
        <v>0</v>
      </c>
    </row>
    <row r="609" spans="1:23" x14ac:dyDescent="0.2">
      <c r="A609"/>
      <c r="B609"/>
      <c r="C609"/>
      <c r="D609"/>
      <c r="E609"/>
      <c r="F609"/>
      <c r="G609"/>
      <c r="H609"/>
      <c r="I609"/>
      <c r="J609"/>
      <c r="K609" s="13" t="s">
        <v>36</v>
      </c>
      <c r="L609" s="13" t="s">
        <v>421</v>
      </c>
      <c r="M609" s="13" t="s">
        <v>443</v>
      </c>
      <c r="N609" s="15">
        <v>8</v>
      </c>
      <c r="O609" s="16">
        <v>0</v>
      </c>
      <c r="P609" s="17">
        <v>0</v>
      </c>
      <c r="Q609" s="17">
        <v>0</v>
      </c>
      <c r="R609" s="13"/>
      <c r="S609" s="13" t="s">
        <v>257</v>
      </c>
      <c r="T609" s="13" t="s">
        <v>404</v>
      </c>
      <c r="U609" s="13" t="s">
        <v>405</v>
      </c>
      <c r="V609" s="13" t="s">
        <v>549</v>
      </c>
      <c r="W609" s="14">
        <v>1.3</v>
      </c>
    </row>
    <row r="610" spans="1:23" x14ac:dyDescent="0.2">
      <c r="A610"/>
      <c r="B610"/>
      <c r="C610"/>
      <c r="D610"/>
      <c r="E610"/>
      <c r="F610"/>
      <c r="G610"/>
      <c r="H610"/>
      <c r="I610"/>
      <c r="J610"/>
      <c r="K610" s="13" t="s">
        <v>36</v>
      </c>
      <c r="L610" s="13" t="s">
        <v>613</v>
      </c>
      <c r="M610" s="13" t="s">
        <v>444</v>
      </c>
      <c r="N610" s="15">
        <v>0</v>
      </c>
      <c r="O610" s="16">
        <v>1704.17953366846</v>
      </c>
      <c r="P610" s="17">
        <v>0</v>
      </c>
      <c r="Q610" s="17">
        <v>0</v>
      </c>
      <c r="R610" s="13"/>
      <c r="S610" s="13" t="s">
        <v>257</v>
      </c>
      <c r="T610" s="13" t="s">
        <v>406</v>
      </c>
      <c r="U610" s="13" t="s">
        <v>361</v>
      </c>
      <c r="V610" s="13" t="s">
        <v>553</v>
      </c>
      <c r="W610" s="14">
        <v>0.5</v>
      </c>
    </row>
    <row r="611" spans="1:23" x14ac:dyDescent="0.2">
      <c r="A611"/>
      <c r="B611"/>
      <c r="C611"/>
      <c r="D611"/>
      <c r="E611"/>
      <c r="F611"/>
      <c r="G611"/>
      <c r="H611"/>
      <c r="I611"/>
      <c r="J611"/>
      <c r="K611" s="13" t="s">
        <v>36</v>
      </c>
      <c r="L611" s="13" t="s">
        <v>614</v>
      </c>
      <c r="M611" s="13" t="s">
        <v>447</v>
      </c>
      <c r="N611" s="15">
        <v>4</v>
      </c>
      <c r="O611" s="16">
        <v>0</v>
      </c>
      <c r="P611" s="17">
        <v>0</v>
      </c>
      <c r="Q611" s="17">
        <v>0</v>
      </c>
      <c r="R611" s="13"/>
      <c r="S611" s="13" t="s">
        <v>257</v>
      </c>
      <c r="T611" s="13" t="s">
        <v>406</v>
      </c>
      <c r="U611" s="13" t="s">
        <v>361</v>
      </c>
      <c r="V611" s="13" t="s">
        <v>553</v>
      </c>
      <c r="W611" s="14">
        <v>1</v>
      </c>
    </row>
    <row r="612" spans="1:23" x14ac:dyDescent="0.2">
      <c r="A612"/>
      <c r="B612"/>
      <c r="C612"/>
      <c r="D612"/>
      <c r="E612"/>
      <c r="F612"/>
      <c r="G612"/>
      <c r="H612"/>
      <c r="I612"/>
      <c r="J612"/>
      <c r="K612" s="13" t="s">
        <v>36</v>
      </c>
      <c r="L612" s="13" t="s">
        <v>500</v>
      </c>
      <c r="M612" s="13" t="s">
        <v>501</v>
      </c>
      <c r="N612" s="15">
        <v>0</v>
      </c>
      <c r="O612" s="16">
        <v>0</v>
      </c>
      <c r="P612" s="17">
        <v>885.18639997498849</v>
      </c>
      <c r="Q612" s="17">
        <v>0</v>
      </c>
      <c r="R612" s="13"/>
      <c r="S612" s="13" t="s">
        <v>257</v>
      </c>
      <c r="T612" s="13" t="s">
        <v>609</v>
      </c>
      <c r="U612" s="13" t="s">
        <v>416</v>
      </c>
      <c r="V612" s="13" t="s">
        <v>549</v>
      </c>
      <c r="W612" s="14">
        <v>0</v>
      </c>
    </row>
    <row r="613" spans="1:23" x14ac:dyDescent="0.2">
      <c r="A613"/>
      <c r="B613"/>
      <c r="C613"/>
      <c r="D613"/>
      <c r="E613"/>
      <c r="F613"/>
      <c r="G613"/>
      <c r="H613"/>
      <c r="I613"/>
      <c r="J613"/>
      <c r="K613" s="13" t="s">
        <v>36</v>
      </c>
      <c r="L613" s="13" t="s">
        <v>464</v>
      </c>
      <c r="M613" s="13" t="s">
        <v>373</v>
      </c>
      <c r="N613" s="15">
        <v>0</v>
      </c>
      <c r="O613" s="16">
        <v>2015.0079187562917</v>
      </c>
      <c r="P613" s="17">
        <v>0</v>
      </c>
      <c r="Q613" s="17">
        <v>0</v>
      </c>
      <c r="R613" s="13"/>
      <c r="S613" s="13" t="s">
        <v>257</v>
      </c>
      <c r="T613" s="13" t="s">
        <v>622</v>
      </c>
      <c r="U613" s="13" t="s">
        <v>524</v>
      </c>
      <c r="V613" s="13" t="s">
        <v>549</v>
      </c>
      <c r="W613" s="14">
        <v>0</v>
      </c>
    </row>
    <row r="614" spans="1:23" x14ac:dyDescent="0.2">
      <c r="A614"/>
      <c r="B614"/>
      <c r="C614"/>
      <c r="D614"/>
      <c r="E614"/>
      <c r="F614"/>
      <c r="G614"/>
      <c r="H614"/>
      <c r="I614"/>
      <c r="J614"/>
      <c r="K614" s="13" t="s">
        <v>36</v>
      </c>
      <c r="L614" s="13" t="s">
        <v>495</v>
      </c>
      <c r="M614" s="13" t="s">
        <v>496</v>
      </c>
      <c r="N614" s="15">
        <v>0</v>
      </c>
      <c r="O614" s="16">
        <v>0</v>
      </c>
      <c r="P614" s="17">
        <v>7273.8671997813726</v>
      </c>
      <c r="Q614" s="17">
        <v>0</v>
      </c>
      <c r="R614" s="13"/>
      <c r="S614" s="13" t="s">
        <v>257</v>
      </c>
      <c r="T614" s="13" t="s">
        <v>528</v>
      </c>
      <c r="U614" s="13" t="s">
        <v>384</v>
      </c>
      <c r="V614" s="13" t="s">
        <v>549</v>
      </c>
      <c r="W614" s="14">
        <v>0</v>
      </c>
    </row>
    <row r="615" spans="1:23" x14ac:dyDescent="0.2">
      <c r="A615"/>
      <c r="B615"/>
      <c r="C615"/>
      <c r="D615"/>
      <c r="E615"/>
      <c r="F615"/>
      <c r="G615"/>
      <c r="H615"/>
      <c r="I615"/>
      <c r="J615"/>
      <c r="K615" s="13" t="s">
        <v>37</v>
      </c>
      <c r="L615" s="13" t="s">
        <v>387</v>
      </c>
      <c r="M615" s="13" t="s">
        <v>386</v>
      </c>
      <c r="N615" s="15">
        <v>0</v>
      </c>
      <c r="O615" s="16">
        <v>0</v>
      </c>
      <c r="P615" s="17">
        <v>228.31129998457286</v>
      </c>
      <c r="Q615" s="17">
        <v>0</v>
      </c>
      <c r="R615" s="13"/>
      <c r="S615" s="13" t="s">
        <v>257</v>
      </c>
      <c r="T615" s="13" t="s">
        <v>528</v>
      </c>
      <c r="U615" s="13" t="s">
        <v>384</v>
      </c>
      <c r="V615" s="13" t="s">
        <v>553</v>
      </c>
      <c r="W615" s="14">
        <v>0</v>
      </c>
    </row>
    <row r="616" spans="1:23" x14ac:dyDescent="0.2">
      <c r="A616"/>
      <c r="B616"/>
      <c r="C616"/>
      <c r="D616"/>
      <c r="E616"/>
      <c r="F616"/>
      <c r="G616"/>
      <c r="H616"/>
      <c r="I616"/>
      <c r="J616"/>
      <c r="K616" s="13" t="s">
        <v>37</v>
      </c>
      <c r="L616" s="13" t="s">
        <v>401</v>
      </c>
      <c r="M616" s="13" t="s">
        <v>360</v>
      </c>
      <c r="N616" s="15">
        <v>0</v>
      </c>
      <c r="O616" s="16">
        <v>0</v>
      </c>
      <c r="P616" s="17">
        <v>399.14609999227781</v>
      </c>
      <c r="Q616" s="17">
        <v>0</v>
      </c>
      <c r="R616" s="13"/>
      <c r="S616" s="13" t="s">
        <v>257</v>
      </c>
      <c r="T616" s="13" t="s">
        <v>613</v>
      </c>
      <c r="U616" s="13" t="s">
        <v>444</v>
      </c>
      <c r="V616" s="13" t="s">
        <v>549</v>
      </c>
      <c r="W616" s="14">
        <v>0</v>
      </c>
    </row>
    <row r="617" spans="1:23" x14ac:dyDescent="0.2">
      <c r="A617"/>
      <c r="B617"/>
      <c r="C617"/>
      <c r="D617"/>
      <c r="E617"/>
      <c r="F617"/>
      <c r="G617"/>
      <c r="H617"/>
      <c r="I617"/>
      <c r="J617"/>
      <c r="K617" s="13" t="s">
        <v>37</v>
      </c>
      <c r="L617" s="13" t="s">
        <v>402</v>
      </c>
      <c r="M617" s="13" t="s">
        <v>403</v>
      </c>
      <c r="N617" s="15">
        <v>0</v>
      </c>
      <c r="O617" s="16">
        <v>0</v>
      </c>
      <c r="P617" s="17">
        <v>19421.941319140249</v>
      </c>
      <c r="Q617" s="17">
        <v>0</v>
      </c>
      <c r="R617" s="13"/>
      <c r="S617" s="13" t="s">
        <v>259</v>
      </c>
      <c r="T617" s="13" t="s">
        <v>528</v>
      </c>
      <c r="U617" s="13" t="s">
        <v>384</v>
      </c>
      <c r="V617" s="13" t="s">
        <v>549</v>
      </c>
      <c r="W617" s="14">
        <v>0</v>
      </c>
    </row>
    <row r="618" spans="1:23" x14ac:dyDescent="0.2">
      <c r="A618"/>
      <c r="B618"/>
      <c r="C618"/>
      <c r="D618"/>
      <c r="E618"/>
      <c r="F618"/>
      <c r="G618"/>
      <c r="H618"/>
      <c r="I618"/>
      <c r="J618"/>
      <c r="K618" s="13" t="s">
        <v>37</v>
      </c>
      <c r="L618" s="13" t="s">
        <v>448</v>
      </c>
      <c r="M618" s="13" t="s">
        <v>366</v>
      </c>
      <c r="N618" s="15">
        <v>0</v>
      </c>
      <c r="O618" s="16">
        <v>0</v>
      </c>
      <c r="P618" s="17">
        <v>231.76069993079443</v>
      </c>
      <c r="Q618" s="17">
        <v>0</v>
      </c>
      <c r="R618" s="13"/>
      <c r="S618" s="13" t="s">
        <v>259</v>
      </c>
      <c r="T618" s="13" t="s">
        <v>528</v>
      </c>
      <c r="U618" s="13" t="s">
        <v>384</v>
      </c>
      <c r="V618" s="13" t="s">
        <v>553</v>
      </c>
      <c r="W618" s="14">
        <v>0</v>
      </c>
    </row>
    <row r="619" spans="1:23" x14ac:dyDescent="0.2">
      <c r="A619"/>
      <c r="B619"/>
      <c r="C619"/>
      <c r="D619"/>
      <c r="E619"/>
      <c r="F619"/>
      <c r="G619"/>
      <c r="H619"/>
      <c r="I619"/>
      <c r="J619"/>
      <c r="K619" s="13" t="s">
        <v>37</v>
      </c>
      <c r="L619" s="13" t="s">
        <v>462</v>
      </c>
      <c r="M619" s="13" t="s">
        <v>370</v>
      </c>
      <c r="N619" s="15">
        <v>0</v>
      </c>
      <c r="O619" s="16">
        <v>0</v>
      </c>
      <c r="P619" s="17">
        <v>864.84059998986277</v>
      </c>
      <c r="Q619" s="17">
        <v>0</v>
      </c>
      <c r="R619" s="13"/>
      <c r="S619" s="13" t="s">
        <v>259</v>
      </c>
      <c r="T619" s="13" t="s">
        <v>613</v>
      </c>
      <c r="U619" s="13" t="s">
        <v>444</v>
      </c>
      <c r="V619" s="13" t="s">
        <v>549</v>
      </c>
      <c r="W619" s="14">
        <v>0</v>
      </c>
    </row>
    <row r="620" spans="1:23" x14ac:dyDescent="0.2">
      <c r="A620"/>
      <c r="B620"/>
      <c r="C620"/>
      <c r="D620"/>
      <c r="E620"/>
      <c r="F620"/>
      <c r="G620"/>
      <c r="H620"/>
      <c r="I620"/>
      <c r="J620"/>
      <c r="K620" s="13" t="s">
        <v>37</v>
      </c>
      <c r="L620" s="13" t="s">
        <v>404</v>
      </c>
      <c r="M620" s="13" t="s">
        <v>405</v>
      </c>
      <c r="N620" s="15">
        <v>0</v>
      </c>
      <c r="O620" s="16">
        <v>0</v>
      </c>
      <c r="P620" s="17">
        <v>48.044150001607271</v>
      </c>
      <c r="Q620" s="17">
        <v>88.492072161725702</v>
      </c>
      <c r="R620" s="13"/>
      <c r="S620" s="13" t="s">
        <v>261</v>
      </c>
      <c r="T620" s="13" t="s">
        <v>395</v>
      </c>
      <c r="U620" s="13" t="s">
        <v>602</v>
      </c>
      <c r="V620" s="13" t="s">
        <v>549</v>
      </c>
      <c r="W620" s="14">
        <v>0</v>
      </c>
    </row>
    <row r="621" spans="1:23" x14ac:dyDescent="0.2">
      <c r="A621"/>
      <c r="B621"/>
      <c r="C621"/>
      <c r="D621"/>
      <c r="E621"/>
      <c r="F621"/>
      <c r="G621"/>
      <c r="H621"/>
      <c r="I621"/>
      <c r="J621"/>
      <c r="K621" s="13" t="s">
        <v>37</v>
      </c>
      <c r="L621" s="13" t="s">
        <v>629</v>
      </c>
      <c r="M621" s="13" t="s">
        <v>630</v>
      </c>
      <c r="N621" s="15">
        <v>0</v>
      </c>
      <c r="O621" s="16">
        <v>0</v>
      </c>
      <c r="P621" s="17">
        <v>181.87708023800059</v>
      </c>
      <c r="Q621" s="17">
        <v>416.9353063473356</v>
      </c>
      <c r="R621" s="13"/>
      <c r="S621" s="13" t="s">
        <v>261</v>
      </c>
      <c r="T621" s="13" t="s">
        <v>395</v>
      </c>
      <c r="U621" s="13" t="s">
        <v>602</v>
      </c>
      <c r="V621" s="13" t="s">
        <v>553</v>
      </c>
      <c r="W621" s="14">
        <v>0</v>
      </c>
    </row>
    <row r="622" spans="1:23" x14ac:dyDescent="0.2">
      <c r="A622"/>
      <c r="B622"/>
      <c r="C622"/>
      <c r="D622"/>
      <c r="E622"/>
      <c r="F622"/>
      <c r="G622"/>
      <c r="H622"/>
      <c r="I622"/>
      <c r="J622"/>
      <c r="K622" s="13" t="s">
        <v>37</v>
      </c>
      <c r="L622" s="13" t="s">
        <v>451</v>
      </c>
      <c r="M622" s="13" t="s">
        <v>369</v>
      </c>
      <c r="N622" s="15">
        <v>0</v>
      </c>
      <c r="O622" s="16">
        <v>0</v>
      </c>
      <c r="P622" s="17">
        <v>24644.648115672426</v>
      </c>
      <c r="Q622" s="17">
        <v>0</v>
      </c>
      <c r="R622" s="13"/>
      <c r="S622" s="13" t="s">
        <v>261</v>
      </c>
      <c r="T622" s="13" t="s">
        <v>404</v>
      </c>
      <c r="U622" s="13" t="s">
        <v>405</v>
      </c>
      <c r="V622" s="13" t="s">
        <v>549</v>
      </c>
      <c r="W622" s="14">
        <v>1</v>
      </c>
    </row>
    <row r="623" spans="1:23" x14ac:dyDescent="0.2">
      <c r="A623"/>
      <c r="B623"/>
      <c r="C623"/>
      <c r="D623"/>
      <c r="E623"/>
      <c r="F623"/>
      <c r="G623"/>
      <c r="H623"/>
      <c r="I623"/>
      <c r="J623"/>
      <c r="K623" s="13" t="s">
        <v>37</v>
      </c>
      <c r="L623" s="13" t="s">
        <v>381</v>
      </c>
      <c r="M623" s="13" t="s">
        <v>382</v>
      </c>
      <c r="N623" s="15">
        <v>66</v>
      </c>
      <c r="O623" s="16">
        <v>0</v>
      </c>
      <c r="P623" s="17">
        <v>0</v>
      </c>
      <c r="Q623" s="17">
        <v>0</v>
      </c>
      <c r="R623" s="13"/>
      <c r="S623" s="13" t="s">
        <v>261</v>
      </c>
      <c r="T623" s="13" t="s">
        <v>404</v>
      </c>
      <c r="U623" s="13" t="s">
        <v>405</v>
      </c>
      <c r="V623" s="13" t="s">
        <v>553</v>
      </c>
      <c r="W623" s="14">
        <v>1.5</v>
      </c>
    </row>
    <row r="624" spans="1:23" x14ac:dyDescent="0.2">
      <c r="A624"/>
      <c r="B624"/>
      <c r="C624"/>
      <c r="D624"/>
      <c r="E624"/>
      <c r="F624"/>
      <c r="G624"/>
      <c r="H624"/>
      <c r="I624"/>
      <c r="J624"/>
      <c r="K624" s="13" t="s">
        <v>37</v>
      </c>
      <c r="L624" s="13" t="s">
        <v>407</v>
      </c>
      <c r="M624" s="13" t="s">
        <v>408</v>
      </c>
      <c r="N624" s="15">
        <v>18</v>
      </c>
      <c r="O624" s="16">
        <v>0</v>
      </c>
      <c r="P624" s="17">
        <v>0</v>
      </c>
      <c r="Q624" s="17">
        <v>0</v>
      </c>
      <c r="R624" s="13"/>
      <c r="S624" s="13" t="s">
        <v>261</v>
      </c>
      <c r="T624" s="13" t="s">
        <v>406</v>
      </c>
      <c r="U624" s="13" t="s">
        <v>361</v>
      </c>
      <c r="V624" s="13" t="s">
        <v>549</v>
      </c>
      <c r="W624" s="14">
        <v>1</v>
      </c>
    </row>
    <row r="625" spans="1:23" x14ac:dyDescent="0.2">
      <c r="A625"/>
      <c r="B625"/>
      <c r="C625"/>
      <c r="D625"/>
      <c r="E625"/>
      <c r="F625"/>
      <c r="G625"/>
      <c r="H625"/>
      <c r="I625"/>
      <c r="J625"/>
      <c r="K625" s="13" t="s">
        <v>37</v>
      </c>
      <c r="L625" s="13" t="s">
        <v>471</v>
      </c>
      <c r="M625" s="13" t="s">
        <v>472</v>
      </c>
      <c r="N625" s="15">
        <v>0</v>
      </c>
      <c r="O625" s="16">
        <v>0</v>
      </c>
      <c r="P625" s="17">
        <v>3188.2820999601709</v>
      </c>
      <c r="Q625" s="17">
        <v>0</v>
      </c>
      <c r="R625" s="13"/>
      <c r="S625" s="13" t="s">
        <v>261</v>
      </c>
      <c r="T625" s="13" t="s">
        <v>406</v>
      </c>
      <c r="U625" s="13" t="s">
        <v>361</v>
      </c>
      <c r="V625" s="13" t="s">
        <v>553</v>
      </c>
      <c r="W625" s="14">
        <v>2.5</v>
      </c>
    </row>
    <row r="626" spans="1:23" x14ac:dyDescent="0.2">
      <c r="A626"/>
      <c r="B626"/>
      <c r="C626"/>
      <c r="D626"/>
      <c r="E626"/>
      <c r="F626"/>
      <c r="G626"/>
      <c r="H626"/>
      <c r="I626"/>
      <c r="J626"/>
      <c r="K626" s="13" t="s">
        <v>37</v>
      </c>
      <c r="L626" s="13" t="s">
        <v>413</v>
      </c>
      <c r="M626" s="13" t="s">
        <v>428</v>
      </c>
      <c r="N626" s="15">
        <v>1</v>
      </c>
      <c r="O626" s="16">
        <v>0</v>
      </c>
      <c r="P626" s="17">
        <v>0</v>
      </c>
      <c r="Q626" s="17">
        <v>0</v>
      </c>
      <c r="R626" s="13"/>
      <c r="S626" s="13" t="s">
        <v>261</v>
      </c>
      <c r="T626" s="13" t="s">
        <v>406</v>
      </c>
      <c r="U626" s="13" t="s">
        <v>361</v>
      </c>
      <c r="V626" s="13" t="s">
        <v>550</v>
      </c>
      <c r="W626" s="14">
        <v>1.5</v>
      </c>
    </row>
    <row r="627" spans="1:23" x14ac:dyDescent="0.2">
      <c r="A627"/>
      <c r="B627"/>
      <c r="C627"/>
      <c r="D627"/>
      <c r="E627"/>
      <c r="F627"/>
      <c r="G627"/>
      <c r="H627"/>
      <c r="I627"/>
      <c r="J627"/>
      <c r="K627" s="13" t="s">
        <v>37</v>
      </c>
      <c r="L627" s="13" t="s">
        <v>475</v>
      </c>
      <c r="M627" s="13" t="s">
        <v>470</v>
      </c>
      <c r="N627" s="15">
        <v>1</v>
      </c>
      <c r="O627" s="16">
        <v>0</v>
      </c>
      <c r="P627" s="17">
        <v>0</v>
      </c>
      <c r="Q627" s="17">
        <v>0</v>
      </c>
      <c r="R627" s="13"/>
      <c r="S627" s="13" t="s">
        <v>261</v>
      </c>
      <c r="T627" s="13" t="s">
        <v>528</v>
      </c>
      <c r="U627" s="13" t="s">
        <v>384</v>
      </c>
      <c r="V627" s="13" t="s">
        <v>549</v>
      </c>
      <c r="W627" s="14">
        <v>0</v>
      </c>
    </row>
    <row r="628" spans="1:23" x14ac:dyDescent="0.2">
      <c r="A628"/>
      <c r="B628"/>
      <c r="C628"/>
      <c r="D628"/>
      <c r="E628"/>
      <c r="F628"/>
      <c r="G628"/>
      <c r="H628"/>
      <c r="I628"/>
      <c r="J628"/>
      <c r="K628" s="13" t="s">
        <v>37</v>
      </c>
      <c r="L628" s="13" t="s">
        <v>606</v>
      </c>
      <c r="M628" s="13" t="s">
        <v>430</v>
      </c>
      <c r="N628" s="15">
        <v>19</v>
      </c>
      <c r="O628" s="16">
        <v>0</v>
      </c>
      <c r="P628" s="17">
        <v>0</v>
      </c>
      <c r="Q628" s="17">
        <v>0</v>
      </c>
      <c r="R628" s="13"/>
      <c r="S628" s="13" t="s">
        <v>261</v>
      </c>
      <c r="T628" s="13" t="s">
        <v>528</v>
      </c>
      <c r="U628" s="13" t="s">
        <v>384</v>
      </c>
      <c r="V628" s="13" t="s">
        <v>553</v>
      </c>
      <c r="W628" s="14">
        <v>0</v>
      </c>
    </row>
    <row r="629" spans="1:23" x14ac:dyDescent="0.2">
      <c r="A629"/>
      <c r="B629"/>
      <c r="C629"/>
      <c r="D629"/>
      <c r="E629"/>
      <c r="F629"/>
      <c r="G629"/>
      <c r="H629"/>
      <c r="I629"/>
      <c r="J629"/>
      <c r="K629" s="13" t="s">
        <v>37</v>
      </c>
      <c r="L629" s="13" t="s">
        <v>415</v>
      </c>
      <c r="M629" s="13" t="s">
        <v>412</v>
      </c>
      <c r="N629" s="15">
        <v>0</v>
      </c>
      <c r="O629" s="16">
        <v>0</v>
      </c>
      <c r="P629" s="17">
        <v>0.87030000016062981</v>
      </c>
      <c r="Q629" s="17">
        <v>0</v>
      </c>
      <c r="R629" s="13"/>
      <c r="S629" s="13" t="s">
        <v>261</v>
      </c>
      <c r="T629" s="13" t="s">
        <v>528</v>
      </c>
      <c r="U629" s="13" t="s">
        <v>384</v>
      </c>
      <c r="V629" s="13" t="s">
        <v>550</v>
      </c>
      <c r="W629" s="14">
        <v>0</v>
      </c>
    </row>
    <row r="630" spans="1:23" x14ac:dyDescent="0.2">
      <c r="A630"/>
      <c r="B630"/>
      <c r="C630"/>
      <c r="D630"/>
      <c r="E630"/>
      <c r="F630"/>
      <c r="G630"/>
      <c r="H630"/>
      <c r="I630"/>
      <c r="J630"/>
      <c r="K630" s="13" t="s">
        <v>37</v>
      </c>
      <c r="L630" s="13" t="s">
        <v>417</v>
      </c>
      <c r="M630" s="13" t="s">
        <v>414</v>
      </c>
      <c r="N630" s="15">
        <v>0</v>
      </c>
      <c r="O630" s="16">
        <v>0</v>
      </c>
      <c r="P630" s="17">
        <v>79.574466434729459</v>
      </c>
      <c r="Q630" s="17">
        <v>0</v>
      </c>
      <c r="R630" s="13"/>
      <c r="S630" s="13" t="s">
        <v>261</v>
      </c>
      <c r="T630" s="13" t="s">
        <v>613</v>
      </c>
      <c r="U630" s="13" t="s">
        <v>444</v>
      </c>
      <c r="V630" s="13" t="s">
        <v>549</v>
      </c>
      <c r="W630" s="14">
        <v>0</v>
      </c>
    </row>
    <row r="631" spans="1:23" x14ac:dyDescent="0.2">
      <c r="A631"/>
      <c r="B631"/>
      <c r="C631"/>
      <c r="D631"/>
      <c r="E631"/>
      <c r="F631"/>
      <c r="G631"/>
      <c r="H631"/>
      <c r="I631"/>
      <c r="J631"/>
      <c r="K631" s="13" t="s">
        <v>37</v>
      </c>
      <c r="L631" s="13" t="s">
        <v>421</v>
      </c>
      <c r="M631" s="13" t="s">
        <v>443</v>
      </c>
      <c r="N631" s="15">
        <v>3</v>
      </c>
      <c r="O631" s="16">
        <v>0</v>
      </c>
      <c r="P631" s="17">
        <v>0</v>
      </c>
      <c r="Q631" s="17">
        <v>0</v>
      </c>
      <c r="R631" s="13"/>
      <c r="S631" s="13" t="s">
        <v>263</v>
      </c>
      <c r="T631" s="13" t="s">
        <v>404</v>
      </c>
      <c r="U631" s="13" t="s">
        <v>405</v>
      </c>
      <c r="V631" s="13" t="s">
        <v>553</v>
      </c>
      <c r="W631" s="14">
        <v>1.2</v>
      </c>
    </row>
    <row r="632" spans="1:23" x14ac:dyDescent="0.2">
      <c r="A632"/>
      <c r="B632"/>
      <c r="C632"/>
      <c r="D632"/>
      <c r="E632"/>
      <c r="F632"/>
      <c r="G632"/>
      <c r="H632"/>
      <c r="I632"/>
      <c r="J632"/>
      <c r="K632" s="13" t="s">
        <v>37</v>
      </c>
      <c r="L632" s="13" t="s">
        <v>383</v>
      </c>
      <c r="M632" s="13" t="s">
        <v>420</v>
      </c>
      <c r="N632" s="15">
        <v>1</v>
      </c>
      <c r="O632" s="16">
        <v>0</v>
      </c>
      <c r="P632" s="17">
        <v>0</v>
      </c>
      <c r="Q632" s="17">
        <v>0</v>
      </c>
      <c r="R632" s="13"/>
      <c r="S632" s="13" t="s">
        <v>263</v>
      </c>
      <c r="T632" s="13" t="s">
        <v>404</v>
      </c>
      <c r="U632" s="13" t="s">
        <v>405</v>
      </c>
      <c r="V632" s="13" t="s">
        <v>550</v>
      </c>
      <c r="W632" s="14">
        <v>2</v>
      </c>
    </row>
    <row r="633" spans="1:23" x14ac:dyDescent="0.2">
      <c r="A633"/>
      <c r="B633"/>
      <c r="C633"/>
      <c r="D633"/>
      <c r="E633"/>
      <c r="F633"/>
      <c r="G633"/>
      <c r="H633"/>
      <c r="I633"/>
      <c r="J633"/>
      <c r="K633" s="13" t="s">
        <v>37</v>
      </c>
      <c r="L633" s="13" t="s">
        <v>467</v>
      </c>
      <c r="M633" s="13" t="s">
        <v>422</v>
      </c>
      <c r="N633" s="15">
        <v>0</v>
      </c>
      <c r="O633" s="16">
        <v>11.90089895044866</v>
      </c>
      <c r="P633" s="17">
        <v>0</v>
      </c>
      <c r="Q633" s="17">
        <v>0</v>
      </c>
      <c r="R633" s="13"/>
      <c r="S633" s="13" t="s">
        <v>263</v>
      </c>
      <c r="T633" s="13" t="s">
        <v>404</v>
      </c>
      <c r="U633" s="13" t="s">
        <v>405</v>
      </c>
      <c r="V633" s="13" t="s">
        <v>551</v>
      </c>
      <c r="W633" s="14">
        <v>1.4</v>
      </c>
    </row>
    <row r="634" spans="1:23" x14ac:dyDescent="0.2">
      <c r="A634"/>
      <c r="B634"/>
      <c r="C634"/>
      <c r="D634"/>
      <c r="E634"/>
      <c r="F634"/>
      <c r="G634"/>
      <c r="H634"/>
      <c r="I634"/>
      <c r="J634"/>
      <c r="K634" s="13" t="s">
        <v>37</v>
      </c>
      <c r="L634" s="13" t="s">
        <v>446</v>
      </c>
      <c r="M634" s="13" t="s">
        <v>371</v>
      </c>
      <c r="N634" s="15">
        <v>2</v>
      </c>
      <c r="O634" s="16">
        <v>0</v>
      </c>
      <c r="P634" s="17">
        <v>0</v>
      </c>
      <c r="Q634" s="17">
        <v>0</v>
      </c>
      <c r="R634" s="13"/>
      <c r="S634" s="13" t="s">
        <v>263</v>
      </c>
      <c r="T634" s="13" t="s">
        <v>528</v>
      </c>
      <c r="U634" s="13" t="s">
        <v>384</v>
      </c>
      <c r="V634" s="13" t="s">
        <v>549</v>
      </c>
      <c r="W634" s="14">
        <v>0</v>
      </c>
    </row>
    <row r="635" spans="1:23" x14ac:dyDescent="0.2">
      <c r="A635"/>
      <c r="B635"/>
      <c r="C635"/>
      <c r="D635"/>
      <c r="E635"/>
      <c r="F635"/>
      <c r="G635"/>
      <c r="H635"/>
      <c r="I635"/>
      <c r="J635"/>
      <c r="K635" s="13" t="s">
        <v>38</v>
      </c>
      <c r="L635" s="13" t="s">
        <v>401</v>
      </c>
      <c r="M635" s="13" t="s">
        <v>360</v>
      </c>
      <c r="N635" s="15">
        <v>0</v>
      </c>
      <c r="O635" s="16">
        <v>0</v>
      </c>
      <c r="P635" s="17">
        <v>15.154549999283207</v>
      </c>
      <c r="Q635" s="17">
        <v>0</v>
      </c>
      <c r="R635" s="13"/>
      <c r="S635" s="13" t="s">
        <v>263</v>
      </c>
      <c r="T635" s="13" t="s">
        <v>528</v>
      </c>
      <c r="U635" s="13" t="s">
        <v>384</v>
      </c>
      <c r="V635" s="13" t="s">
        <v>553</v>
      </c>
      <c r="W635" s="14">
        <v>0</v>
      </c>
    </row>
    <row r="636" spans="1:23" x14ac:dyDescent="0.2">
      <c r="A636"/>
      <c r="B636"/>
      <c r="C636"/>
      <c r="D636"/>
      <c r="E636"/>
      <c r="F636"/>
      <c r="G636"/>
      <c r="H636"/>
      <c r="I636"/>
      <c r="J636"/>
      <c r="K636" s="13" t="s">
        <v>38</v>
      </c>
      <c r="L636" s="13" t="s">
        <v>402</v>
      </c>
      <c r="M636" s="13" t="s">
        <v>403</v>
      </c>
      <c r="N636" s="15">
        <v>0</v>
      </c>
      <c r="O636" s="16">
        <v>0</v>
      </c>
      <c r="P636" s="17">
        <v>323.57654999603665</v>
      </c>
      <c r="Q636" s="17">
        <v>0</v>
      </c>
      <c r="R636" s="13"/>
      <c r="S636" s="13" t="s">
        <v>263</v>
      </c>
      <c r="T636" s="13" t="s">
        <v>613</v>
      </c>
      <c r="U636" s="13" t="s">
        <v>444</v>
      </c>
      <c r="V636" s="13" t="s">
        <v>549</v>
      </c>
      <c r="W636" s="14">
        <v>0</v>
      </c>
    </row>
    <row r="637" spans="1:23" x14ac:dyDescent="0.2">
      <c r="A637"/>
      <c r="B637"/>
      <c r="C637"/>
      <c r="D637"/>
      <c r="E637"/>
      <c r="F637"/>
      <c r="G637"/>
      <c r="H637"/>
      <c r="I637"/>
      <c r="J637"/>
      <c r="K637" s="13" t="s">
        <v>38</v>
      </c>
      <c r="L637" s="13" t="s">
        <v>451</v>
      </c>
      <c r="M637" s="13" t="s">
        <v>369</v>
      </c>
      <c r="N637" s="15">
        <v>0</v>
      </c>
      <c r="O637" s="16">
        <v>0</v>
      </c>
      <c r="P637" s="17">
        <v>338.73109999531982</v>
      </c>
      <c r="Q637" s="17">
        <v>0</v>
      </c>
      <c r="R637" s="13"/>
      <c r="S637" s="13" t="s">
        <v>263</v>
      </c>
      <c r="T637" s="13" t="s">
        <v>611</v>
      </c>
      <c r="U637" s="13" t="s">
        <v>423</v>
      </c>
      <c r="V637" s="13" t="s">
        <v>549</v>
      </c>
      <c r="W637" s="14">
        <v>0</v>
      </c>
    </row>
    <row r="638" spans="1:23" x14ac:dyDescent="0.2">
      <c r="A638"/>
      <c r="B638"/>
      <c r="C638"/>
      <c r="D638"/>
      <c r="E638"/>
      <c r="F638"/>
      <c r="G638"/>
      <c r="H638"/>
      <c r="I638"/>
      <c r="J638"/>
      <c r="K638" s="13" t="s">
        <v>38</v>
      </c>
      <c r="L638" s="13" t="s">
        <v>381</v>
      </c>
      <c r="M638" s="13" t="s">
        <v>382</v>
      </c>
      <c r="N638" s="15">
        <v>4</v>
      </c>
      <c r="O638" s="16">
        <v>0</v>
      </c>
      <c r="P638" s="17">
        <v>0</v>
      </c>
      <c r="Q638" s="17">
        <v>0</v>
      </c>
      <c r="R638" s="13"/>
      <c r="S638" s="13" t="s">
        <v>265</v>
      </c>
      <c r="T638" s="13" t="s">
        <v>395</v>
      </c>
      <c r="U638" s="13" t="s">
        <v>602</v>
      </c>
      <c r="V638" s="13" t="s">
        <v>549</v>
      </c>
      <c r="W638" s="14">
        <v>0</v>
      </c>
    </row>
    <row r="639" spans="1:23" x14ac:dyDescent="0.2">
      <c r="A639"/>
      <c r="B639"/>
      <c r="C639"/>
      <c r="D639"/>
      <c r="E639"/>
      <c r="F639"/>
      <c r="G639"/>
      <c r="H639"/>
      <c r="I639"/>
      <c r="J639"/>
      <c r="K639" s="13" t="s">
        <v>38</v>
      </c>
      <c r="L639" s="13" t="s">
        <v>609</v>
      </c>
      <c r="M639" s="13" t="s">
        <v>416</v>
      </c>
      <c r="N639" s="15">
        <v>0</v>
      </c>
      <c r="O639" s="16">
        <v>65.697327816253136</v>
      </c>
      <c r="P639" s="17">
        <v>0</v>
      </c>
      <c r="Q639" s="17">
        <v>0</v>
      </c>
      <c r="R639" s="13"/>
      <c r="S639" s="13" t="s">
        <v>265</v>
      </c>
      <c r="T639" s="13" t="s">
        <v>404</v>
      </c>
      <c r="U639" s="13" t="s">
        <v>405</v>
      </c>
      <c r="V639" s="13" t="s">
        <v>549</v>
      </c>
      <c r="W639" s="14">
        <v>1.2</v>
      </c>
    </row>
    <row r="640" spans="1:23" x14ac:dyDescent="0.2">
      <c r="A640"/>
      <c r="B640"/>
      <c r="C640"/>
      <c r="D640"/>
      <c r="E640"/>
      <c r="F640"/>
      <c r="G640"/>
      <c r="H640"/>
      <c r="I640"/>
      <c r="J640"/>
      <c r="K640" s="13" t="s">
        <v>38</v>
      </c>
      <c r="L640" s="13" t="s">
        <v>421</v>
      </c>
      <c r="M640" s="13" t="s">
        <v>443</v>
      </c>
      <c r="N640" s="15">
        <v>1</v>
      </c>
      <c r="O640" s="16">
        <v>0</v>
      </c>
      <c r="P640" s="17">
        <v>0</v>
      </c>
      <c r="Q640" s="17">
        <v>0</v>
      </c>
      <c r="R640" s="13"/>
      <c r="S640" s="13" t="s">
        <v>265</v>
      </c>
      <c r="T640" s="13" t="s">
        <v>406</v>
      </c>
      <c r="U640" s="13" t="s">
        <v>361</v>
      </c>
      <c r="V640" s="13" t="s">
        <v>549</v>
      </c>
      <c r="W640" s="14">
        <v>1</v>
      </c>
    </row>
    <row r="641" spans="1:23" x14ac:dyDescent="0.2">
      <c r="A641"/>
      <c r="B641"/>
      <c r="C641"/>
      <c r="D641"/>
      <c r="E641"/>
      <c r="F641"/>
      <c r="G641"/>
      <c r="H641"/>
      <c r="I641"/>
      <c r="J641"/>
      <c r="K641" s="13" t="s">
        <v>38</v>
      </c>
      <c r="L641" s="13" t="s">
        <v>458</v>
      </c>
      <c r="M641" s="13" t="s">
        <v>459</v>
      </c>
      <c r="N641" s="15">
        <v>0</v>
      </c>
      <c r="O641" s="16">
        <v>0</v>
      </c>
      <c r="P641" s="17">
        <v>1001.9075999698485</v>
      </c>
      <c r="Q641" s="17">
        <v>0</v>
      </c>
      <c r="R641" s="13"/>
      <c r="S641" s="13" t="s">
        <v>265</v>
      </c>
      <c r="T641" s="13" t="s">
        <v>528</v>
      </c>
      <c r="U641" s="13" t="s">
        <v>384</v>
      </c>
      <c r="V641" s="13" t="s">
        <v>549</v>
      </c>
      <c r="W641" s="14">
        <v>0</v>
      </c>
    </row>
    <row r="642" spans="1:23" x14ac:dyDescent="0.2">
      <c r="A642"/>
      <c r="B642"/>
      <c r="C642"/>
      <c r="D642"/>
      <c r="E642"/>
      <c r="F642"/>
      <c r="G642"/>
      <c r="H642"/>
      <c r="I642"/>
      <c r="J642"/>
      <c r="K642" s="13" t="s">
        <v>39</v>
      </c>
      <c r="L642" s="13" t="s">
        <v>401</v>
      </c>
      <c r="M642" s="13" t="s">
        <v>360</v>
      </c>
      <c r="N642" s="15">
        <v>0</v>
      </c>
      <c r="O642" s="16">
        <v>0</v>
      </c>
      <c r="P642" s="17">
        <v>17.001850000776443</v>
      </c>
      <c r="Q642" s="17">
        <v>0</v>
      </c>
      <c r="R642" s="13"/>
      <c r="S642" s="13" t="s">
        <v>265</v>
      </c>
      <c r="T642" s="13" t="s">
        <v>613</v>
      </c>
      <c r="U642" s="13" t="s">
        <v>444</v>
      </c>
      <c r="V642" s="13" t="s">
        <v>549</v>
      </c>
      <c r="W642" s="14">
        <v>0</v>
      </c>
    </row>
    <row r="643" spans="1:23" x14ac:dyDescent="0.2">
      <c r="A643"/>
      <c r="B643"/>
      <c r="C643"/>
      <c r="D643"/>
      <c r="E643"/>
      <c r="F643"/>
      <c r="G643"/>
      <c r="H643"/>
      <c r="I643"/>
      <c r="J643"/>
      <c r="K643" s="13" t="s">
        <v>39</v>
      </c>
      <c r="L643" s="13" t="s">
        <v>402</v>
      </c>
      <c r="M643" s="13" t="s">
        <v>403</v>
      </c>
      <c r="N643" s="15">
        <v>0</v>
      </c>
      <c r="O643" s="16">
        <v>0</v>
      </c>
      <c r="P643" s="17">
        <v>1760.2440499953284</v>
      </c>
      <c r="Q643" s="17">
        <v>0</v>
      </c>
      <c r="R643" s="13"/>
      <c r="S643" s="13" t="s">
        <v>267</v>
      </c>
      <c r="T643" s="13" t="s">
        <v>395</v>
      </c>
      <c r="U643" s="13" t="s">
        <v>602</v>
      </c>
      <c r="V643" s="13" t="s">
        <v>553</v>
      </c>
      <c r="W643" s="14">
        <v>0</v>
      </c>
    </row>
    <row r="644" spans="1:23" x14ac:dyDescent="0.2">
      <c r="A644"/>
      <c r="B644"/>
      <c r="C644"/>
      <c r="D644"/>
      <c r="E644"/>
      <c r="F644"/>
      <c r="G644"/>
      <c r="H644"/>
      <c r="I644"/>
      <c r="J644"/>
      <c r="K644" s="13" t="s">
        <v>39</v>
      </c>
      <c r="L644" s="13" t="s">
        <v>451</v>
      </c>
      <c r="M644" s="13" t="s">
        <v>369</v>
      </c>
      <c r="N644" s="15">
        <v>0</v>
      </c>
      <c r="O644" s="16">
        <v>0</v>
      </c>
      <c r="P644" s="17">
        <v>1777.2458999961048</v>
      </c>
      <c r="Q644" s="17">
        <v>0</v>
      </c>
      <c r="R644" s="13"/>
      <c r="S644" s="13" t="s">
        <v>267</v>
      </c>
      <c r="T644" s="13" t="s">
        <v>395</v>
      </c>
      <c r="U644" s="13" t="s">
        <v>602</v>
      </c>
      <c r="V644" s="13" t="s">
        <v>550</v>
      </c>
      <c r="W644" s="14">
        <v>0</v>
      </c>
    </row>
    <row r="645" spans="1:23" x14ac:dyDescent="0.2">
      <c r="A645"/>
      <c r="B645"/>
      <c r="C645"/>
      <c r="D645"/>
      <c r="E645"/>
      <c r="F645"/>
      <c r="G645"/>
      <c r="H645"/>
      <c r="I645"/>
      <c r="J645"/>
      <c r="K645" s="13" t="s">
        <v>39</v>
      </c>
      <c r="L645" s="13" t="s">
        <v>381</v>
      </c>
      <c r="M645" s="13" t="s">
        <v>382</v>
      </c>
      <c r="N645" s="15">
        <v>13</v>
      </c>
      <c r="O645" s="16">
        <v>0</v>
      </c>
      <c r="P645" s="17">
        <v>0</v>
      </c>
      <c r="Q645" s="17">
        <v>0</v>
      </c>
      <c r="R645" s="13"/>
      <c r="S645" s="13" t="s">
        <v>267</v>
      </c>
      <c r="T645" s="13" t="s">
        <v>406</v>
      </c>
      <c r="U645" s="13" t="s">
        <v>361</v>
      </c>
      <c r="V645" s="13" t="s">
        <v>549</v>
      </c>
      <c r="W645" s="14">
        <v>2</v>
      </c>
    </row>
    <row r="646" spans="1:23" x14ac:dyDescent="0.2">
      <c r="A646"/>
      <c r="B646"/>
      <c r="C646"/>
      <c r="D646"/>
      <c r="E646"/>
      <c r="F646"/>
      <c r="G646"/>
      <c r="H646"/>
      <c r="I646"/>
      <c r="J646"/>
      <c r="K646" s="13" t="s">
        <v>39</v>
      </c>
      <c r="L646" s="13" t="s">
        <v>383</v>
      </c>
      <c r="M646" s="13" t="s">
        <v>420</v>
      </c>
      <c r="N646" s="15">
        <v>2</v>
      </c>
      <c r="O646" s="16">
        <v>0</v>
      </c>
      <c r="P646" s="17">
        <v>0</v>
      </c>
      <c r="Q646" s="17">
        <v>0</v>
      </c>
      <c r="R646" s="13"/>
      <c r="S646" s="13" t="s">
        <v>267</v>
      </c>
      <c r="T646" s="13" t="s">
        <v>406</v>
      </c>
      <c r="U646" s="13" t="s">
        <v>361</v>
      </c>
      <c r="V646" s="13" t="s">
        <v>553</v>
      </c>
      <c r="W646" s="14">
        <v>1.2</v>
      </c>
    </row>
    <row r="647" spans="1:23" x14ac:dyDescent="0.2">
      <c r="A647"/>
      <c r="B647"/>
      <c r="C647"/>
      <c r="D647"/>
      <c r="E647"/>
      <c r="F647"/>
      <c r="G647"/>
      <c r="H647"/>
      <c r="I647"/>
      <c r="J647"/>
      <c r="K647" s="13" t="s">
        <v>39</v>
      </c>
      <c r="L647" s="13" t="s">
        <v>458</v>
      </c>
      <c r="M647" s="13" t="s">
        <v>459</v>
      </c>
      <c r="N647" s="15">
        <v>0</v>
      </c>
      <c r="O647" s="16">
        <v>0</v>
      </c>
      <c r="P647" s="17">
        <v>1230.0269999965822</v>
      </c>
      <c r="Q647" s="17">
        <v>0</v>
      </c>
      <c r="R647" s="13"/>
      <c r="S647" s="13" t="s">
        <v>267</v>
      </c>
      <c r="T647" s="13" t="s">
        <v>528</v>
      </c>
      <c r="U647" s="13" t="s">
        <v>384</v>
      </c>
      <c r="V647" s="13" t="s">
        <v>549</v>
      </c>
      <c r="W647" s="14">
        <v>0</v>
      </c>
    </row>
    <row r="648" spans="1:23" x14ac:dyDescent="0.2">
      <c r="A648"/>
      <c r="B648"/>
      <c r="C648"/>
      <c r="D648"/>
      <c r="E648"/>
      <c r="F648"/>
      <c r="G648"/>
      <c r="H648"/>
      <c r="I648"/>
      <c r="J648"/>
      <c r="K648" s="13" t="s">
        <v>40</v>
      </c>
      <c r="L648" s="13" t="s">
        <v>401</v>
      </c>
      <c r="M648" s="13" t="s">
        <v>360</v>
      </c>
      <c r="N648" s="15">
        <v>0</v>
      </c>
      <c r="O648" s="16">
        <v>0</v>
      </c>
      <c r="P648" s="17">
        <v>794.62779999176769</v>
      </c>
      <c r="Q648" s="17">
        <v>0</v>
      </c>
      <c r="R648" s="13"/>
      <c r="S648" s="13" t="s">
        <v>267</v>
      </c>
      <c r="T648" s="13" t="s">
        <v>528</v>
      </c>
      <c r="U648" s="13" t="s">
        <v>384</v>
      </c>
      <c r="V648" s="13" t="s">
        <v>553</v>
      </c>
      <c r="W648" s="14">
        <v>0</v>
      </c>
    </row>
    <row r="649" spans="1:23" x14ac:dyDescent="0.2">
      <c r="A649"/>
      <c r="B649"/>
      <c r="C649"/>
      <c r="D649"/>
      <c r="E649"/>
      <c r="F649"/>
      <c r="G649"/>
      <c r="H649"/>
      <c r="I649"/>
      <c r="J649"/>
      <c r="K649" s="13" t="s">
        <v>40</v>
      </c>
      <c r="L649" s="13" t="s">
        <v>402</v>
      </c>
      <c r="M649" s="13" t="s">
        <v>403</v>
      </c>
      <c r="N649" s="15">
        <v>0</v>
      </c>
      <c r="O649" s="16">
        <v>0</v>
      </c>
      <c r="P649" s="17">
        <v>6361.6622443899851</v>
      </c>
      <c r="Q649" s="17">
        <v>0</v>
      </c>
      <c r="R649" s="13"/>
      <c r="S649" s="13" t="s">
        <v>267</v>
      </c>
      <c r="T649" s="13" t="s">
        <v>613</v>
      </c>
      <c r="U649" s="13" t="s">
        <v>444</v>
      </c>
      <c r="V649" s="13" t="s">
        <v>549</v>
      </c>
      <c r="W649" s="14">
        <v>0</v>
      </c>
    </row>
    <row r="650" spans="1:23" x14ac:dyDescent="0.2">
      <c r="A650"/>
      <c r="B650"/>
      <c r="C650"/>
      <c r="D650"/>
      <c r="E650"/>
      <c r="F650"/>
      <c r="G650"/>
      <c r="H650"/>
      <c r="I650"/>
      <c r="J650"/>
      <c r="K650" s="13" t="s">
        <v>40</v>
      </c>
      <c r="L650" s="13" t="s">
        <v>448</v>
      </c>
      <c r="M650" s="13" t="s">
        <v>366</v>
      </c>
      <c r="N650" s="15">
        <v>0</v>
      </c>
      <c r="O650" s="16">
        <v>0</v>
      </c>
      <c r="P650" s="17">
        <v>3123.7209204259989</v>
      </c>
      <c r="Q650" s="17">
        <v>0</v>
      </c>
      <c r="R650" s="13"/>
      <c r="S650" s="13" t="s">
        <v>269</v>
      </c>
      <c r="T650" s="13" t="s">
        <v>404</v>
      </c>
      <c r="U650" s="13" t="s">
        <v>405</v>
      </c>
      <c r="V650" s="13" t="s">
        <v>549</v>
      </c>
      <c r="W650" s="14">
        <v>1.3</v>
      </c>
    </row>
    <row r="651" spans="1:23" x14ac:dyDescent="0.2">
      <c r="A651"/>
      <c r="B651"/>
      <c r="C651"/>
      <c r="D651"/>
      <c r="E651"/>
      <c r="F651"/>
      <c r="G651"/>
      <c r="H651"/>
      <c r="I651"/>
      <c r="J651"/>
      <c r="K651" s="13" t="s">
        <v>40</v>
      </c>
      <c r="L651" s="13" t="s">
        <v>462</v>
      </c>
      <c r="M651" s="13" t="s">
        <v>370</v>
      </c>
      <c r="N651" s="15">
        <v>0</v>
      </c>
      <c r="O651" s="16">
        <v>0</v>
      </c>
      <c r="P651" s="17">
        <v>540.67341241059194</v>
      </c>
      <c r="Q651" s="17">
        <v>0</v>
      </c>
      <c r="R651" s="13"/>
      <c r="S651" s="13" t="s">
        <v>269</v>
      </c>
      <c r="T651" s="13" t="s">
        <v>528</v>
      </c>
      <c r="U651" s="13" t="s">
        <v>384</v>
      </c>
      <c r="V651" s="13" t="s">
        <v>549</v>
      </c>
      <c r="W651" s="14">
        <v>0</v>
      </c>
    </row>
    <row r="652" spans="1:23" x14ac:dyDescent="0.2">
      <c r="A652"/>
      <c r="B652"/>
      <c r="C652"/>
      <c r="D652"/>
      <c r="E652"/>
      <c r="F652"/>
      <c r="G652"/>
      <c r="H652"/>
      <c r="I652"/>
      <c r="J652"/>
      <c r="K652" s="13" t="s">
        <v>40</v>
      </c>
      <c r="L652" s="13" t="s">
        <v>463</v>
      </c>
      <c r="M652" s="13" t="s">
        <v>372</v>
      </c>
      <c r="N652" s="15">
        <v>0</v>
      </c>
      <c r="O652" s="16">
        <v>0</v>
      </c>
      <c r="P652" s="17">
        <v>25268.191926942658</v>
      </c>
      <c r="Q652" s="17">
        <v>0</v>
      </c>
      <c r="R652" s="13"/>
      <c r="S652" s="13" t="s">
        <v>269</v>
      </c>
      <c r="T652" s="13" t="s">
        <v>613</v>
      </c>
      <c r="U652" s="13" t="s">
        <v>444</v>
      </c>
      <c r="V652" s="13" t="s">
        <v>549</v>
      </c>
      <c r="W652" s="14">
        <v>0</v>
      </c>
    </row>
    <row r="653" spans="1:23" x14ac:dyDescent="0.2">
      <c r="A653"/>
      <c r="B653"/>
      <c r="C653"/>
      <c r="D653"/>
      <c r="E653"/>
      <c r="F653"/>
      <c r="G653"/>
      <c r="H653"/>
      <c r="I653"/>
      <c r="J653"/>
      <c r="K653" s="13" t="s">
        <v>40</v>
      </c>
      <c r="L653" s="13" t="s">
        <v>471</v>
      </c>
      <c r="M653" s="13" t="s">
        <v>472</v>
      </c>
      <c r="N653" s="15">
        <v>0</v>
      </c>
      <c r="O653" s="16">
        <v>0</v>
      </c>
      <c r="P653" s="17">
        <v>14447.507549724314</v>
      </c>
      <c r="Q653" s="17">
        <v>0</v>
      </c>
      <c r="R653" s="13"/>
      <c r="S653" s="13" t="s">
        <v>271</v>
      </c>
      <c r="T653" s="13" t="s">
        <v>404</v>
      </c>
      <c r="U653" s="13" t="s">
        <v>405</v>
      </c>
      <c r="V653" s="13" t="s">
        <v>553</v>
      </c>
      <c r="W653" s="14">
        <v>1.6</v>
      </c>
    </row>
    <row r="654" spans="1:23" x14ac:dyDescent="0.2">
      <c r="A654"/>
      <c r="B654"/>
      <c r="C654"/>
      <c r="D654"/>
      <c r="E654"/>
      <c r="F654"/>
      <c r="G654"/>
      <c r="H654"/>
      <c r="I654"/>
      <c r="J654"/>
      <c r="K654" s="13" t="s">
        <v>40</v>
      </c>
      <c r="L654" s="13" t="s">
        <v>458</v>
      </c>
      <c r="M654" s="13" t="s">
        <v>459</v>
      </c>
      <c r="N654" s="15">
        <v>0</v>
      </c>
      <c r="O654" s="16">
        <v>0</v>
      </c>
      <c r="P654" s="17">
        <v>3885.9935499942117</v>
      </c>
      <c r="Q654" s="17">
        <v>0</v>
      </c>
      <c r="R654" s="13"/>
      <c r="S654" s="13" t="s">
        <v>271</v>
      </c>
      <c r="T654" s="13" t="s">
        <v>406</v>
      </c>
      <c r="U654" s="13" t="s">
        <v>361</v>
      </c>
      <c r="V654" s="13" t="s">
        <v>549</v>
      </c>
      <c r="W654" s="14">
        <v>0</v>
      </c>
    </row>
    <row r="655" spans="1:23" x14ac:dyDescent="0.2">
      <c r="A655"/>
      <c r="B655"/>
      <c r="C655"/>
      <c r="D655"/>
      <c r="E655"/>
      <c r="F655"/>
      <c r="G655"/>
      <c r="H655"/>
      <c r="I655"/>
      <c r="J655"/>
      <c r="K655" s="13" t="s">
        <v>41</v>
      </c>
      <c r="L655" s="13" t="s">
        <v>401</v>
      </c>
      <c r="M655" s="13" t="s">
        <v>360</v>
      </c>
      <c r="N655" s="15">
        <v>0</v>
      </c>
      <c r="O655" s="16">
        <v>0</v>
      </c>
      <c r="P655" s="17">
        <v>820.16660000131844</v>
      </c>
      <c r="Q655" s="17">
        <v>0</v>
      </c>
      <c r="R655" s="13"/>
      <c r="S655" s="13" t="s">
        <v>271</v>
      </c>
      <c r="T655" s="13" t="s">
        <v>528</v>
      </c>
      <c r="U655" s="13" t="s">
        <v>384</v>
      </c>
      <c r="V655" s="13" t="s">
        <v>549</v>
      </c>
      <c r="W655" s="14">
        <v>0</v>
      </c>
    </row>
    <row r="656" spans="1:23" x14ac:dyDescent="0.2">
      <c r="A656"/>
      <c r="B656"/>
      <c r="C656"/>
      <c r="D656"/>
      <c r="E656"/>
      <c r="F656"/>
      <c r="G656"/>
      <c r="H656"/>
      <c r="I656"/>
      <c r="J656"/>
      <c r="K656" s="13" t="s">
        <v>41</v>
      </c>
      <c r="L656" s="13" t="s">
        <v>456</v>
      </c>
      <c r="M656" s="13" t="s">
        <v>457</v>
      </c>
      <c r="N656" s="15">
        <v>0</v>
      </c>
      <c r="O656" s="16">
        <v>0</v>
      </c>
      <c r="P656" s="17">
        <v>81.66278704412737</v>
      </c>
      <c r="Q656" s="17">
        <v>0</v>
      </c>
      <c r="R656" s="13"/>
      <c r="S656" s="13" t="s">
        <v>271</v>
      </c>
      <c r="T656" s="13" t="s">
        <v>528</v>
      </c>
      <c r="U656" s="13" t="s">
        <v>384</v>
      </c>
      <c r="V656" s="13" t="s">
        <v>549</v>
      </c>
      <c r="W656" s="14">
        <v>1.2</v>
      </c>
    </row>
    <row r="657" spans="1:23" x14ac:dyDescent="0.2">
      <c r="A657"/>
      <c r="B657"/>
      <c r="C657"/>
      <c r="D657"/>
      <c r="E657"/>
      <c r="F657"/>
      <c r="G657"/>
      <c r="H657"/>
      <c r="I657"/>
      <c r="J657"/>
      <c r="K657" s="13" t="s">
        <v>41</v>
      </c>
      <c r="L657" s="13" t="s">
        <v>463</v>
      </c>
      <c r="M657" s="13" t="s">
        <v>372</v>
      </c>
      <c r="N657" s="15">
        <v>0</v>
      </c>
      <c r="O657" s="16">
        <v>0</v>
      </c>
      <c r="P657" s="17">
        <v>901.82938704544586</v>
      </c>
      <c r="Q657" s="17">
        <v>0</v>
      </c>
      <c r="R657" s="13"/>
      <c r="S657" s="13" t="s">
        <v>271</v>
      </c>
      <c r="T657" s="13" t="s">
        <v>613</v>
      </c>
      <c r="U657" s="13" t="s">
        <v>444</v>
      </c>
      <c r="V657" s="13" t="s">
        <v>549</v>
      </c>
      <c r="W657" s="14">
        <v>0</v>
      </c>
    </row>
    <row r="658" spans="1:23" x14ac:dyDescent="0.2">
      <c r="A658"/>
      <c r="B658"/>
      <c r="C658"/>
      <c r="D658"/>
      <c r="E658"/>
      <c r="F658"/>
      <c r="G658"/>
      <c r="H658"/>
      <c r="I658"/>
      <c r="J658"/>
      <c r="K658" s="13" t="s">
        <v>41</v>
      </c>
      <c r="L658" s="13" t="s">
        <v>454</v>
      </c>
      <c r="M658" s="13" t="s">
        <v>455</v>
      </c>
      <c r="N658" s="15">
        <v>0</v>
      </c>
      <c r="O658" s="16">
        <v>0</v>
      </c>
      <c r="P658" s="17">
        <v>697.28154998702428</v>
      </c>
      <c r="Q658" s="17">
        <v>0</v>
      </c>
      <c r="R658" s="13"/>
      <c r="S658" s="13" t="s">
        <v>271</v>
      </c>
      <c r="T658" s="13" t="s">
        <v>613</v>
      </c>
      <c r="U658" s="13" t="s">
        <v>444</v>
      </c>
      <c r="V658" s="13" t="s">
        <v>550</v>
      </c>
      <c r="W658" s="14">
        <v>0</v>
      </c>
    </row>
    <row r="659" spans="1:23" x14ac:dyDescent="0.2">
      <c r="A659"/>
      <c r="B659"/>
      <c r="C659"/>
      <c r="D659"/>
      <c r="E659"/>
      <c r="F659"/>
      <c r="G659"/>
      <c r="H659"/>
      <c r="I659"/>
      <c r="J659"/>
      <c r="K659" s="13" t="s">
        <v>42</v>
      </c>
      <c r="L659" s="13" t="s">
        <v>435</v>
      </c>
      <c r="M659" s="13" t="s">
        <v>364</v>
      </c>
      <c r="N659" s="15">
        <v>0</v>
      </c>
      <c r="O659" s="16">
        <v>0</v>
      </c>
      <c r="P659" s="17">
        <v>325975.50414444401</v>
      </c>
      <c r="Q659" s="17">
        <v>0</v>
      </c>
      <c r="R659" s="13"/>
      <c r="S659" s="13" t="s">
        <v>271</v>
      </c>
      <c r="T659" s="13" t="s">
        <v>611</v>
      </c>
      <c r="U659" s="13" t="s">
        <v>423</v>
      </c>
      <c r="V659" s="13" t="s">
        <v>549</v>
      </c>
      <c r="W659" s="14">
        <v>0</v>
      </c>
    </row>
    <row r="660" spans="1:23" x14ac:dyDescent="0.2">
      <c r="A660"/>
      <c r="B660"/>
      <c r="C660"/>
      <c r="D660"/>
      <c r="E660"/>
      <c r="F660"/>
      <c r="G660"/>
      <c r="H660"/>
      <c r="I660"/>
      <c r="J660"/>
      <c r="K660" s="13" t="s">
        <v>42</v>
      </c>
      <c r="L660" s="13" t="s">
        <v>387</v>
      </c>
      <c r="M660" s="13" t="s">
        <v>386</v>
      </c>
      <c r="N660" s="15">
        <v>0</v>
      </c>
      <c r="O660" s="16">
        <v>0</v>
      </c>
      <c r="P660" s="17">
        <v>893.24180005850542</v>
      </c>
      <c r="Q660" s="17">
        <v>0</v>
      </c>
      <c r="R660" s="13"/>
      <c r="S660" s="13" t="s">
        <v>273</v>
      </c>
      <c r="T660" s="13" t="s">
        <v>395</v>
      </c>
      <c r="U660" s="13" t="s">
        <v>602</v>
      </c>
      <c r="V660" s="13" t="s">
        <v>549</v>
      </c>
      <c r="W660" s="14">
        <v>0</v>
      </c>
    </row>
    <row r="661" spans="1:23" x14ac:dyDescent="0.2">
      <c r="A661"/>
      <c r="B661"/>
      <c r="C661"/>
      <c r="D661"/>
      <c r="E661"/>
      <c r="F661"/>
      <c r="G661"/>
      <c r="H661"/>
      <c r="I661"/>
      <c r="J661"/>
      <c r="K661" s="13" t="s">
        <v>42</v>
      </c>
      <c r="L661" s="13" t="s">
        <v>391</v>
      </c>
      <c r="M661" s="13" t="s">
        <v>358</v>
      </c>
      <c r="N661" s="15">
        <v>0</v>
      </c>
      <c r="O661" s="16">
        <v>0</v>
      </c>
      <c r="P661" s="17">
        <v>7004.8603498454886</v>
      </c>
      <c r="Q661" s="17">
        <v>0</v>
      </c>
      <c r="R661" s="13"/>
      <c r="S661" s="13" t="s">
        <v>273</v>
      </c>
      <c r="T661" s="13" t="s">
        <v>396</v>
      </c>
      <c r="U661" s="13" t="s">
        <v>604</v>
      </c>
      <c r="V661" s="13" t="s">
        <v>549</v>
      </c>
      <c r="W661" s="14">
        <v>1.5</v>
      </c>
    </row>
    <row r="662" spans="1:23" x14ac:dyDescent="0.2">
      <c r="A662"/>
      <c r="B662"/>
      <c r="C662"/>
      <c r="D662"/>
      <c r="E662"/>
      <c r="F662"/>
      <c r="G662"/>
      <c r="H662"/>
      <c r="I662"/>
      <c r="J662"/>
      <c r="K662" s="13" t="s">
        <v>42</v>
      </c>
      <c r="L662" s="13" t="s">
        <v>401</v>
      </c>
      <c r="M662" s="13" t="s">
        <v>360</v>
      </c>
      <c r="N662" s="15">
        <v>0</v>
      </c>
      <c r="O662" s="16">
        <v>0</v>
      </c>
      <c r="P662" s="17">
        <v>32747.875399289747</v>
      </c>
      <c r="Q662" s="17">
        <v>0</v>
      </c>
      <c r="R662" s="13"/>
      <c r="S662" s="13" t="s">
        <v>273</v>
      </c>
      <c r="T662" s="13" t="s">
        <v>396</v>
      </c>
      <c r="U662" s="13" t="s">
        <v>604</v>
      </c>
      <c r="V662" s="13" t="s">
        <v>553</v>
      </c>
      <c r="W662" s="14">
        <v>3</v>
      </c>
    </row>
    <row r="663" spans="1:23" x14ac:dyDescent="0.2">
      <c r="A663"/>
      <c r="B663"/>
      <c r="C663"/>
      <c r="D663"/>
      <c r="E663"/>
      <c r="F663"/>
      <c r="G663"/>
      <c r="H663"/>
      <c r="I663"/>
      <c r="J663"/>
      <c r="K663" s="13" t="s">
        <v>42</v>
      </c>
      <c r="L663" s="13" t="s">
        <v>402</v>
      </c>
      <c r="M663" s="13" t="s">
        <v>403</v>
      </c>
      <c r="N663" s="15">
        <v>0</v>
      </c>
      <c r="O663" s="16">
        <v>0</v>
      </c>
      <c r="P663" s="17">
        <v>7035.9156998194949</v>
      </c>
      <c r="Q663" s="17">
        <v>0</v>
      </c>
      <c r="R663" s="13"/>
      <c r="S663" s="13" t="s">
        <v>273</v>
      </c>
      <c r="T663" s="13" t="s">
        <v>396</v>
      </c>
      <c r="U663" s="13" t="s">
        <v>604</v>
      </c>
      <c r="V663" s="13" t="s">
        <v>550</v>
      </c>
      <c r="W663" s="14">
        <v>1</v>
      </c>
    </row>
    <row r="664" spans="1:23" x14ac:dyDescent="0.2">
      <c r="A664"/>
      <c r="B664"/>
      <c r="C664"/>
      <c r="D664"/>
      <c r="E664"/>
      <c r="F664"/>
      <c r="G664"/>
      <c r="H664"/>
      <c r="I664"/>
      <c r="J664"/>
      <c r="K664" s="13" t="s">
        <v>42</v>
      </c>
      <c r="L664" s="13" t="s">
        <v>462</v>
      </c>
      <c r="M664" s="13" t="s">
        <v>370</v>
      </c>
      <c r="N664" s="15">
        <v>0</v>
      </c>
      <c r="O664" s="16">
        <v>0</v>
      </c>
      <c r="P664" s="17">
        <v>259066.98864571613</v>
      </c>
      <c r="Q664" s="17">
        <v>0</v>
      </c>
      <c r="R664" s="13"/>
      <c r="S664" s="13" t="s">
        <v>273</v>
      </c>
      <c r="T664" s="13" t="s">
        <v>406</v>
      </c>
      <c r="U664" s="13" t="s">
        <v>361</v>
      </c>
      <c r="V664" s="13" t="s">
        <v>549</v>
      </c>
      <c r="W664" s="14">
        <v>1</v>
      </c>
    </row>
    <row r="665" spans="1:23" x14ac:dyDescent="0.2">
      <c r="A665"/>
      <c r="B665"/>
      <c r="C665"/>
      <c r="D665"/>
      <c r="E665"/>
      <c r="F665"/>
      <c r="G665"/>
      <c r="H665"/>
      <c r="I665"/>
      <c r="J665"/>
      <c r="K665" s="13" t="s">
        <v>42</v>
      </c>
      <c r="L665" s="13" t="s">
        <v>456</v>
      </c>
      <c r="M665" s="13" t="s">
        <v>457</v>
      </c>
      <c r="N665" s="15">
        <v>0</v>
      </c>
      <c r="O665" s="16">
        <v>0</v>
      </c>
      <c r="P665" s="17">
        <v>14226.596599728269</v>
      </c>
      <c r="Q665" s="17">
        <v>0</v>
      </c>
      <c r="R665" s="13"/>
      <c r="S665" s="13" t="s">
        <v>273</v>
      </c>
      <c r="T665" s="13" t="s">
        <v>406</v>
      </c>
      <c r="U665" s="13" t="s">
        <v>361</v>
      </c>
      <c r="V665" s="13" t="s">
        <v>549</v>
      </c>
      <c r="W665" s="14">
        <v>2</v>
      </c>
    </row>
    <row r="666" spans="1:23" x14ac:dyDescent="0.2">
      <c r="A666"/>
      <c r="B666"/>
      <c r="C666"/>
      <c r="D666"/>
      <c r="E666"/>
      <c r="F666"/>
      <c r="G666"/>
      <c r="H666"/>
      <c r="I666"/>
      <c r="J666"/>
      <c r="K666" s="13" t="s">
        <v>42</v>
      </c>
      <c r="L666" s="13" t="s">
        <v>463</v>
      </c>
      <c r="M666" s="13" t="s">
        <v>372</v>
      </c>
      <c r="N666" s="15">
        <v>0</v>
      </c>
      <c r="O666" s="16">
        <v>0</v>
      </c>
      <c r="P666" s="17">
        <v>367326.54859376868</v>
      </c>
      <c r="Q666" s="17">
        <v>0</v>
      </c>
      <c r="R666" s="13"/>
      <c r="S666" s="13" t="s">
        <v>273</v>
      </c>
      <c r="T666" s="13" t="s">
        <v>406</v>
      </c>
      <c r="U666" s="13" t="s">
        <v>361</v>
      </c>
      <c r="V666" s="13" t="s">
        <v>549</v>
      </c>
      <c r="W666" s="14">
        <v>0</v>
      </c>
    </row>
    <row r="667" spans="1:23" x14ac:dyDescent="0.2">
      <c r="A667"/>
      <c r="B667"/>
      <c r="C667"/>
      <c r="D667"/>
      <c r="E667"/>
      <c r="F667"/>
      <c r="G667"/>
      <c r="H667"/>
      <c r="I667"/>
      <c r="J667"/>
      <c r="K667" s="13" t="s">
        <v>42</v>
      </c>
      <c r="L667" s="13" t="s">
        <v>381</v>
      </c>
      <c r="M667" s="13" t="s">
        <v>382</v>
      </c>
      <c r="N667" s="15">
        <v>69</v>
      </c>
      <c r="O667" s="16">
        <v>0</v>
      </c>
      <c r="P667" s="17">
        <v>0</v>
      </c>
      <c r="Q667" s="17">
        <v>0</v>
      </c>
      <c r="R667" s="13"/>
      <c r="S667" s="13" t="s">
        <v>273</v>
      </c>
      <c r="T667" s="13" t="s">
        <v>406</v>
      </c>
      <c r="U667" s="13" t="s">
        <v>361</v>
      </c>
      <c r="V667" s="13" t="s">
        <v>549</v>
      </c>
      <c r="W667" s="14">
        <v>0.8</v>
      </c>
    </row>
    <row r="668" spans="1:23" x14ac:dyDescent="0.2">
      <c r="A668"/>
      <c r="B668"/>
      <c r="C668"/>
      <c r="D668"/>
      <c r="E668"/>
      <c r="F668"/>
      <c r="G668"/>
      <c r="H668"/>
      <c r="I668"/>
      <c r="J668"/>
      <c r="K668" s="13" t="s">
        <v>42</v>
      </c>
      <c r="L668" s="13" t="s">
        <v>471</v>
      </c>
      <c r="M668" s="13" t="s">
        <v>472</v>
      </c>
      <c r="N668" s="15">
        <v>0</v>
      </c>
      <c r="O668" s="16">
        <v>0</v>
      </c>
      <c r="P668" s="17">
        <v>46351.070099311015</v>
      </c>
      <c r="Q668" s="17">
        <v>0</v>
      </c>
      <c r="R668" s="13"/>
      <c r="S668" s="13" t="s">
        <v>273</v>
      </c>
      <c r="T668" s="13" t="s">
        <v>467</v>
      </c>
      <c r="U668" s="13" t="s">
        <v>422</v>
      </c>
      <c r="V668" s="13" t="s">
        <v>549</v>
      </c>
      <c r="W668" s="14">
        <v>0</v>
      </c>
    </row>
    <row r="669" spans="1:23" x14ac:dyDescent="0.2">
      <c r="A669"/>
      <c r="B669"/>
      <c r="C669"/>
      <c r="D669"/>
      <c r="E669"/>
      <c r="F669"/>
      <c r="G669"/>
      <c r="H669"/>
      <c r="I669"/>
      <c r="J669"/>
      <c r="K669" s="13" t="s">
        <v>42</v>
      </c>
      <c r="L669" s="13" t="s">
        <v>411</v>
      </c>
      <c r="M669" s="13" t="s">
        <v>362</v>
      </c>
      <c r="N669" s="15">
        <v>1</v>
      </c>
      <c r="O669" s="16">
        <v>0</v>
      </c>
      <c r="P669" s="17">
        <v>0</v>
      </c>
      <c r="Q669" s="17">
        <v>0</v>
      </c>
      <c r="R669" s="13"/>
      <c r="S669" s="13" t="s">
        <v>273</v>
      </c>
      <c r="T669" s="13" t="s">
        <v>528</v>
      </c>
      <c r="U669" s="13" t="s">
        <v>384</v>
      </c>
      <c r="V669" s="13" t="s">
        <v>549</v>
      </c>
      <c r="W669" s="14">
        <v>0</v>
      </c>
    </row>
    <row r="670" spans="1:23" x14ac:dyDescent="0.2">
      <c r="A670"/>
      <c r="B670"/>
      <c r="C670"/>
      <c r="D670"/>
      <c r="E670"/>
      <c r="F670"/>
      <c r="G670"/>
      <c r="H670"/>
      <c r="I670"/>
      <c r="J670"/>
      <c r="K670" s="13" t="s">
        <v>42</v>
      </c>
      <c r="L670" s="13" t="s">
        <v>606</v>
      </c>
      <c r="M670" s="13" t="s">
        <v>430</v>
      </c>
      <c r="N670" s="15">
        <v>11</v>
      </c>
      <c r="O670" s="16">
        <v>0</v>
      </c>
      <c r="P670" s="17">
        <v>0</v>
      </c>
      <c r="Q670" s="17">
        <v>0</v>
      </c>
      <c r="R670" s="13"/>
      <c r="S670" s="13" t="s">
        <v>273</v>
      </c>
      <c r="T670" s="13" t="s">
        <v>528</v>
      </c>
      <c r="U670" s="13" t="s">
        <v>384</v>
      </c>
      <c r="V670" s="13" t="s">
        <v>553</v>
      </c>
      <c r="W670" s="14">
        <v>0</v>
      </c>
    </row>
    <row r="671" spans="1:23" x14ac:dyDescent="0.2">
      <c r="A671"/>
      <c r="B671"/>
      <c r="C671"/>
      <c r="D671"/>
      <c r="E671"/>
      <c r="F671"/>
      <c r="G671"/>
      <c r="H671"/>
      <c r="I671"/>
      <c r="J671"/>
      <c r="K671" s="13" t="s">
        <v>42</v>
      </c>
      <c r="L671" s="13" t="s">
        <v>608</v>
      </c>
      <c r="M671" s="13" t="s">
        <v>432</v>
      </c>
      <c r="N671" s="15">
        <v>14</v>
      </c>
      <c r="O671" s="16">
        <v>0</v>
      </c>
      <c r="P671" s="17">
        <v>0</v>
      </c>
      <c r="Q671" s="17">
        <v>0</v>
      </c>
      <c r="R671" s="13"/>
      <c r="S671" s="13" t="s">
        <v>273</v>
      </c>
      <c r="T671" s="13" t="s">
        <v>528</v>
      </c>
      <c r="U671" s="13" t="s">
        <v>384</v>
      </c>
      <c r="V671" s="13" t="s">
        <v>550</v>
      </c>
      <c r="W671" s="14">
        <v>0</v>
      </c>
    </row>
    <row r="672" spans="1:23" x14ac:dyDescent="0.2">
      <c r="A672"/>
      <c r="B672"/>
      <c r="C672"/>
      <c r="D672"/>
      <c r="E672"/>
      <c r="F672"/>
      <c r="G672"/>
      <c r="H672"/>
      <c r="I672"/>
      <c r="J672"/>
      <c r="K672" s="13" t="s">
        <v>42</v>
      </c>
      <c r="L672" s="13" t="s">
        <v>383</v>
      </c>
      <c r="M672" s="13" t="s">
        <v>420</v>
      </c>
      <c r="N672" s="15">
        <v>1</v>
      </c>
      <c r="O672" s="16">
        <v>0</v>
      </c>
      <c r="P672" s="17">
        <v>0</v>
      </c>
      <c r="Q672" s="17">
        <v>0</v>
      </c>
      <c r="R672" s="13"/>
      <c r="S672" s="13" t="s">
        <v>273</v>
      </c>
      <c r="T672" s="13" t="s">
        <v>613</v>
      </c>
      <c r="U672" s="13" t="s">
        <v>444</v>
      </c>
      <c r="V672" s="13" t="s">
        <v>549</v>
      </c>
      <c r="W672" s="14">
        <v>0</v>
      </c>
    </row>
    <row r="673" spans="1:23" x14ac:dyDescent="0.2">
      <c r="A673"/>
      <c r="B673"/>
      <c r="C673"/>
      <c r="D673"/>
      <c r="E673"/>
      <c r="F673"/>
      <c r="G673"/>
      <c r="H673"/>
      <c r="I673"/>
      <c r="J673"/>
      <c r="K673" s="13" t="s">
        <v>42</v>
      </c>
      <c r="L673" s="13" t="s">
        <v>614</v>
      </c>
      <c r="M673" s="13" t="s">
        <v>447</v>
      </c>
      <c r="N673" s="15">
        <v>2</v>
      </c>
      <c r="O673" s="16">
        <v>0</v>
      </c>
      <c r="P673" s="17">
        <v>0</v>
      </c>
      <c r="Q673" s="17">
        <v>0</v>
      </c>
      <c r="R673" s="13"/>
      <c r="S673" s="13" t="s">
        <v>273</v>
      </c>
      <c r="T673" s="13" t="s">
        <v>613</v>
      </c>
      <c r="U673" s="13" t="s">
        <v>444</v>
      </c>
      <c r="V673" s="13" t="s">
        <v>553</v>
      </c>
      <c r="W673" s="14">
        <v>0</v>
      </c>
    </row>
    <row r="674" spans="1:23" x14ac:dyDescent="0.2">
      <c r="A674"/>
      <c r="B674"/>
      <c r="C674"/>
      <c r="D674"/>
      <c r="E674"/>
      <c r="F674"/>
      <c r="G674"/>
      <c r="H674"/>
      <c r="I674"/>
      <c r="J674"/>
      <c r="K674" s="13" t="s">
        <v>42</v>
      </c>
      <c r="L674" s="13" t="s">
        <v>454</v>
      </c>
      <c r="M674" s="13" t="s">
        <v>455</v>
      </c>
      <c r="N674" s="15">
        <v>0</v>
      </c>
      <c r="O674" s="16">
        <v>0</v>
      </c>
      <c r="P674" s="17">
        <v>8852.4227598273683</v>
      </c>
      <c r="Q674" s="17">
        <v>0</v>
      </c>
      <c r="R674" s="13"/>
      <c r="S674" s="13" t="s">
        <v>273</v>
      </c>
      <c r="T674" s="13" t="s">
        <v>613</v>
      </c>
      <c r="U674" s="13" t="s">
        <v>444</v>
      </c>
      <c r="V674" s="13" t="s">
        <v>550</v>
      </c>
      <c r="W674" s="14">
        <v>0</v>
      </c>
    </row>
    <row r="675" spans="1:23" x14ac:dyDescent="0.2">
      <c r="A675"/>
      <c r="B675"/>
      <c r="C675"/>
      <c r="D675"/>
      <c r="E675"/>
      <c r="F675"/>
      <c r="G675"/>
      <c r="H675"/>
      <c r="I675"/>
      <c r="J675"/>
      <c r="K675" s="13" t="s">
        <v>42</v>
      </c>
      <c r="L675" s="13" t="s">
        <v>464</v>
      </c>
      <c r="M675" s="13" t="s">
        <v>373</v>
      </c>
      <c r="N675" s="15">
        <v>0</v>
      </c>
      <c r="O675" s="16">
        <v>1073.5342242364552</v>
      </c>
      <c r="P675" s="17">
        <v>0</v>
      </c>
      <c r="Q675" s="17">
        <v>0</v>
      </c>
      <c r="R675" s="13"/>
      <c r="S675" s="13" t="s">
        <v>273</v>
      </c>
      <c r="T675" s="13" t="s">
        <v>611</v>
      </c>
      <c r="U675" s="13" t="s">
        <v>423</v>
      </c>
      <c r="V675" s="13" t="s">
        <v>549</v>
      </c>
      <c r="W675" s="14">
        <v>0</v>
      </c>
    </row>
    <row r="676" spans="1:23" x14ac:dyDescent="0.2">
      <c r="A676"/>
      <c r="B676"/>
      <c r="C676"/>
      <c r="D676"/>
      <c r="E676"/>
      <c r="F676"/>
      <c r="G676"/>
      <c r="H676"/>
      <c r="I676"/>
      <c r="J676"/>
      <c r="K676" s="13" t="s">
        <v>43</v>
      </c>
      <c r="L676" s="13" t="s">
        <v>435</v>
      </c>
      <c r="M676" s="13" t="s">
        <v>364</v>
      </c>
      <c r="N676" s="15">
        <v>0</v>
      </c>
      <c r="O676" s="16">
        <v>0</v>
      </c>
      <c r="P676" s="17">
        <v>21.18549999920814</v>
      </c>
      <c r="Q676" s="17">
        <v>0</v>
      </c>
      <c r="R676" s="13"/>
      <c r="S676" s="13" t="s">
        <v>275</v>
      </c>
      <c r="T676" s="13" t="s">
        <v>404</v>
      </c>
      <c r="U676" s="13" t="s">
        <v>405</v>
      </c>
      <c r="V676" s="13" t="s">
        <v>549</v>
      </c>
      <c r="W676" s="14">
        <v>0.8</v>
      </c>
    </row>
    <row r="677" spans="1:23" x14ac:dyDescent="0.2">
      <c r="A677"/>
      <c r="B677"/>
      <c r="C677"/>
      <c r="D677"/>
      <c r="E677"/>
      <c r="F677"/>
      <c r="G677"/>
      <c r="H677"/>
      <c r="I677"/>
      <c r="J677"/>
      <c r="K677" s="13" t="s">
        <v>43</v>
      </c>
      <c r="L677" s="13" t="s">
        <v>389</v>
      </c>
      <c r="M677" s="13" t="s">
        <v>388</v>
      </c>
      <c r="N677" s="15">
        <v>0</v>
      </c>
      <c r="O677" s="16">
        <v>0</v>
      </c>
      <c r="P677" s="17">
        <v>278.80294841519543</v>
      </c>
      <c r="Q677" s="17">
        <v>0</v>
      </c>
      <c r="R677" s="13"/>
      <c r="S677" s="13" t="s">
        <v>275</v>
      </c>
      <c r="T677" s="13" t="s">
        <v>404</v>
      </c>
      <c r="U677" s="13" t="s">
        <v>405</v>
      </c>
      <c r="V677" s="13" t="s">
        <v>553</v>
      </c>
      <c r="W677" s="14">
        <v>1.5</v>
      </c>
    </row>
    <row r="678" spans="1:23" x14ac:dyDescent="0.2">
      <c r="A678"/>
      <c r="B678"/>
      <c r="C678"/>
      <c r="D678"/>
      <c r="E678"/>
      <c r="F678"/>
      <c r="G678"/>
      <c r="H678"/>
      <c r="I678"/>
      <c r="J678"/>
      <c r="K678" s="13" t="s">
        <v>43</v>
      </c>
      <c r="L678" s="13" t="s">
        <v>391</v>
      </c>
      <c r="M678" s="13" t="s">
        <v>358</v>
      </c>
      <c r="N678" s="15">
        <v>0</v>
      </c>
      <c r="O678" s="16">
        <v>0</v>
      </c>
      <c r="P678" s="17">
        <v>6327.5945542443787</v>
      </c>
      <c r="Q678" s="17">
        <v>0</v>
      </c>
      <c r="R678" s="13"/>
      <c r="S678" s="13" t="s">
        <v>275</v>
      </c>
      <c r="T678" s="13" t="s">
        <v>528</v>
      </c>
      <c r="U678" s="13" t="s">
        <v>384</v>
      </c>
      <c r="V678" s="13" t="s">
        <v>549</v>
      </c>
      <c r="W678" s="14">
        <v>0</v>
      </c>
    </row>
    <row r="679" spans="1:23" x14ac:dyDescent="0.2">
      <c r="A679"/>
      <c r="B679"/>
      <c r="C679"/>
      <c r="D679"/>
      <c r="E679"/>
      <c r="F679"/>
      <c r="G679"/>
      <c r="H679"/>
      <c r="I679"/>
      <c r="J679"/>
      <c r="K679" s="13" t="s">
        <v>43</v>
      </c>
      <c r="L679" s="13" t="s">
        <v>436</v>
      </c>
      <c r="M679" s="13" t="s">
        <v>487</v>
      </c>
      <c r="N679" s="15">
        <v>0</v>
      </c>
      <c r="O679" s="16">
        <v>0</v>
      </c>
      <c r="P679" s="17">
        <v>396.47504999576785</v>
      </c>
      <c r="Q679" s="17">
        <v>0</v>
      </c>
      <c r="R679" s="13"/>
      <c r="S679" s="13" t="s">
        <v>275</v>
      </c>
      <c r="T679" s="13" t="s">
        <v>528</v>
      </c>
      <c r="U679" s="13" t="s">
        <v>384</v>
      </c>
      <c r="V679" s="13" t="s">
        <v>553</v>
      </c>
      <c r="W679" s="14">
        <v>0</v>
      </c>
    </row>
    <row r="680" spans="1:23" x14ac:dyDescent="0.2">
      <c r="A680"/>
      <c r="B680"/>
      <c r="C680"/>
      <c r="D680"/>
      <c r="E680"/>
      <c r="F680"/>
      <c r="G680"/>
      <c r="H680"/>
      <c r="I680"/>
      <c r="J680"/>
      <c r="K680" s="13" t="s">
        <v>43</v>
      </c>
      <c r="L680" s="13" t="s">
        <v>401</v>
      </c>
      <c r="M680" s="13" t="s">
        <v>360</v>
      </c>
      <c r="N680" s="15">
        <v>0</v>
      </c>
      <c r="O680" s="16">
        <v>0</v>
      </c>
      <c r="P680" s="17">
        <v>13247.835799878529</v>
      </c>
      <c r="Q680" s="17">
        <v>0</v>
      </c>
      <c r="R680" s="13"/>
      <c r="S680" s="13" t="s">
        <v>275</v>
      </c>
      <c r="T680" s="13" t="s">
        <v>611</v>
      </c>
      <c r="U680" s="13" t="s">
        <v>423</v>
      </c>
      <c r="V680" s="13" t="s">
        <v>549</v>
      </c>
      <c r="W680" s="14">
        <v>0</v>
      </c>
    </row>
    <row r="681" spans="1:23" x14ac:dyDescent="0.2">
      <c r="A681"/>
      <c r="B681"/>
      <c r="C681"/>
      <c r="D681"/>
      <c r="E681"/>
      <c r="F681"/>
      <c r="G681"/>
      <c r="H681"/>
      <c r="I681"/>
      <c r="J681"/>
      <c r="K681" s="13" t="s">
        <v>43</v>
      </c>
      <c r="L681" s="13" t="s">
        <v>402</v>
      </c>
      <c r="M681" s="13" t="s">
        <v>403</v>
      </c>
      <c r="N681" s="15">
        <v>0</v>
      </c>
      <c r="O681" s="16">
        <v>0</v>
      </c>
      <c r="P681" s="17">
        <v>18535.244623822869</v>
      </c>
      <c r="Q681" s="17">
        <v>0</v>
      </c>
      <c r="R681" s="13"/>
      <c r="S681" s="13" t="s">
        <v>277</v>
      </c>
      <c r="T681" s="13" t="s">
        <v>609</v>
      </c>
      <c r="U681" s="13" t="s">
        <v>416</v>
      </c>
      <c r="V681" s="13" t="s">
        <v>549</v>
      </c>
      <c r="W681" s="14">
        <v>0</v>
      </c>
    </row>
    <row r="682" spans="1:23" x14ac:dyDescent="0.2">
      <c r="A682"/>
      <c r="B682"/>
      <c r="C682"/>
      <c r="D682"/>
      <c r="E682"/>
      <c r="F682"/>
      <c r="G682"/>
      <c r="H682"/>
      <c r="I682"/>
      <c r="J682"/>
      <c r="K682" s="13" t="s">
        <v>43</v>
      </c>
      <c r="L682" s="13" t="s">
        <v>473</v>
      </c>
      <c r="M682" s="13" t="s">
        <v>474</v>
      </c>
      <c r="N682" s="15">
        <v>0</v>
      </c>
      <c r="O682" s="16">
        <v>0</v>
      </c>
      <c r="P682" s="17">
        <v>7703.9167856524637</v>
      </c>
      <c r="Q682" s="17">
        <v>0</v>
      </c>
      <c r="R682" s="13"/>
      <c r="S682" s="13" t="s">
        <v>277</v>
      </c>
      <c r="T682" s="13" t="s">
        <v>467</v>
      </c>
      <c r="U682" s="13" t="s">
        <v>422</v>
      </c>
      <c r="V682" s="13" t="s">
        <v>549</v>
      </c>
      <c r="W682" s="14">
        <v>0</v>
      </c>
    </row>
    <row r="683" spans="1:23" x14ac:dyDescent="0.2">
      <c r="A683"/>
      <c r="B683"/>
      <c r="C683"/>
      <c r="D683"/>
      <c r="E683"/>
      <c r="F683"/>
      <c r="G683"/>
      <c r="H683"/>
      <c r="I683"/>
      <c r="J683"/>
      <c r="K683" s="13" t="s">
        <v>43</v>
      </c>
      <c r="L683" s="13" t="s">
        <v>448</v>
      </c>
      <c r="M683" s="13" t="s">
        <v>366</v>
      </c>
      <c r="N683" s="15">
        <v>0</v>
      </c>
      <c r="O683" s="16">
        <v>0</v>
      </c>
      <c r="P683" s="17">
        <v>9488.7512497767657</v>
      </c>
      <c r="Q683" s="17">
        <v>0</v>
      </c>
      <c r="R683" s="13"/>
      <c r="S683" s="13" t="s">
        <v>277</v>
      </c>
      <c r="T683" s="13" t="s">
        <v>528</v>
      </c>
      <c r="U683" s="13" t="s">
        <v>384</v>
      </c>
      <c r="V683" s="13" t="s">
        <v>549</v>
      </c>
      <c r="W683" s="14">
        <v>0</v>
      </c>
    </row>
    <row r="684" spans="1:23" x14ac:dyDescent="0.2">
      <c r="A684"/>
      <c r="B684"/>
      <c r="C684"/>
      <c r="D684"/>
      <c r="E684"/>
      <c r="F684"/>
      <c r="G684"/>
      <c r="H684"/>
      <c r="I684"/>
      <c r="J684"/>
      <c r="K684" s="13" t="s">
        <v>43</v>
      </c>
      <c r="L684" s="13" t="s">
        <v>462</v>
      </c>
      <c r="M684" s="13" t="s">
        <v>370</v>
      </c>
      <c r="N684" s="15">
        <v>0</v>
      </c>
      <c r="O684" s="16">
        <v>0</v>
      </c>
      <c r="P684" s="17">
        <v>32459.010071537832</v>
      </c>
      <c r="Q684" s="17">
        <v>0</v>
      </c>
      <c r="R684" s="13"/>
      <c r="S684" s="13" t="s">
        <v>277</v>
      </c>
      <c r="T684" s="13" t="s">
        <v>613</v>
      </c>
      <c r="U684" s="13" t="s">
        <v>444</v>
      </c>
      <c r="V684" s="13" t="s">
        <v>549</v>
      </c>
      <c r="W684" s="14">
        <v>0</v>
      </c>
    </row>
    <row r="685" spans="1:23" x14ac:dyDescent="0.2">
      <c r="A685"/>
      <c r="B685"/>
      <c r="C685"/>
      <c r="D685"/>
      <c r="E685"/>
      <c r="F685"/>
      <c r="G685"/>
      <c r="H685"/>
      <c r="I685"/>
      <c r="J685"/>
      <c r="K685" s="13" t="s">
        <v>43</v>
      </c>
      <c r="L685" s="13" t="s">
        <v>456</v>
      </c>
      <c r="M685" s="13" t="s">
        <v>457</v>
      </c>
      <c r="N685" s="15">
        <v>0</v>
      </c>
      <c r="O685" s="16">
        <v>0</v>
      </c>
      <c r="P685" s="17">
        <v>44861.243164214342</v>
      </c>
      <c r="Q685" s="17">
        <v>0</v>
      </c>
      <c r="R685" s="13"/>
      <c r="S685" s="13" t="s">
        <v>277</v>
      </c>
      <c r="T685" s="13" t="s">
        <v>613</v>
      </c>
      <c r="U685" s="13" t="s">
        <v>444</v>
      </c>
      <c r="V685" s="13" t="s">
        <v>553</v>
      </c>
      <c r="W685" s="14">
        <v>0</v>
      </c>
    </row>
    <row r="686" spans="1:23" x14ac:dyDescent="0.2">
      <c r="A686"/>
      <c r="B686"/>
      <c r="C686"/>
      <c r="D686"/>
      <c r="E686"/>
      <c r="F686"/>
      <c r="G686"/>
      <c r="H686"/>
      <c r="I686"/>
      <c r="J686"/>
      <c r="K686" s="13" t="s">
        <v>43</v>
      </c>
      <c r="L686" s="13" t="s">
        <v>479</v>
      </c>
      <c r="M686" s="13" t="s">
        <v>480</v>
      </c>
      <c r="N686" s="15">
        <v>0</v>
      </c>
      <c r="O686" s="16">
        <v>0</v>
      </c>
      <c r="P686" s="17">
        <v>121236.65047230094</v>
      </c>
      <c r="Q686" s="17">
        <v>0</v>
      </c>
      <c r="R686" s="13"/>
      <c r="S686" s="13" t="s">
        <v>277</v>
      </c>
      <c r="T686" s="13" t="s">
        <v>611</v>
      </c>
      <c r="U686" s="13" t="s">
        <v>423</v>
      </c>
      <c r="V686" s="13" t="s">
        <v>549</v>
      </c>
      <c r="W686" s="14">
        <v>0</v>
      </c>
    </row>
    <row r="687" spans="1:23" x14ac:dyDescent="0.2">
      <c r="A687"/>
      <c r="B687"/>
      <c r="C687"/>
      <c r="D687"/>
      <c r="E687"/>
      <c r="F687"/>
      <c r="G687"/>
      <c r="H687"/>
      <c r="I687"/>
      <c r="J687"/>
      <c r="K687" s="13" t="s">
        <v>43</v>
      </c>
      <c r="L687" s="13" t="s">
        <v>482</v>
      </c>
      <c r="M687" s="13" t="s">
        <v>483</v>
      </c>
      <c r="N687" s="15">
        <v>0</v>
      </c>
      <c r="O687" s="16">
        <v>0</v>
      </c>
      <c r="P687" s="17">
        <v>10511.117249894171</v>
      </c>
      <c r="Q687" s="17">
        <v>0</v>
      </c>
      <c r="R687" s="13"/>
      <c r="S687" s="13" t="s">
        <v>279</v>
      </c>
      <c r="T687" s="13" t="s">
        <v>395</v>
      </c>
      <c r="U687" s="13" t="s">
        <v>602</v>
      </c>
      <c r="V687" s="13" t="s">
        <v>553</v>
      </c>
      <c r="W687" s="14">
        <v>0</v>
      </c>
    </row>
    <row r="688" spans="1:23" x14ac:dyDescent="0.2">
      <c r="A688"/>
      <c r="B688"/>
      <c r="C688"/>
      <c r="D688"/>
      <c r="E688"/>
      <c r="F688"/>
      <c r="G688"/>
      <c r="H688"/>
      <c r="I688"/>
      <c r="J688"/>
      <c r="K688" s="13" t="s">
        <v>43</v>
      </c>
      <c r="L688" s="13" t="s">
        <v>451</v>
      </c>
      <c r="M688" s="13" t="s">
        <v>369</v>
      </c>
      <c r="N688" s="15">
        <v>0</v>
      </c>
      <c r="O688" s="16">
        <v>0</v>
      </c>
      <c r="P688" s="17">
        <v>265178.23426972306</v>
      </c>
      <c r="Q688" s="17">
        <v>0</v>
      </c>
      <c r="R688" s="13"/>
      <c r="S688" s="13" t="s">
        <v>279</v>
      </c>
      <c r="T688" s="13" t="s">
        <v>404</v>
      </c>
      <c r="U688" s="13" t="s">
        <v>405</v>
      </c>
      <c r="V688" s="13" t="s">
        <v>549</v>
      </c>
      <c r="W688" s="14">
        <v>1.2</v>
      </c>
    </row>
    <row r="689" spans="1:23" x14ac:dyDescent="0.2">
      <c r="A689"/>
      <c r="B689"/>
      <c r="C689"/>
      <c r="D689"/>
      <c r="E689"/>
      <c r="F689"/>
      <c r="G689"/>
      <c r="H689"/>
      <c r="I689"/>
      <c r="J689"/>
      <c r="K689" s="13" t="s">
        <v>43</v>
      </c>
      <c r="L689" s="13" t="s">
        <v>381</v>
      </c>
      <c r="M689" s="13" t="s">
        <v>382</v>
      </c>
      <c r="N689" s="15">
        <v>111</v>
      </c>
      <c r="O689" s="16">
        <v>0</v>
      </c>
      <c r="P689" s="17">
        <v>0</v>
      </c>
      <c r="Q689" s="17">
        <v>0</v>
      </c>
      <c r="R689" s="13"/>
      <c r="S689" s="13" t="s">
        <v>279</v>
      </c>
      <c r="T689" s="13" t="s">
        <v>404</v>
      </c>
      <c r="U689" s="13" t="s">
        <v>405</v>
      </c>
      <c r="V689" s="13" t="s">
        <v>553</v>
      </c>
      <c r="W689" s="14">
        <v>1.8</v>
      </c>
    </row>
    <row r="690" spans="1:23" x14ac:dyDescent="0.2">
      <c r="A690"/>
      <c r="B690"/>
      <c r="C690"/>
      <c r="D690"/>
      <c r="E690"/>
      <c r="F690"/>
      <c r="G690"/>
      <c r="H690"/>
      <c r="I690"/>
      <c r="J690"/>
      <c r="K690" s="13" t="s">
        <v>43</v>
      </c>
      <c r="L690" s="13" t="s">
        <v>411</v>
      </c>
      <c r="M690" s="13" t="s">
        <v>362</v>
      </c>
      <c r="N690" s="15">
        <v>1</v>
      </c>
      <c r="O690" s="16">
        <v>0</v>
      </c>
      <c r="P690" s="17">
        <v>0</v>
      </c>
      <c r="Q690" s="17">
        <v>0</v>
      </c>
      <c r="R690" s="13"/>
      <c r="S690" s="13" t="s">
        <v>279</v>
      </c>
      <c r="T690" s="13" t="s">
        <v>610</v>
      </c>
      <c r="U690" s="13" t="s">
        <v>418</v>
      </c>
      <c r="V690" s="13" t="s">
        <v>549</v>
      </c>
      <c r="W690" s="14">
        <v>0</v>
      </c>
    </row>
    <row r="691" spans="1:23" x14ac:dyDescent="0.2">
      <c r="A691"/>
      <c r="B691"/>
      <c r="C691"/>
      <c r="D691"/>
      <c r="E691"/>
      <c r="F691"/>
      <c r="G691"/>
      <c r="H691"/>
      <c r="I691"/>
      <c r="J691"/>
      <c r="K691" s="13" t="s">
        <v>43</v>
      </c>
      <c r="L691" s="13" t="s">
        <v>603</v>
      </c>
      <c r="M691" s="13" t="s">
        <v>385</v>
      </c>
      <c r="N691" s="15">
        <v>4</v>
      </c>
      <c r="O691" s="16">
        <v>0</v>
      </c>
      <c r="P691" s="17">
        <v>0</v>
      </c>
      <c r="Q691" s="17">
        <v>0</v>
      </c>
      <c r="R691" s="13"/>
      <c r="S691" s="13" t="s">
        <v>279</v>
      </c>
      <c r="T691" s="13" t="s">
        <v>528</v>
      </c>
      <c r="U691" s="13" t="s">
        <v>384</v>
      </c>
      <c r="V691" s="13" t="s">
        <v>549</v>
      </c>
      <c r="W691" s="14">
        <v>0</v>
      </c>
    </row>
    <row r="692" spans="1:23" x14ac:dyDescent="0.2">
      <c r="A692"/>
      <c r="B692"/>
      <c r="C692"/>
      <c r="D692"/>
      <c r="E692"/>
      <c r="F692"/>
      <c r="G692"/>
      <c r="H692"/>
      <c r="I692"/>
      <c r="J692"/>
      <c r="K692" s="13" t="s">
        <v>43</v>
      </c>
      <c r="L692" s="13" t="s">
        <v>608</v>
      </c>
      <c r="M692" s="13" t="s">
        <v>432</v>
      </c>
      <c r="N692" s="15">
        <v>56</v>
      </c>
      <c r="O692" s="16">
        <v>0</v>
      </c>
      <c r="P692" s="17">
        <v>0</v>
      </c>
      <c r="Q692" s="17">
        <v>0</v>
      </c>
      <c r="R692" s="13"/>
      <c r="S692" s="13" t="s">
        <v>279</v>
      </c>
      <c r="T692" s="13" t="s">
        <v>613</v>
      </c>
      <c r="U692" s="13" t="s">
        <v>444</v>
      </c>
      <c r="V692" s="13" t="s">
        <v>549</v>
      </c>
      <c r="W692" s="14">
        <v>0</v>
      </c>
    </row>
    <row r="693" spans="1:23" x14ac:dyDescent="0.2">
      <c r="A693"/>
      <c r="B693"/>
      <c r="C693"/>
      <c r="D693"/>
      <c r="E693"/>
      <c r="F693"/>
      <c r="G693"/>
      <c r="H693"/>
      <c r="I693"/>
      <c r="J693"/>
      <c r="K693" s="13" t="s">
        <v>43</v>
      </c>
      <c r="L693" s="13" t="s">
        <v>523</v>
      </c>
      <c r="M693" s="13" t="s">
        <v>476</v>
      </c>
      <c r="N693" s="15">
        <v>0</v>
      </c>
      <c r="O693" s="16">
        <v>0</v>
      </c>
      <c r="P693" s="17">
        <v>131.59229998971259</v>
      </c>
      <c r="Q693" s="17">
        <v>0</v>
      </c>
      <c r="R693" s="13"/>
      <c r="S693" s="13" t="s">
        <v>281</v>
      </c>
      <c r="T693" s="13" t="s">
        <v>395</v>
      </c>
      <c r="U693" s="13" t="s">
        <v>602</v>
      </c>
      <c r="V693" s="13" t="s">
        <v>549</v>
      </c>
      <c r="W693" s="14">
        <v>0</v>
      </c>
    </row>
    <row r="694" spans="1:23" x14ac:dyDescent="0.2">
      <c r="A694"/>
      <c r="B694"/>
      <c r="C694"/>
      <c r="D694"/>
      <c r="E694"/>
      <c r="F694"/>
      <c r="G694"/>
      <c r="H694"/>
      <c r="I694"/>
      <c r="J694"/>
      <c r="K694" s="13" t="s">
        <v>43</v>
      </c>
      <c r="L694" s="13" t="s">
        <v>421</v>
      </c>
      <c r="M694" s="13" t="s">
        <v>443</v>
      </c>
      <c r="N694" s="15">
        <v>8</v>
      </c>
      <c r="O694" s="16">
        <v>0</v>
      </c>
      <c r="P694" s="17">
        <v>0</v>
      </c>
      <c r="Q694" s="17">
        <v>0</v>
      </c>
      <c r="R694" s="13"/>
      <c r="S694" s="13" t="s">
        <v>281</v>
      </c>
      <c r="T694" s="13" t="s">
        <v>404</v>
      </c>
      <c r="U694" s="13" t="s">
        <v>405</v>
      </c>
      <c r="V694" s="13" t="s">
        <v>553</v>
      </c>
      <c r="W694" s="14">
        <v>1.2</v>
      </c>
    </row>
    <row r="695" spans="1:23" x14ac:dyDescent="0.2">
      <c r="A695"/>
      <c r="B695"/>
      <c r="C695"/>
      <c r="D695"/>
      <c r="E695"/>
      <c r="F695"/>
      <c r="G695"/>
      <c r="H695"/>
      <c r="I695"/>
      <c r="J695"/>
      <c r="K695" s="13" t="s">
        <v>43</v>
      </c>
      <c r="L695" s="13" t="s">
        <v>383</v>
      </c>
      <c r="M695" s="13" t="s">
        <v>420</v>
      </c>
      <c r="N695" s="15">
        <v>4</v>
      </c>
      <c r="O695" s="16">
        <v>0</v>
      </c>
      <c r="P695" s="17">
        <v>0</v>
      </c>
      <c r="Q695" s="17">
        <v>0</v>
      </c>
      <c r="R695" s="13"/>
      <c r="S695" s="13" t="s">
        <v>281</v>
      </c>
      <c r="T695" s="13" t="s">
        <v>406</v>
      </c>
      <c r="U695" s="13" t="s">
        <v>361</v>
      </c>
      <c r="V695" s="13" t="s">
        <v>549</v>
      </c>
      <c r="W695" s="14">
        <v>1.5</v>
      </c>
    </row>
    <row r="696" spans="1:23" x14ac:dyDescent="0.2">
      <c r="A696"/>
      <c r="B696"/>
      <c r="C696"/>
      <c r="D696"/>
      <c r="E696"/>
      <c r="F696"/>
      <c r="G696"/>
      <c r="H696"/>
      <c r="I696"/>
      <c r="J696"/>
      <c r="K696" s="13" t="s">
        <v>43</v>
      </c>
      <c r="L696" s="13" t="s">
        <v>467</v>
      </c>
      <c r="M696" s="13" t="s">
        <v>422</v>
      </c>
      <c r="N696" s="15">
        <v>0</v>
      </c>
      <c r="O696" s="16">
        <v>239.99607942539907</v>
      </c>
      <c r="P696" s="17">
        <v>0</v>
      </c>
      <c r="Q696" s="17">
        <v>0</v>
      </c>
      <c r="R696" s="13"/>
      <c r="S696" s="13" t="s">
        <v>281</v>
      </c>
      <c r="T696" s="13" t="s">
        <v>528</v>
      </c>
      <c r="U696" s="13" t="s">
        <v>384</v>
      </c>
      <c r="V696" s="13" t="s">
        <v>549</v>
      </c>
      <c r="W696" s="14">
        <v>0</v>
      </c>
    </row>
    <row r="697" spans="1:23" x14ac:dyDescent="0.2">
      <c r="A697"/>
      <c r="B697"/>
      <c r="C697"/>
      <c r="D697"/>
      <c r="E697"/>
      <c r="F697"/>
      <c r="G697"/>
      <c r="H697"/>
      <c r="I697"/>
      <c r="J697"/>
      <c r="K697" s="13" t="s">
        <v>43</v>
      </c>
      <c r="L697" s="13" t="s">
        <v>614</v>
      </c>
      <c r="M697" s="13" t="s">
        <v>447</v>
      </c>
      <c r="N697" s="15">
        <v>5</v>
      </c>
      <c r="O697" s="16">
        <v>0</v>
      </c>
      <c r="P697" s="17">
        <v>0</v>
      </c>
      <c r="Q697" s="17">
        <v>0</v>
      </c>
      <c r="R697" s="13"/>
      <c r="S697" s="13" t="s">
        <v>281</v>
      </c>
      <c r="T697" s="13" t="s">
        <v>613</v>
      </c>
      <c r="U697" s="13" t="s">
        <v>444</v>
      </c>
      <c r="V697" s="13" t="s">
        <v>549</v>
      </c>
      <c r="W697" s="14">
        <v>0</v>
      </c>
    </row>
    <row r="698" spans="1:23" x14ac:dyDescent="0.2">
      <c r="A698"/>
      <c r="B698"/>
      <c r="C698"/>
      <c r="D698"/>
      <c r="E698"/>
      <c r="F698"/>
      <c r="G698"/>
      <c r="H698"/>
      <c r="I698"/>
      <c r="J698"/>
      <c r="K698" s="13" t="s">
        <v>43</v>
      </c>
      <c r="L698" s="13" t="s">
        <v>454</v>
      </c>
      <c r="M698" s="13" t="s">
        <v>455</v>
      </c>
      <c r="N698" s="15">
        <v>0</v>
      </c>
      <c r="O698" s="16">
        <v>0</v>
      </c>
      <c r="P698" s="17">
        <v>51.358500000694541</v>
      </c>
      <c r="Q698" s="17">
        <v>0</v>
      </c>
      <c r="R698" s="13"/>
      <c r="S698" s="13" t="s">
        <v>281</v>
      </c>
      <c r="T698" s="13" t="s">
        <v>613</v>
      </c>
      <c r="U698" s="13" t="s">
        <v>444</v>
      </c>
      <c r="V698" s="13" t="s">
        <v>553</v>
      </c>
      <c r="W698" s="14">
        <v>0</v>
      </c>
    </row>
    <row r="699" spans="1:23" x14ac:dyDescent="0.2">
      <c r="A699"/>
      <c r="B699"/>
      <c r="C699"/>
      <c r="D699"/>
      <c r="E699"/>
      <c r="F699"/>
      <c r="G699"/>
      <c r="H699"/>
      <c r="I699"/>
      <c r="J699"/>
      <c r="K699" s="13" t="s">
        <v>44</v>
      </c>
      <c r="L699" s="13" t="s">
        <v>402</v>
      </c>
      <c r="M699" s="13" t="s">
        <v>403</v>
      </c>
      <c r="N699" s="15">
        <v>0</v>
      </c>
      <c r="O699" s="16">
        <v>0</v>
      </c>
      <c r="P699" s="17">
        <v>326.23719997585647</v>
      </c>
      <c r="Q699" s="17">
        <v>0</v>
      </c>
      <c r="R699" s="13"/>
      <c r="S699" s="13" t="s">
        <v>283</v>
      </c>
      <c r="T699" s="13" t="s">
        <v>395</v>
      </c>
      <c r="U699" s="13" t="s">
        <v>602</v>
      </c>
      <c r="V699" s="13" t="s">
        <v>549</v>
      </c>
      <c r="W699" s="14">
        <v>0</v>
      </c>
    </row>
    <row r="700" spans="1:23" x14ac:dyDescent="0.2">
      <c r="A700"/>
      <c r="B700"/>
      <c r="C700"/>
      <c r="D700"/>
      <c r="E700"/>
      <c r="F700"/>
      <c r="G700"/>
      <c r="H700"/>
      <c r="I700"/>
      <c r="J700"/>
      <c r="K700" s="13" t="s">
        <v>44</v>
      </c>
      <c r="L700" s="13" t="s">
        <v>448</v>
      </c>
      <c r="M700" s="13" t="s">
        <v>366</v>
      </c>
      <c r="N700" s="15">
        <v>0</v>
      </c>
      <c r="O700" s="16">
        <v>0</v>
      </c>
      <c r="P700" s="17">
        <v>7379.070199920955</v>
      </c>
      <c r="Q700" s="17">
        <v>0</v>
      </c>
      <c r="R700" s="13"/>
      <c r="S700" s="13" t="s">
        <v>283</v>
      </c>
      <c r="T700" s="13" t="s">
        <v>404</v>
      </c>
      <c r="U700" s="13" t="s">
        <v>405</v>
      </c>
      <c r="V700" s="13" t="s">
        <v>549</v>
      </c>
      <c r="W700" s="14">
        <v>1.5</v>
      </c>
    </row>
    <row r="701" spans="1:23" x14ac:dyDescent="0.2">
      <c r="A701"/>
      <c r="B701"/>
      <c r="C701"/>
      <c r="D701"/>
      <c r="E701"/>
      <c r="F701"/>
      <c r="G701"/>
      <c r="H701"/>
      <c r="I701"/>
      <c r="J701"/>
      <c r="K701" s="13" t="s">
        <v>44</v>
      </c>
      <c r="L701" s="13" t="s">
        <v>462</v>
      </c>
      <c r="M701" s="13" t="s">
        <v>370</v>
      </c>
      <c r="N701" s="15">
        <v>0</v>
      </c>
      <c r="O701" s="16">
        <v>0</v>
      </c>
      <c r="P701" s="17">
        <v>686.85419996929102</v>
      </c>
      <c r="Q701" s="17">
        <v>0</v>
      </c>
      <c r="R701" s="13"/>
      <c r="S701" s="13" t="s">
        <v>283</v>
      </c>
      <c r="T701" s="13" t="s">
        <v>528</v>
      </c>
      <c r="U701" s="13" t="s">
        <v>384</v>
      </c>
      <c r="V701" s="13" t="s">
        <v>549</v>
      </c>
      <c r="W701" s="14">
        <v>0</v>
      </c>
    </row>
    <row r="702" spans="1:23" x14ac:dyDescent="0.2">
      <c r="A702"/>
      <c r="B702"/>
      <c r="C702"/>
      <c r="D702"/>
      <c r="E702"/>
      <c r="F702"/>
      <c r="G702"/>
      <c r="H702"/>
      <c r="I702"/>
      <c r="J702"/>
      <c r="K702" s="13" t="s">
        <v>44</v>
      </c>
      <c r="L702" s="13" t="s">
        <v>463</v>
      </c>
      <c r="M702" s="13" t="s">
        <v>372</v>
      </c>
      <c r="N702" s="15">
        <v>0</v>
      </c>
      <c r="O702" s="16">
        <v>0</v>
      </c>
      <c r="P702" s="17">
        <v>20925.300799754521</v>
      </c>
      <c r="Q702" s="17">
        <v>0</v>
      </c>
      <c r="R702" s="13"/>
      <c r="S702" s="13" t="s">
        <v>283</v>
      </c>
      <c r="T702" s="13" t="s">
        <v>613</v>
      </c>
      <c r="U702" s="13" t="s">
        <v>444</v>
      </c>
      <c r="V702" s="13" t="s">
        <v>549</v>
      </c>
      <c r="W702" s="14">
        <v>0</v>
      </c>
    </row>
    <row r="703" spans="1:23" x14ac:dyDescent="0.2">
      <c r="A703"/>
      <c r="B703"/>
      <c r="C703"/>
      <c r="D703"/>
      <c r="E703"/>
      <c r="F703"/>
      <c r="G703"/>
      <c r="H703"/>
      <c r="I703"/>
      <c r="J703"/>
      <c r="K703" s="13" t="s">
        <v>44</v>
      </c>
      <c r="L703" s="13" t="s">
        <v>381</v>
      </c>
      <c r="M703" s="13" t="s">
        <v>382</v>
      </c>
      <c r="N703" s="15">
        <v>8</v>
      </c>
      <c r="O703" s="16">
        <v>0</v>
      </c>
      <c r="P703" s="17">
        <v>0</v>
      </c>
      <c r="Q703" s="17">
        <v>0</v>
      </c>
      <c r="R703" s="13"/>
      <c r="S703" s="13" t="s">
        <v>283</v>
      </c>
      <c r="T703" s="13" t="s">
        <v>611</v>
      </c>
      <c r="U703" s="13" t="s">
        <v>423</v>
      </c>
      <c r="V703" s="13" t="s">
        <v>549</v>
      </c>
      <c r="W703" s="14">
        <v>0</v>
      </c>
    </row>
    <row r="704" spans="1:23" x14ac:dyDescent="0.2">
      <c r="A704"/>
      <c r="B704"/>
      <c r="C704"/>
      <c r="D704"/>
      <c r="E704"/>
      <c r="F704"/>
      <c r="G704"/>
      <c r="H704"/>
      <c r="I704"/>
      <c r="J704"/>
      <c r="K704" s="13" t="s">
        <v>44</v>
      </c>
      <c r="L704" s="13" t="s">
        <v>471</v>
      </c>
      <c r="M704" s="13" t="s">
        <v>472</v>
      </c>
      <c r="N704" s="15">
        <v>0</v>
      </c>
      <c r="O704" s="16">
        <v>0</v>
      </c>
      <c r="P704" s="17">
        <v>12533.139199888421</v>
      </c>
      <c r="Q704" s="17">
        <v>0</v>
      </c>
      <c r="R704" s="13"/>
      <c r="S704" s="13" t="s">
        <v>285</v>
      </c>
      <c r="T704" s="13" t="s">
        <v>395</v>
      </c>
      <c r="U704" s="13" t="s">
        <v>602</v>
      </c>
      <c r="V704" s="13" t="s">
        <v>549</v>
      </c>
      <c r="W704" s="14">
        <v>0</v>
      </c>
    </row>
    <row r="705" spans="1:23" x14ac:dyDescent="0.2">
      <c r="A705"/>
      <c r="B705"/>
      <c r="C705"/>
      <c r="D705"/>
      <c r="E705"/>
      <c r="F705"/>
      <c r="G705"/>
      <c r="H705"/>
      <c r="I705"/>
      <c r="J705"/>
      <c r="K705" s="13" t="s">
        <v>45</v>
      </c>
      <c r="L705" s="13" t="s">
        <v>387</v>
      </c>
      <c r="M705" s="13" t="s">
        <v>386</v>
      </c>
      <c r="N705" s="15">
        <v>0</v>
      </c>
      <c r="O705" s="16">
        <v>0</v>
      </c>
      <c r="P705" s="17">
        <v>2574.1803500032593</v>
      </c>
      <c r="Q705" s="17">
        <v>0</v>
      </c>
      <c r="R705" s="13"/>
      <c r="S705" s="13" t="s">
        <v>285</v>
      </c>
      <c r="T705" s="13" t="s">
        <v>395</v>
      </c>
      <c r="U705" s="13" t="s">
        <v>602</v>
      </c>
      <c r="V705" s="13" t="s">
        <v>553</v>
      </c>
      <c r="W705" s="14">
        <v>0</v>
      </c>
    </row>
    <row r="706" spans="1:23" x14ac:dyDescent="0.2">
      <c r="A706"/>
      <c r="B706"/>
      <c r="C706"/>
      <c r="D706"/>
      <c r="E706"/>
      <c r="F706"/>
      <c r="G706"/>
      <c r="H706"/>
      <c r="I706"/>
      <c r="J706"/>
      <c r="K706" s="13" t="s">
        <v>45</v>
      </c>
      <c r="L706" s="13" t="s">
        <v>391</v>
      </c>
      <c r="M706" s="13" t="s">
        <v>358</v>
      </c>
      <c r="N706" s="15">
        <v>0</v>
      </c>
      <c r="O706" s="16">
        <v>0</v>
      </c>
      <c r="P706" s="17">
        <v>1740.7743000153264</v>
      </c>
      <c r="Q706" s="17">
        <v>0</v>
      </c>
      <c r="R706" s="13"/>
      <c r="S706" s="13" t="s">
        <v>285</v>
      </c>
      <c r="T706" s="13" t="s">
        <v>404</v>
      </c>
      <c r="U706" s="13" t="s">
        <v>405</v>
      </c>
      <c r="V706" s="13" t="s">
        <v>549</v>
      </c>
      <c r="W706" s="14">
        <v>1.2</v>
      </c>
    </row>
    <row r="707" spans="1:23" x14ac:dyDescent="0.2">
      <c r="A707"/>
      <c r="B707"/>
      <c r="C707"/>
      <c r="D707"/>
      <c r="E707"/>
      <c r="F707"/>
      <c r="G707"/>
      <c r="H707"/>
      <c r="I707"/>
      <c r="J707"/>
      <c r="K707" s="13" t="s">
        <v>45</v>
      </c>
      <c r="L707" s="13" t="s">
        <v>512</v>
      </c>
      <c r="M707" s="13" t="s">
        <v>466</v>
      </c>
      <c r="N707" s="15">
        <v>0</v>
      </c>
      <c r="O707" s="16">
        <v>0</v>
      </c>
      <c r="P707" s="17">
        <v>204.3524499939021</v>
      </c>
      <c r="Q707" s="17">
        <v>0</v>
      </c>
      <c r="R707" s="13"/>
      <c r="S707" s="13" t="s">
        <v>285</v>
      </c>
      <c r="T707" s="13" t="s">
        <v>406</v>
      </c>
      <c r="U707" s="13" t="s">
        <v>361</v>
      </c>
      <c r="V707" s="13" t="s">
        <v>549</v>
      </c>
      <c r="W707" s="14">
        <v>0</v>
      </c>
    </row>
    <row r="708" spans="1:23" x14ac:dyDescent="0.2">
      <c r="A708"/>
      <c r="B708"/>
      <c r="C708"/>
      <c r="D708"/>
      <c r="E708"/>
      <c r="F708"/>
      <c r="G708"/>
      <c r="H708"/>
      <c r="I708"/>
      <c r="J708"/>
      <c r="K708" s="13" t="s">
        <v>45</v>
      </c>
      <c r="L708" s="13" t="s">
        <v>401</v>
      </c>
      <c r="M708" s="13" t="s">
        <v>360</v>
      </c>
      <c r="N708" s="15">
        <v>0</v>
      </c>
      <c r="O708" s="16">
        <v>0</v>
      </c>
      <c r="P708" s="17">
        <v>43249.886549120616</v>
      </c>
      <c r="Q708" s="17">
        <v>0</v>
      </c>
      <c r="R708" s="13"/>
      <c r="S708" s="13" t="s">
        <v>285</v>
      </c>
      <c r="T708" s="13" t="s">
        <v>609</v>
      </c>
      <c r="U708" s="13" t="s">
        <v>416</v>
      </c>
      <c r="V708" s="13" t="s">
        <v>549</v>
      </c>
      <c r="W708" s="14">
        <v>0</v>
      </c>
    </row>
    <row r="709" spans="1:23" x14ac:dyDescent="0.2">
      <c r="A709"/>
      <c r="B709"/>
      <c r="C709"/>
      <c r="D709"/>
      <c r="E709"/>
      <c r="F709"/>
      <c r="G709"/>
      <c r="H709"/>
      <c r="I709"/>
      <c r="J709"/>
      <c r="K709" s="13" t="s">
        <v>45</v>
      </c>
      <c r="L709" s="13" t="s">
        <v>473</v>
      </c>
      <c r="M709" s="13" t="s">
        <v>474</v>
      </c>
      <c r="N709" s="15">
        <v>0</v>
      </c>
      <c r="O709" s="16">
        <v>0</v>
      </c>
      <c r="P709" s="17">
        <v>10565.803667944183</v>
      </c>
      <c r="Q709" s="17">
        <v>0</v>
      </c>
      <c r="R709" s="13"/>
      <c r="S709" s="13" t="s">
        <v>285</v>
      </c>
      <c r="T709" s="13" t="s">
        <v>528</v>
      </c>
      <c r="U709" s="13" t="s">
        <v>384</v>
      </c>
      <c r="V709" s="13" t="s">
        <v>549</v>
      </c>
      <c r="W709" s="14">
        <v>0</v>
      </c>
    </row>
    <row r="710" spans="1:23" x14ac:dyDescent="0.2">
      <c r="A710"/>
      <c r="B710"/>
      <c r="C710"/>
      <c r="D710"/>
      <c r="E710"/>
      <c r="F710"/>
      <c r="G710"/>
      <c r="H710"/>
      <c r="I710"/>
      <c r="J710"/>
      <c r="K710" s="13" t="s">
        <v>45</v>
      </c>
      <c r="L710" s="13" t="s">
        <v>448</v>
      </c>
      <c r="M710" s="13" t="s">
        <v>366</v>
      </c>
      <c r="N710" s="15">
        <v>0</v>
      </c>
      <c r="O710" s="16">
        <v>0</v>
      </c>
      <c r="P710" s="17">
        <v>6.5636499973274995</v>
      </c>
      <c r="Q710" s="17">
        <v>0</v>
      </c>
      <c r="R710" s="13"/>
      <c r="S710" s="13" t="s">
        <v>285</v>
      </c>
      <c r="T710" s="13" t="s">
        <v>528</v>
      </c>
      <c r="U710" s="13" t="s">
        <v>384</v>
      </c>
      <c r="V710" s="13" t="s">
        <v>553</v>
      </c>
      <c r="W710" s="14">
        <v>0</v>
      </c>
    </row>
    <row r="711" spans="1:23" x14ac:dyDescent="0.2">
      <c r="A711"/>
      <c r="B711"/>
      <c r="C711"/>
      <c r="D711"/>
      <c r="E711"/>
      <c r="F711"/>
      <c r="G711"/>
      <c r="H711"/>
      <c r="I711"/>
      <c r="J711"/>
      <c r="K711" s="13" t="s">
        <v>45</v>
      </c>
      <c r="L711" s="13" t="s">
        <v>488</v>
      </c>
      <c r="M711" s="13" t="s">
        <v>489</v>
      </c>
      <c r="N711" s="15">
        <v>0</v>
      </c>
      <c r="O711" s="16">
        <v>0</v>
      </c>
      <c r="P711" s="17">
        <v>1073.2868500348236</v>
      </c>
      <c r="Q711" s="17">
        <v>0</v>
      </c>
      <c r="R711" s="13"/>
      <c r="S711" s="13" t="s">
        <v>285</v>
      </c>
      <c r="T711" s="13" t="s">
        <v>613</v>
      </c>
      <c r="U711" s="13" t="s">
        <v>444</v>
      </c>
      <c r="V711" s="13" t="s">
        <v>549</v>
      </c>
      <c r="W711" s="14">
        <v>0</v>
      </c>
    </row>
    <row r="712" spans="1:23" x14ac:dyDescent="0.2">
      <c r="A712"/>
      <c r="B712"/>
      <c r="C712"/>
      <c r="D712"/>
      <c r="E712"/>
      <c r="F712"/>
      <c r="G712"/>
      <c r="H712"/>
      <c r="I712"/>
      <c r="J712"/>
      <c r="K712" s="13" t="s">
        <v>45</v>
      </c>
      <c r="L712" s="13" t="s">
        <v>462</v>
      </c>
      <c r="M712" s="13" t="s">
        <v>370</v>
      </c>
      <c r="N712" s="15">
        <v>0</v>
      </c>
      <c r="O712" s="16">
        <v>0</v>
      </c>
      <c r="P712" s="17">
        <v>35883.473917539755</v>
      </c>
      <c r="Q712" s="17">
        <v>0</v>
      </c>
      <c r="R712" s="13"/>
      <c r="S712" s="13" t="s">
        <v>285</v>
      </c>
      <c r="T712" s="13" t="s">
        <v>611</v>
      </c>
      <c r="U712" s="13" t="s">
        <v>423</v>
      </c>
      <c r="V712" s="13" t="s">
        <v>549</v>
      </c>
      <c r="W712" s="14">
        <v>0</v>
      </c>
    </row>
    <row r="713" spans="1:23" x14ac:dyDescent="0.2">
      <c r="A713"/>
      <c r="B713"/>
      <c r="C713"/>
      <c r="D713"/>
      <c r="E713"/>
      <c r="F713"/>
      <c r="G713"/>
      <c r="H713"/>
      <c r="I713"/>
      <c r="J713"/>
      <c r="K713" s="13" t="s">
        <v>45</v>
      </c>
      <c r="L713" s="13" t="s">
        <v>490</v>
      </c>
      <c r="M713" s="13" t="s">
        <v>491</v>
      </c>
      <c r="N713" s="15">
        <v>0</v>
      </c>
      <c r="O713" s="16">
        <v>0</v>
      </c>
      <c r="P713" s="17">
        <v>5541.6883238367191</v>
      </c>
      <c r="Q713" s="17">
        <v>0</v>
      </c>
      <c r="R713" s="13"/>
      <c r="S713" s="13" t="s">
        <v>287</v>
      </c>
      <c r="T713" s="13" t="s">
        <v>395</v>
      </c>
      <c r="U713" s="13" t="s">
        <v>602</v>
      </c>
      <c r="V713" s="13" t="s">
        <v>549</v>
      </c>
      <c r="W713" s="14">
        <v>0</v>
      </c>
    </row>
    <row r="714" spans="1:23" x14ac:dyDescent="0.2">
      <c r="A714"/>
      <c r="B714"/>
      <c r="C714"/>
      <c r="D714"/>
      <c r="E714"/>
      <c r="F714"/>
      <c r="G714"/>
      <c r="H714"/>
      <c r="I714"/>
      <c r="J714"/>
      <c r="K714" s="13" t="s">
        <v>45</v>
      </c>
      <c r="L714" s="13" t="s">
        <v>498</v>
      </c>
      <c r="M714" s="13" t="s">
        <v>499</v>
      </c>
      <c r="N714" s="15">
        <v>0</v>
      </c>
      <c r="O714" s="16">
        <v>0</v>
      </c>
      <c r="P714" s="17">
        <v>1482.4012499527901</v>
      </c>
      <c r="Q714" s="17">
        <v>0</v>
      </c>
      <c r="R714" s="13"/>
      <c r="S714" s="13" t="s">
        <v>287</v>
      </c>
      <c r="T714" s="13" t="s">
        <v>404</v>
      </c>
      <c r="U714" s="13" t="s">
        <v>405</v>
      </c>
      <c r="V714" s="13" t="s">
        <v>549</v>
      </c>
      <c r="W714" s="14">
        <v>1.5</v>
      </c>
    </row>
    <row r="715" spans="1:23" x14ac:dyDescent="0.2">
      <c r="A715"/>
      <c r="B715"/>
      <c r="C715"/>
      <c r="D715"/>
      <c r="E715"/>
      <c r="F715"/>
      <c r="G715"/>
      <c r="H715"/>
      <c r="I715"/>
      <c r="J715"/>
      <c r="K715" s="13" t="s">
        <v>45</v>
      </c>
      <c r="L715" s="13" t="s">
        <v>451</v>
      </c>
      <c r="M715" s="13" t="s">
        <v>369</v>
      </c>
      <c r="N715" s="15">
        <v>0</v>
      </c>
      <c r="O715" s="16">
        <v>0</v>
      </c>
      <c r="P715" s="17">
        <v>102351.86495844122</v>
      </c>
      <c r="Q715" s="17">
        <v>0</v>
      </c>
      <c r="R715" s="13"/>
      <c r="S715" s="13" t="s">
        <v>287</v>
      </c>
      <c r="T715" s="13" t="s">
        <v>609</v>
      </c>
      <c r="U715" s="13" t="s">
        <v>416</v>
      </c>
      <c r="V715" s="13" t="s">
        <v>549</v>
      </c>
      <c r="W715" s="14">
        <v>0</v>
      </c>
    </row>
    <row r="716" spans="1:23" x14ac:dyDescent="0.2">
      <c r="A716"/>
      <c r="B716"/>
      <c r="C716"/>
      <c r="D716"/>
      <c r="E716"/>
      <c r="F716"/>
      <c r="G716"/>
      <c r="H716"/>
      <c r="I716"/>
      <c r="J716"/>
      <c r="K716" s="13" t="s">
        <v>45</v>
      </c>
      <c r="L716" s="13" t="s">
        <v>381</v>
      </c>
      <c r="M716" s="13" t="s">
        <v>382</v>
      </c>
      <c r="N716" s="15">
        <v>18</v>
      </c>
      <c r="O716" s="16">
        <v>0</v>
      </c>
      <c r="P716" s="17">
        <v>0</v>
      </c>
      <c r="Q716" s="17">
        <v>0</v>
      </c>
      <c r="R716" s="13"/>
      <c r="S716" s="13" t="s">
        <v>287</v>
      </c>
      <c r="T716" s="13" t="s">
        <v>528</v>
      </c>
      <c r="U716" s="13" t="s">
        <v>384</v>
      </c>
      <c r="V716" s="13" t="s">
        <v>549</v>
      </c>
      <c r="W716" s="14">
        <v>0</v>
      </c>
    </row>
    <row r="717" spans="1:23" x14ac:dyDescent="0.2">
      <c r="A717"/>
      <c r="B717"/>
      <c r="C717"/>
      <c r="D717"/>
      <c r="E717"/>
      <c r="F717"/>
      <c r="G717"/>
      <c r="H717"/>
      <c r="I717"/>
      <c r="J717"/>
      <c r="K717" s="13" t="s">
        <v>45</v>
      </c>
      <c r="L717" s="13" t="s">
        <v>411</v>
      </c>
      <c r="M717" s="13" t="s">
        <v>362</v>
      </c>
      <c r="N717" s="15">
        <v>0</v>
      </c>
      <c r="O717" s="16">
        <v>0</v>
      </c>
      <c r="P717" s="17">
        <v>9.2466000015710961</v>
      </c>
      <c r="Q717" s="17">
        <v>0</v>
      </c>
      <c r="R717" s="13"/>
      <c r="S717" s="13" t="s">
        <v>287</v>
      </c>
      <c r="T717" s="13" t="s">
        <v>528</v>
      </c>
      <c r="U717" s="13" t="s">
        <v>384</v>
      </c>
      <c r="V717" s="13" t="s">
        <v>553</v>
      </c>
      <c r="W717" s="14">
        <v>0</v>
      </c>
    </row>
    <row r="718" spans="1:23" x14ac:dyDescent="0.2">
      <c r="A718"/>
      <c r="B718"/>
      <c r="C718"/>
      <c r="D718"/>
      <c r="E718"/>
      <c r="F718"/>
      <c r="G718"/>
      <c r="H718"/>
      <c r="I718"/>
      <c r="J718"/>
      <c r="K718" s="13" t="s">
        <v>45</v>
      </c>
      <c r="L718" s="13" t="s">
        <v>411</v>
      </c>
      <c r="M718" s="13" t="s">
        <v>362</v>
      </c>
      <c r="N718" s="15">
        <v>7</v>
      </c>
      <c r="O718" s="16">
        <v>0</v>
      </c>
      <c r="P718" s="17">
        <v>0</v>
      </c>
      <c r="Q718" s="17">
        <v>0</v>
      </c>
      <c r="R718" s="13"/>
      <c r="S718" s="13" t="s">
        <v>287</v>
      </c>
      <c r="T718" s="13" t="s">
        <v>528</v>
      </c>
      <c r="U718" s="13" t="s">
        <v>384</v>
      </c>
      <c r="V718" s="13" t="s">
        <v>550</v>
      </c>
      <c r="W718" s="14">
        <v>0</v>
      </c>
    </row>
    <row r="719" spans="1:23" x14ac:dyDescent="0.2">
      <c r="A719"/>
      <c r="B719"/>
      <c r="C719"/>
      <c r="D719"/>
      <c r="E719"/>
      <c r="F719"/>
      <c r="G719"/>
      <c r="H719"/>
      <c r="I719"/>
      <c r="J719"/>
      <c r="K719" s="13" t="s">
        <v>45</v>
      </c>
      <c r="L719" s="13" t="s">
        <v>413</v>
      </c>
      <c r="M719" s="13" t="s">
        <v>428</v>
      </c>
      <c r="N719" s="15">
        <v>5</v>
      </c>
      <c r="O719" s="16">
        <v>0</v>
      </c>
      <c r="P719" s="17">
        <v>0</v>
      </c>
      <c r="Q719" s="17">
        <v>0</v>
      </c>
      <c r="R719" s="13"/>
      <c r="S719" s="13" t="s">
        <v>287</v>
      </c>
      <c r="T719" s="13" t="s">
        <v>613</v>
      </c>
      <c r="U719" s="13" t="s">
        <v>444</v>
      </c>
      <c r="V719" s="13" t="s">
        <v>549</v>
      </c>
      <c r="W719" s="14">
        <v>0</v>
      </c>
    </row>
    <row r="720" spans="1:23" x14ac:dyDescent="0.2">
      <c r="A720"/>
      <c r="B720"/>
      <c r="C720"/>
      <c r="D720"/>
      <c r="E720"/>
      <c r="F720"/>
      <c r="G720"/>
      <c r="H720"/>
      <c r="I720"/>
      <c r="J720"/>
      <c r="K720" s="13" t="s">
        <v>45</v>
      </c>
      <c r="L720" s="13" t="s">
        <v>618</v>
      </c>
      <c r="M720" s="13" t="s">
        <v>503</v>
      </c>
      <c r="N720" s="15">
        <v>3</v>
      </c>
      <c r="O720" s="16">
        <v>0</v>
      </c>
      <c r="P720" s="17">
        <v>0</v>
      </c>
      <c r="Q720" s="17">
        <v>0</v>
      </c>
      <c r="R720" s="13"/>
      <c r="S720" s="13" t="s">
        <v>287</v>
      </c>
      <c r="T720" s="13" t="s">
        <v>613</v>
      </c>
      <c r="U720" s="13" t="s">
        <v>444</v>
      </c>
      <c r="V720" s="13" t="s">
        <v>553</v>
      </c>
      <c r="W720" s="14">
        <v>0</v>
      </c>
    </row>
    <row r="721" spans="1:23" x14ac:dyDescent="0.2">
      <c r="A721"/>
      <c r="B721"/>
      <c r="C721"/>
      <c r="D721"/>
      <c r="E721"/>
      <c r="F721"/>
      <c r="G721"/>
      <c r="H721"/>
      <c r="I721"/>
      <c r="J721"/>
      <c r="K721" s="13" t="s">
        <v>45</v>
      </c>
      <c r="L721" s="13" t="s">
        <v>617</v>
      </c>
      <c r="M721" s="13" t="s">
        <v>492</v>
      </c>
      <c r="N721" s="15">
        <v>0</v>
      </c>
      <c r="O721" s="16">
        <v>108.30501234239929</v>
      </c>
      <c r="P721" s="17">
        <v>0</v>
      </c>
      <c r="Q721" s="17">
        <v>0</v>
      </c>
      <c r="R721" s="13"/>
      <c r="S721" s="13" t="s">
        <v>287</v>
      </c>
      <c r="T721" s="13" t="s">
        <v>611</v>
      </c>
      <c r="U721" s="13" t="s">
        <v>423</v>
      </c>
      <c r="V721" s="13" t="s">
        <v>549</v>
      </c>
      <c r="W721" s="14">
        <v>0</v>
      </c>
    </row>
    <row r="722" spans="1:23" x14ac:dyDescent="0.2">
      <c r="A722"/>
      <c r="B722"/>
      <c r="C722"/>
      <c r="D722"/>
      <c r="E722"/>
      <c r="F722"/>
      <c r="G722"/>
      <c r="H722"/>
      <c r="I722"/>
      <c r="J722"/>
      <c r="K722" s="13" t="s">
        <v>45</v>
      </c>
      <c r="L722" s="13" t="s">
        <v>608</v>
      </c>
      <c r="M722" s="13" t="s">
        <v>432</v>
      </c>
      <c r="N722" s="15">
        <v>51</v>
      </c>
      <c r="O722" s="16">
        <v>0</v>
      </c>
      <c r="P722" s="17">
        <v>0</v>
      </c>
      <c r="Q722" s="17">
        <v>0</v>
      </c>
      <c r="R722" s="13"/>
      <c r="S722" s="13" t="s">
        <v>289</v>
      </c>
      <c r="T722" s="13" t="s">
        <v>395</v>
      </c>
      <c r="U722" s="13" t="s">
        <v>602</v>
      </c>
      <c r="V722" s="13" t="s">
        <v>549</v>
      </c>
      <c r="W722" s="14">
        <v>0</v>
      </c>
    </row>
    <row r="723" spans="1:23" x14ac:dyDescent="0.2">
      <c r="A723"/>
      <c r="B723"/>
      <c r="C723"/>
      <c r="D723"/>
      <c r="E723"/>
      <c r="F723"/>
      <c r="G723"/>
      <c r="H723"/>
      <c r="I723"/>
      <c r="J723"/>
      <c r="K723" s="13" t="s">
        <v>45</v>
      </c>
      <c r="L723" s="13" t="s">
        <v>523</v>
      </c>
      <c r="M723" s="13" t="s">
        <v>476</v>
      </c>
      <c r="N723" s="15">
        <v>0</v>
      </c>
      <c r="O723" s="16">
        <v>0</v>
      </c>
      <c r="P723" s="17">
        <v>20.207050000959008</v>
      </c>
      <c r="Q723" s="17">
        <v>0</v>
      </c>
      <c r="R723" s="13"/>
      <c r="S723" s="13" t="s">
        <v>289</v>
      </c>
      <c r="T723" s="13" t="s">
        <v>395</v>
      </c>
      <c r="U723" s="13" t="s">
        <v>602</v>
      </c>
      <c r="V723" s="13" t="s">
        <v>553</v>
      </c>
      <c r="W723" s="14">
        <v>0</v>
      </c>
    </row>
    <row r="724" spans="1:23" x14ac:dyDescent="0.2">
      <c r="A724"/>
      <c r="B724"/>
      <c r="C724"/>
      <c r="D724"/>
      <c r="E724"/>
      <c r="F724"/>
      <c r="G724"/>
      <c r="H724"/>
      <c r="I724"/>
      <c r="J724"/>
      <c r="K724" s="13" t="s">
        <v>45</v>
      </c>
      <c r="L724" s="13" t="s">
        <v>421</v>
      </c>
      <c r="M724" s="13" t="s">
        <v>443</v>
      </c>
      <c r="N724" s="15">
        <v>10</v>
      </c>
      <c r="O724" s="16">
        <v>0</v>
      </c>
      <c r="P724" s="17">
        <v>0</v>
      </c>
      <c r="Q724" s="17">
        <v>0</v>
      </c>
      <c r="R724" s="13"/>
      <c r="S724" s="13" t="s">
        <v>289</v>
      </c>
      <c r="T724" s="13" t="s">
        <v>404</v>
      </c>
      <c r="U724" s="13" t="s">
        <v>405</v>
      </c>
      <c r="V724" s="13" t="s">
        <v>549</v>
      </c>
      <c r="W724" s="14">
        <v>1</v>
      </c>
    </row>
    <row r="725" spans="1:23" x14ac:dyDescent="0.2">
      <c r="A725"/>
      <c r="B725"/>
      <c r="C725"/>
      <c r="D725"/>
      <c r="E725"/>
      <c r="F725"/>
      <c r="G725"/>
      <c r="H725"/>
      <c r="I725"/>
      <c r="J725"/>
      <c r="K725" s="13" t="s">
        <v>45</v>
      </c>
      <c r="L725" s="13" t="s">
        <v>383</v>
      </c>
      <c r="M725" s="13" t="s">
        <v>420</v>
      </c>
      <c r="N725" s="15">
        <v>4</v>
      </c>
      <c r="O725" s="16">
        <v>0</v>
      </c>
      <c r="P725" s="17">
        <v>0</v>
      </c>
      <c r="Q725" s="17">
        <v>0</v>
      </c>
      <c r="R725" s="13"/>
      <c r="S725" s="13" t="s">
        <v>289</v>
      </c>
      <c r="T725" s="13" t="s">
        <v>404</v>
      </c>
      <c r="U725" s="13" t="s">
        <v>405</v>
      </c>
      <c r="V725" s="13" t="s">
        <v>553</v>
      </c>
      <c r="W725" s="14">
        <v>2</v>
      </c>
    </row>
    <row r="726" spans="1:23" x14ac:dyDescent="0.2">
      <c r="A726"/>
      <c r="B726"/>
      <c r="C726"/>
      <c r="D726"/>
      <c r="E726"/>
      <c r="F726"/>
      <c r="G726"/>
      <c r="H726"/>
      <c r="I726"/>
      <c r="J726"/>
      <c r="K726" s="13" t="s">
        <v>45</v>
      </c>
      <c r="L726" s="13" t="s">
        <v>614</v>
      </c>
      <c r="M726" s="13" t="s">
        <v>447</v>
      </c>
      <c r="N726" s="15">
        <v>4</v>
      </c>
      <c r="O726" s="16">
        <v>0</v>
      </c>
      <c r="P726" s="17">
        <v>0</v>
      </c>
      <c r="Q726" s="17">
        <v>0</v>
      </c>
      <c r="R726" s="13"/>
      <c r="S726" s="13" t="s">
        <v>289</v>
      </c>
      <c r="T726" s="13" t="s">
        <v>528</v>
      </c>
      <c r="U726" s="13" t="s">
        <v>384</v>
      </c>
      <c r="V726" s="13" t="s">
        <v>549</v>
      </c>
      <c r="W726" s="14">
        <v>0</v>
      </c>
    </row>
    <row r="727" spans="1:23" x14ac:dyDescent="0.2">
      <c r="A727"/>
      <c r="B727"/>
      <c r="C727"/>
      <c r="D727"/>
      <c r="E727"/>
      <c r="F727"/>
      <c r="G727"/>
      <c r="H727"/>
      <c r="I727"/>
      <c r="J727"/>
      <c r="K727" s="13" t="s">
        <v>45</v>
      </c>
      <c r="L727" s="13" t="s">
        <v>427</v>
      </c>
      <c r="M727" s="13" t="s">
        <v>363</v>
      </c>
      <c r="N727" s="15">
        <v>1</v>
      </c>
      <c r="O727" s="16">
        <v>0</v>
      </c>
      <c r="P727" s="17">
        <v>0</v>
      </c>
      <c r="Q727" s="17">
        <v>0</v>
      </c>
      <c r="R727" s="13"/>
      <c r="S727" s="13" t="s">
        <v>289</v>
      </c>
      <c r="T727" s="13" t="s">
        <v>613</v>
      </c>
      <c r="U727" s="13" t="s">
        <v>444</v>
      </c>
      <c r="V727" s="13" t="s">
        <v>549</v>
      </c>
      <c r="W727" s="14">
        <v>0</v>
      </c>
    </row>
    <row r="728" spans="1:23" x14ac:dyDescent="0.2">
      <c r="A728"/>
      <c r="B728"/>
      <c r="C728"/>
      <c r="D728"/>
      <c r="E728"/>
      <c r="F728"/>
      <c r="G728"/>
      <c r="H728"/>
      <c r="I728"/>
      <c r="J728"/>
      <c r="K728" s="13" t="s">
        <v>45</v>
      </c>
      <c r="L728" s="13" t="s">
        <v>458</v>
      </c>
      <c r="M728" s="13" t="s">
        <v>459</v>
      </c>
      <c r="N728" s="15">
        <v>0</v>
      </c>
      <c r="O728" s="16">
        <v>0</v>
      </c>
      <c r="P728" s="17">
        <v>28266.033949515826</v>
      </c>
      <c r="Q728" s="17">
        <v>0</v>
      </c>
      <c r="R728" s="13"/>
      <c r="S728" s="13" t="s">
        <v>289</v>
      </c>
      <c r="T728" s="13" t="s">
        <v>611</v>
      </c>
      <c r="U728" s="13" t="s">
        <v>423</v>
      </c>
      <c r="V728" s="13" t="s">
        <v>549</v>
      </c>
      <c r="W728" s="14">
        <v>0</v>
      </c>
    </row>
    <row r="729" spans="1:23" x14ac:dyDescent="0.2">
      <c r="A729"/>
      <c r="B729"/>
      <c r="C729"/>
      <c r="D729"/>
      <c r="E729"/>
      <c r="F729"/>
      <c r="G729"/>
      <c r="H729"/>
      <c r="I729"/>
      <c r="J729"/>
      <c r="K729" s="13" t="s">
        <v>45</v>
      </c>
      <c r="L729" s="13" t="s">
        <v>464</v>
      </c>
      <c r="M729" s="13" t="s">
        <v>373</v>
      </c>
      <c r="N729" s="15">
        <v>0</v>
      </c>
      <c r="O729" s="16">
        <v>473.21726951121371</v>
      </c>
      <c r="P729" s="17">
        <v>0</v>
      </c>
      <c r="Q729" s="17">
        <v>0</v>
      </c>
      <c r="R729" s="13"/>
      <c r="S729" s="13" t="s">
        <v>291</v>
      </c>
      <c r="T729" s="13" t="s">
        <v>404</v>
      </c>
      <c r="U729" s="13" t="s">
        <v>405</v>
      </c>
      <c r="V729" s="13" t="s">
        <v>549</v>
      </c>
      <c r="W729" s="14">
        <v>1</v>
      </c>
    </row>
    <row r="730" spans="1:23" x14ac:dyDescent="0.2">
      <c r="A730"/>
      <c r="B730"/>
      <c r="C730"/>
      <c r="D730"/>
      <c r="E730"/>
      <c r="F730"/>
      <c r="G730"/>
      <c r="H730"/>
      <c r="I730"/>
      <c r="J730"/>
      <c r="K730" s="13" t="s">
        <v>46</v>
      </c>
      <c r="L730" s="13" t="s">
        <v>462</v>
      </c>
      <c r="M730" s="13" t="s">
        <v>370</v>
      </c>
      <c r="N730" s="15">
        <v>0</v>
      </c>
      <c r="O730" s="16">
        <v>0</v>
      </c>
      <c r="P730" s="17">
        <v>401.98474996235609</v>
      </c>
      <c r="Q730" s="17">
        <v>0</v>
      </c>
      <c r="R730" s="13"/>
      <c r="S730" s="13" t="s">
        <v>291</v>
      </c>
      <c r="T730" s="13" t="s">
        <v>404</v>
      </c>
      <c r="U730" s="13" t="s">
        <v>405</v>
      </c>
      <c r="V730" s="13" t="s">
        <v>553</v>
      </c>
      <c r="W730" s="14">
        <v>1.5</v>
      </c>
    </row>
    <row r="731" spans="1:23" x14ac:dyDescent="0.2">
      <c r="A731"/>
      <c r="B731"/>
      <c r="C731"/>
      <c r="D731"/>
      <c r="E731"/>
      <c r="F731"/>
      <c r="G731"/>
      <c r="H731"/>
      <c r="I731"/>
      <c r="J731"/>
      <c r="K731" s="13" t="s">
        <v>46</v>
      </c>
      <c r="L731" s="13" t="s">
        <v>463</v>
      </c>
      <c r="M731" s="13" t="s">
        <v>372</v>
      </c>
      <c r="N731" s="15">
        <v>0</v>
      </c>
      <c r="O731" s="16">
        <v>0</v>
      </c>
      <c r="P731" s="17">
        <v>401.98474996235609</v>
      </c>
      <c r="Q731" s="17">
        <v>0</v>
      </c>
      <c r="R731" s="13"/>
      <c r="S731" s="13" t="s">
        <v>291</v>
      </c>
      <c r="T731" s="13" t="s">
        <v>406</v>
      </c>
      <c r="U731" s="13" t="s">
        <v>361</v>
      </c>
      <c r="V731" s="13" t="s">
        <v>549</v>
      </c>
      <c r="W731" s="14">
        <v>1.4</v>
      </c>
    </row>
    <row r="732" spans="1:23" x14ac:dyDescent="0.2">
      <c r="A732"/>
      <c r="B732"/>
      <c r="C732"/>
      <c r="D732"/>
      <c r="E732"/>
      <c r="F732"/>
      <c r="G732"/>
      <c r="H732"/>
      <c r="I732"/>
      <c r="J732"/>
      <c r="K732" s="13" t="s">
        <v>46</v>
      </c>
      <c r="L732" s="13" t="s">
        <v>454</v>
      </c>
      <c r="M732" s="13" t="s">
        <v>455</v>
      </c>
      <c r="N732" s="15">
        <v>0</v>
      </c>
      <c r="O732" s="16">
        <v>0</v>
      </c>
      <c r="P732" s="17">
        <v>541.62979999138133</v>
      </c>
      <c r="Q732" s="17">
        <v>0</v>
      </c>
      <c r="R732" s="13"/>
      <c r="S732" s="13" t="s">
        <v>291</v>
      </c>
      <c r="T732" s="13" t="s">
        <v>528</v>
      </c>
      <c r="U732" s="13" t="s">
        <v>384</v>
      </c>
      <c r="V732" s="13" t="s">
        <v>549</v>
      </c>
      <c r="W732" s="14">
        <v>0</v>
      </c>
    </row>
    <row r="733" spans="1:23" x14ac:dyDescent="0.2">
      <c r="A733"/>
      <c r="B733"/>
      <c r="C733"/>
      <c r="D733"/>
      <c r="E733"/>
      <c r="F733"/>
      <c r="G733"/>
      <c r="H733"/>
      <c r="I733"/>
      <c r="J733"/>
      <c r="K733" s="13" t="s">
        <v>47</v>
      </c>
      <c r="L733" s="13" t="s">
        <v>402</v>
      </c>
      <c r="M733" s="13" t="s">
        <v>403</v>
      </c>
      <c r="N733" s="15">
        <v>0</v>
      </c>
      <c r="O733" s="16">
        <v>0</v>
      </c>
      <c r="P733" s="17">
        <v>580.95249995788492</v>
      </c>
      <c r="Q733" s="17">
        <v>0</v>
      </c>
      <c r="R733" s="13"/>
      <c r="S733" s="13" t="s">
        <v>291</v>
      </c>
      <c r="T733" s="13" t="s">
        <v>528</v>
      </c>
      <c r="U733" s="13" t="s">
        <v>384</v>
      </c>
      <c r="V733" s="13" t="s">
        <v>553</v>
      </c>
      <c r="W733" s="14">
        <v>0</v>
      </c>
    </row>
    <row r="734" spans="1:23" x14ac:dyDescent="0.2">
      <c r="A734"/>
      <c r="B734"/>
      <c r="C734"/>
      <c r="D734"/>
      <c r="E734"/>
      <c r="F734"/>
      <c r="G734"/>
      <c r="H734"/>
      <c r="I734"/>
      <c r="J734"/>
      <c r="K734" s="13" t="s">
        <v>47</v>
      </c>
      <c r="L734" s="13" t="s">
        <v>456</v>
      </c>
      <c r="M734" s="13" t="s">
        <v>457</v>
      </c>
      <c r="N734" s="15">
        <v>0</v>
      </c>
      <c r="O734" s="16">
        <v>0</v>
      </c>
      <c r="P734" s="17">
        <v>254.94960000180367</v>
      </c>
      <c r="Q734" s="17">
        <v>0</v>
      </c>
      <c r="R734" s="13"/>
      <c r="S734" s="13" t="s">
        <v>291</v>
      </c>
      <c r="T734" s="13" t="s">
        <v>613</v>
      </c>
      <c r="U734" s="13" t="s">
        <v>444</v>
      </c>
      <c r="V734" s="13" t="s">
        <v>549</v>
      </c>
      <c r="W734" s="14">
        <v>0</v>
      </c>
    </row>
    <row r="735" spans="1:23" x14ac:dyDescent="0.2">
      <c r="A735"/>
      <c r="B735"/>
      <c r="C735"/>
      <c r="D735"/>
      <c r="E735"/>
      <c r="F735"/>
      <c r="G735"/>
      <c r="H735"/>
      <c r="I735"/>
      <c r="J735"/>
      <c r="K735" s="13" t="s">
        <v>47</v>
      </c>
      <c r="L735" s="13" t="s">
        <v>629</v>
      </c>
      <c r="M735" s="13" t="s">
        <v>630</v>
      </c>
      <c r="N735" s="15">
        <v>0</v>
      </c>
      <c r="O735" s="16">
        <v>0</v>
      </c>
      <c r="P735" s="17">
        <v>61.577949938325766</v>
      </c>
      <c r="Q735" s="17">
        <v>343.13506953551831</v>
      </c>
      <c r="R735" s="13"/>
      <c r="S735" s="13" t="s">
        <v>292</v>
      </c>
      <c r="T735" s="13" t="s">
        <v>404</v>
      </c>
      <c r="U735" s="13" t="s">
        <v>405</v>
      </c>
      <c r="V735" s="13" t="s">
        <v>549</v>
      </c>
      <c r="W735" s="14">
        <v>0</v>
      </c>
    </row>
    <row r="736" spans="1:23" x14ac:dyDescent="0.2">
      <c r="A736"/>
      <c r="B736"/>
      <c r="C736"/>
      <c r="D736"/>
      <c r="E736"/>
      <c r="F736"/>
      <c r="G736"/>
      <c r="H736"/>
      <c r="I736"/>
      <c r="J736"/>
      <c r="K736" s="13" t="s">
        <v>47</v>
      </c>
      <c r="L736" s="13" t="s">
        <v>451</v>
      </c>
      <c r="M736" s="13" t="s">
        <v>369</v>
      </c>
      <c r="N736" s="15">
        <v>0</v>
      </c>
      <c r="O736" s="16">
        <v>0</v>
      </c>
      <c r="P736" s="17">
        <v>897.48004989801439</v>
      </c>
      <c r="Q736" s="17">
        <v>0</v>
      </c>
      <c r="R736" s="13"/>
      <c r="S736" s="13" t="s">
        <v>292</v>
      </c>
      <c r="T736" s="13" t="s">
        <v>406</v>
      </c>
      <c r="U736" s="13" t="s">
        <v>361</v>
      </c>
      <c r="V736" s="13" t="s">
        <v>549</v>
      </c>
      <c r="W736" s="14">
        <v>1.2</v>
      </c>
    </row>
    <row r="737" spans="1:23" x14ac:dyDescent="0.2">
      <c r="A737"/>
      <c r="B737"/>
      <c r="C737"/>
      <c r="D737"/>
      <c r="E737"/>
      <c r="F737"/>
      <c r="G737"/>
      <c r="H737"/>
      <c r="I737"/>
      <c r="J737"/>
      <c r="K737" s="13" t="s">
        <v>47</v>
      </c>
      <c r="L737" s="13" t="s">
        <v>381</v>
      </c>
      <c r="M737" s="13" t="s">
        <v>382</v>
      </c>
      <c r="N737" s="15">
        <v>6</v>
      </c>
      <c r="O737" s="16">
        <v>0</v>
      </c>
      <c r="P737" s="17">
        <v>0</v>
      </c>
      <c r="Q737" s="17">
        <v>0</v>
      </c>
      <c r="R737" s="13"/>
      <c r="S737" s="13" t="s">
        <v>292</v>
      </c>
      <c r="T737" s="13" t="s">
        <v>406</v>
      </c>
      <c r="U737" s="13" t="s">
        <v>361</v>
      </c>
      <c r="V737" s="13" t="s">
        <v>553</v>
      </c>
      <c r="W737" s="14">
        <v>1.2</v>
      </c>
    </row>
    <row r="738" spans="1:23" x14ac:dyDescent="0.2">
      <c r="A738"/>
      <c r="B738"/>
      <c r="C738"/>
      <c r="D738"/>
      <c r="E738"/>
      <c r="F738"/>
      <c r="G738"/>
      <c r="H738"/>
      <c r="I738"/>
      <c r="J738"/>
      <c r="K738" s="13" t="s">
        <v>47</v>
      </c>
      <c r="L738" s="13" t="s">
        <v>421</v>
      </c>
      <c r="M738" s="13" t="s">
        <v>443</v>
      </c>
      <c r="N738" s="15">
        <v>1</v>
      </c>
      <c r="O738" s="16">
        <v>0</v>
      </c>
      <c r="P738" s="17">
        <v>0</v>
      </c>
      <c r="Q738" s="17">
        <v>0</v>
      </c>
      <c r="R738" s="13"/>
      <c r="S738" s="13" t="s">
        <v>292</v>
      </c>
      <c r="T738" s="13" t="s">
        <v>528</v>
      </c>
      <c r="U738" s="13" t="s">
        <v>384</v>
      </c>
      <c r="V738" s="13" t="s">
        <v>549</v>
      </c>
      <c r="W738" s="14">
        <v>0</v>
      </c>
    </row>
    <row r="739" spans="1:23" x14ac:dyDescent="0.2">
      <c r="A739"/>
      <c r="B739"/>
      <c r="C739"/>
      <c r="D739"/>
      <c r="E739"/>
      <c r="F739"/>
      <c r="G739"/>
      <c r="H739"/>
      <c r="I739"/>
      <c r="J739"/>
      <c r="K739" s="13" t="s">
        <v>48</v>
      </c>
      <c r="L739" s="13" t="s">
        <v>401</v>
      </c>
      <c r="M739" s="13" t="s">
        <v>360</v>
      </c>
      <c r="N739" s="15">
        <v>0</v>
      </c>
      <c r="O739" s="16">
        <v>0</v>
      </c>
      <c r="P739" s="17">
        <v>126.23545000420981</v>
      </c>
      <c r="Q739" s="17">
        <v>0</v>
      </c>
      <c r="R739" s="13"/>
      <c r="S739" s="13" t="s">
        <v>292</v>
      </c>
      <c r="T739" s="13" t="s">
        <v>613</v>
      </c>
      <c r="U739" s="13" t="s">
        <v>444</v>
      </c>
      <c r="V739" s="13" t="s">
        <v>549</v>
      </c>
      <c r="W739" s="14">
        <v>0</v>
      </c>
    </row>
    <row r="740" spans="1:23" x14ac:dyDescent="0.2">
      <c r="A740"/>
      <c r="B740"/>
      <c r="C740"/>
      <c r="D740"/>
      <c r="E740"/>
      <c r="F740"/>
      <c r="G740"/>
      <c r="H740"/>
      <c r="I740"/>
      <c r="J740"/>
      <c r="K740" s="13" t="s">
        <v>48</v>
      </c>
      <c r="L740" s="13" t="s">
        <v>448</v>
      </c>
      <c r="M740" s="13" t="s">
        <v>366</v>
      </c>
      <c r="N740" s="15">
        <v>0</v>
      </c>
      <c r="O740" s="16">
        <v>0</v>
      </c>
      <c r="P740" s="17">
        <v>866.17000001173631</v>
      </c>
      <c r="Q740" s="17">
        <v>0</v>
      </c>
      <c r="R740" s="13"/>
      <c r="S740" s="13" t="s">
        <v>292</v>
      </c>
      <c r="T740" s="13" t="s">
        <v>613</v>
      </c>
      <c r="U740" s="13" t="s">
        <v>444</v>
      </c>
      <c r="V740" s="13" t="s">
        <v>553</v>
      </c>
      <c r="W740" s="14">
        <v>0</v>
      </c>
    </row>
    <row r="741" spans="1:23" x14ac:dyDescent="0.2">
      <c r="A741"/>
      <c r="B741"/>
      <c r="C741"/>
      <c r="D741"/>
      <c r="E741"/>
      <c r="F741"/>
      <c r="G741"/>
      <c r="H741"/>
      <c r="I741"/>
      <c r="J741"/>
      <c r="K741" s="13" t="s">
        <v>48</v>
      </c>
      <c r="L741" s="13" t="s">
        <v>451</v>
      </c>
      <c r="M741" s="13" t="s">
        <v>369</v>
      </c>
      <c r="N741" s="15">
        <v>0</v>
      </c>
      <c r="O741" s="16">
        <v>0</v>
      </c>
      <c r="P741" s="17">
        <v>992.40545001594614</v>
      </c>
      <c r="Q741" s="17">
        <v>0</v>
      </c>
      <c r="R741" s="13"/>
      <c r="S741" s="13" t="s">
        <v>292</v>
      </c>
      <c r="T741" s="13" t="s">
        <v>611</v>
      </c>
      <c r="U741" s="13" t="s">
        <v>423</v>
      </c>
      <c r="V741" s="13" t="s">
        <v>549</v>
      </c>
      <c r="W741" s="14">
        <v>0</v>
      </c>
    </row>
    <row r="742" spans="1:23" x14ac:dyDescent="0.2">
      <c r="A742"/>
      <c r="B742"/>
      <c r="C742"/>
      <c r="D742"/>
      <c r="E742"/>
      <c r="F742"/>
      <c r="G742"/>
      <c r="H742"/>
      <c r="I742"/>
      <c r="J742"/>
      <c r="K742" s="13" t="s">
        <v>48</v>
      </c>
      <c r="L742" s="13" t="s">
        <v>381</v>
      </c>
      <c r="M742" s="13" t="s">
        <v>382</v>
      </c>
      <c r="N742" s="15">
        <v>5</v>
      </c>
      <c r="O742" s="16">
        <v>0</v>
      </c>
      <c r="P742" s="17">
        <v>0</v>
      </c>
      <c r="Q742" s="17">
        <v>0</v>
      </c>
      <c r="R742" s="13"/>
      <c r="S742" s="13" t="s">
        <v>294</v>
      </c>
      <c r="T742" s="13" t="s">
        <v>395</v>
      </c>
      <c r="U742" s="13" t="s">
        <v>602</v>
      </c>
      <c r="V742" s="13" t="s">
        <v>549</v>
      </c>
      <c r="W742" s="14">
        <v>0</v>
      </c>
    </row>
    <row r="743" spans="1:23" x14ac:dyDescent="0.2">
      <c r="A743"/>
      <c r="B743"/>
      <c r="C743"/>
      <c r="D743"/>
      <c r="E743"/>
      <c r="F743"/>
      <c r="G743"/>
      <c r="H743"/>
      <c r="I743"/>
      <c r="J743"/>
      <c r="K743" s="13" t="s">
        <v>49</v>
      </c>
      <c r="L743" s="13" t="s">
        <v>435</v>
      </c>
      <c r="M743" s="13" t="s">
        <v>364</v>
      </c>
      <c r="N743" s="15">
        <v>0</v>
      </c>
      <c r="O743" s="16">
        <v>0</v>
      </c>
      <c r="P743" s="17">
        <v>114.11355000564984</v>
      </c>
      <c r="Q743" s="17">
        <v>0</v>
      </c>
      <c r="R743" s="13"/>
      <c r="S743" s="13" t="s">
        <v>294</v>
      </c>
      <c r="T743" s="13" t="s">
        <v>528</v>
      </c>
      <c r="U743" s="13" t="s">
        <v>384</v>
      </c>
      <c r="V743" s="13" t="s">
        <v>549</v>
      </c>
      <c r="W743" s="14">
        <v>0</v>
      </c>
    </row>
    <row r="744" spans="1:23" x14ac:dyDescent="0.2">
      <c r="A744"/>
      <c r="B744"/>
      <c r="C744"/>
      <c r="D744"/>
      <c r="E744"/>
      <c r="F744"/>
      <c r="G744"/>
      <c r="H744"/>
      <c r="I744"/>
      <c r="J744"/>
      <c r="K744" s="13" t="s">
        <v>49</v>
      </c>
      <c r="L744" s="13" t="s">
        <v>387</v>
      </c>
      <c r="M744" s="13" t="s">
        <v>386</v>
      </c>
      <c r="N744" s="15">
        <v>0</v>
      </c>
      <c r="O744" s="16">
        <v>0</v>
      </c>
      <c r="P744" s="17">
        <v>4137.446600006454</v>
      </c>
      <c r="Q744" s="17">
        <v>0</v>
      </c>
      <c r="R744" s="13"/>
      <c r="S744" s="13" t="s">
        <v>294</v>
      </c>
      <c r="T744" s="13" t="s">
        <v>613</v>
      </c>
      <c r="U744" s="13" t="s">
        <v>444</v>
      </c>
      <c r="V744" s="13" t="s">
        <v>549</v>
      </c>
      <c r="W744" s="14">
        <v>0</v>
      </c>
    </row>
    <row r="745" spans="1:23" x14ac:dyDescent="0.2">
      <c r="A745"/>
      <c r="B745"/>
      <c r="C745"/>
      <c r="D745"/>
      <c r="E745"/>
      <c r="F745"/>
      <c r="G745"/>
      <c r="H745"/>
      <c r="I745"/>
      <c r="J745"/>
      <c r="K745" s="13" t="s">
        <v>49</v>
      </c>
      <c r="L745" s="13" t="s">
        <v>389</v>
      </c>
      <c r="M745" s="13" t="s">
        <v>388</v>
      </c>
      <c r="N745" s="15">
        <v>0</v>
      </c>
      <c r="O745" s="16">
        <v>0</v>
      </c>
      <c r="P745" s="17">
        <v>3071.4606999635162</v>
      </c>
      <c r="Q745" s="17">
        <v>0</v>
      </c>
      <c r="R745" s="13"/>
      <c r="S745" s="13" t="s">
        <v>294</v>
      </c>
      <c r="T745" s="13" t="s">
        <v>613</v>
      </c>
      <c r="U745" s="13" t="s">
        <v>444</v>
      </c>
      <c r="V745" s="13" t="s">
        <v>553</v>
      </c>
      <c r="W745" s="14">
        <v>0</v>
      </c>
    </row>
    <row r="746" spans="1:23" x14ac:dyDescent="0.2">
      <c r="A746"/>
      <c r="B746"/>
      <c r="C746"/>
      <c r="D746"/>
      <c r="E746"/>
      <c r="F746"/>
      <c r="G746"/>
      <c r="H746"/>
      <c r="I746"/>
      <c r="J746"/>
      <c r="K746" s="13" t="s">
        <v>49</v>
      </c>
      <c r="L746" s="13" t="s">
        <v>542</v>
      </c>
      <c r="M746" s="13" t="s">
        <v>390</v>
      </c>
      <c r="N746" s="15">
        <v>0</v>
      </c>
      <c r="O746" s="16">
        <v>0</v>
      </c>
      <c r="P746" s="17">
        <v>1483.1655285584882</v>
      </c>
      <c r="Q746" s="17">
        <v>0</v>
      </c>
      <c r="R746" s="13"/>
      <c r="S746" s="13" t="s">
        <v>296</v>
      </c>
      <c r="T746" s="13" t="s">
        <v>395</v>
      </c>
      <c r="U746" s="13" t="s">
        <v>602</v>
      </c>
      <c r="V746" s="13" t="s">
        <v>549</v>
      </c>
      <c r="W746" s="14">
        <v>0</v>
      </c>
    </row>
    <row r="747" spans="1:23" x14ac:dyDescent="0.2">
      <c r="A747"/>
      <c r="B747"/>
      <c r="C747"/>
      <c r="D747"/>
      <c r="E747"/>
      <c r="F747"/>
      <c r="G747"/>
      <c r="H747"/>
      <c r="I747"/>
      <c r="J747"/>
      <c r="K747" s="13" t="s">
        <v>49</v>
      </c>
      <c r="L747" s="13" t="s">
        <v>391</v>
      </c>
      <c r="M747" s="13" t="s">
        <v>358</v>
      </c>
      <c r="N747" s="15">
        <v>0</v>
      </c>
      <c r="O747" s="16">
        <v>0</v>
      </c>
      <c r="P747" s="17">
        <v>270.07639999313966</v>
      </c>
      <c r="Q747" s="17">
        <v>0</v>
      </c>
      <c r="R747" s="13"/>
      <c r="S747" s="13" t="s">
        <v>296</v>
      </c>
      <c r="T747" s="13" t="s">
        <v>404</v>
      </c>
      <c r="U747" s="13" t="s">
        <v>405</v>
      </c>
      <c r="V747" s="13" t="s">
        <v>549</v>
      </c>
      <c r="W747" s="14">
        <v>2</v>
      </c>
    </row>
    <row r="748" spans="1:23" x14ac:dyDescent="0.2">
      <c r="A748"/>
      <c r="B748"/>
      <c r="C748"/>
      <c r="D748"/>
      <c r="E748"/>
      <c r="F748"/>
      <c r="G748"/>
      <c r="H748"/>
      <c r="I748"/>
      <c r="J748"/>
      <c r="K748" s="13" t="s">
        <v>49</v>
      </c>
      <c r="L748" s="13" t="s">
        <v>486</v>
      </c>
      <c r="M748" s="13" t="s">
        <v>439</v>
      </c>
      <c r="N748" s="15">
        <v>0</v>
      </c>
      <c r="O748" s="16">
        <v>0</v>
      </c>
      <c r="P748" s="17">
        <v>30.356249997936541</v>
      </c>
      <c r="Q748" s="17">
        <v>0</v>
      </c>
      <c r="R748" s="13"/>
      <c r="S748" s="13" t="s">
        <v>296</v>
      </c>
      <c r="T748" s="13" t="s">
        <v>404</v>
      </c>
      <c r="U748" s="13" t="s">
        <v>405</v>
      </c>
      <c r="V748" s="13" t="s">
        <v>549</v>
      </c>
      <c r="W748" s="14">
        <v>1.8</v>
      </c>
    </row>
    <row r="749" spans="1:23" x14ac:dyDescent="0.2">
      <c r="A749"/>
      <c r="B749"/>
      <c r="C749"/>
      <c r="D749"/>
      <c r="E749"/>
      <c r="F749"/>
      <c r="G749"/>
      <c r="H749"/>
      <c r="I749"/>
      <c r="J749"/>
      <c r="K749" s="13" t="s">
        <v>49</v>
      </c>
      <c r="L749" s="13" t="s">
        <v>399</v>
      </c>
      <c r="M749" s="13" t="s">
        <v>400</v>
      </c>
      <c r="N749" s="15">
        <v>0</v>
      </c>
      <c r="O749" s="16">
        <v>0</v>
      </c>
      <c r="P749" s="17">
        <v>112.83780000513796</v>
      </c>
      <c r="Q749" s="17">
        <v>0</v>
      </c>
      <c r="R749" s="13"/>
      <c r="S749" s="13" t="s">
        <v>296</v>
      </c>
      <c r="T749" s="13" t="s">
        <v>404</v>
      </c>
      <c r="U749" s="13" t="s">
        <v>405</v>
      </c>
      <c r="V749" s="13" t="s">
        <v>553</v>
      </c>
      <c r="W749" s="14">
        <v>1</v>
      </c>
    </row>
    <row r="750" spans="1:23" x14ac:dyDescent="0.2">
      <c r="A750"/>
      <c r="B750"/>
      <c r="C750"/>
      <c r="D750"/>
      <c r="E750"/>
      <c r="F750"/>
      <c r="G750"/>
      <c r="H750"/>
      <c r="I750"/>
      <c r="J750"/>
      <c r="K750" s="13" t="s">
        <v>49</v>
      </c>
      <c r="L750" s="13" t="s">
        <v>402</v>
      </c>
      <c r="M750" s="13" t="s">
        <v>403</v>
      </c>
      <c r="N750" s="15">
        <v>0</v>
      </c>
      <c r="O750" s="16">
        <v>0</v>
      </c>
      <c r="P750" s="17">
        <v>491.38864996814385</v>
      </c>
      <c r="Q750" s="17">
        <v>0</v>
      </c>
      <c r="R750" s="13"/>
      <c r="S750" s="13" t="s">
        <v>296</v>
      </c>
      <c r="T750" s="13" t="s">
        <v>406</v>
      </c>
      <c r="U750" s="13" t="s">
        <v>361</v>
      </c>
      <c r="V750" s="13" t="s">
        <v>549</v>
      </c>
      <c r="W750" s="14">
        <v>1.8</v>
      </c>
    </row>
    <row r="751" spans="1:23" x14ac:dyDescent="0.2">
      <c r="A751"/>
      <c r="B751"/>
      <c r="C751"/>
      <c r="D751"/>
      <c r="E751"/>
      <c r="F751"/>
      <c r="G751"/>
      <c r="H751"/>
      <c r="I751"/>
      <c r="J751"/>
      <c r="K751" s="13" t="s">
        <v>49</v>
      </c>
      <c r="L751" s="13" t="s">
        <v>448</v>
      </c>
      <c r="M751" s="13" t="s">
        <v>366</v>
      </c>
      <c r="N751" s="15">
        <v>0</v>
      </c>
      <c r="O751" s="16">
        <v>0</v>
      </c>
      <c r="P751" s="17">
        <v>3491.9665015097598</v>
      </c>
      <c r="Q751" s="17">
        <v>0</v>
      </c>
      <c r="R751" s="13"/>
      <c r="S751" s="13" t="s">
        <v>296</v>
      </c>
      <c r="T751" s="13" t="s">
        <v>609</v>
      </c>
      <c r="U751" s="13" t="s">
        <v>416</v>
      </c>
      <c r="V751" s="13" t="s">
        <v>549</v>
      </c>
      <c r="W751" s="14">
        <v>0</v>
      </c>
    </row>
    <row r="752" spans="1:23" x14ac:dyDescent="0.2">
      <c r="A752"/>
      <c r="B752"/>
      <c r="C752"/>
      <c r="D752"/>
      <c r="E752"/>
      <c r="F752"/>
      <c r="G752"/>
      <c r="H752"/>
      <c r="I752"/>
      <c r="J752"/>
      <c r="K752" s="13" t="s">
        <v>49</v>
      </c>
      <c r="L752" s="13" t="s">
        <v>629</v>
      </c>
      <c r="M752" s="13" t="s">
        <v>630</v>
      </c>
      <c r="N752" s="15">
        <v>0</v>
      </c>
      <c r="O752" s="16">
        <v>0</v>
      </c>
      <c r="P752" s="17">
        <v>136.83525001261233</v>
      </c>
      <c r="Q752" s="17">
        <v>263.5551369633871</v>
      </c>
      <c r="R752" s="13"/>
      <c r="S752" s="13" t="s">
        <v>296</v>
      </c>
      <c r="T752" s="13" t="s">
        <v>528</v>
      </c>
      <c r="U752" s="13" t="s">
        <v>384</v>
      </c>
      <c r="V752" s="13" t="s">
        <v>549</v>
      </c>
      <c r="W752" s="14">
        <v>0</v>
      </c>
    </row>
    <row r="753" spans="1:23" x14ac:dyDescent="0.2">
      <c r="A753"/>
      <c r="B753"/>
      <c r="C753"/>
      <c r="D753"/>
      <c r="E753"/>
      <c r="F753"/>
      <c r="G753"/>
      <c r="H753"/>
      <c r="I753"/>
      <c r="J753"/>
      <c r="K753" s="13" t="s">
        <v>49</v>
      </c>
      <c r="L753" s="13" t="s">
        <v>504</v>
      </c>
      <c r="M753" s="13" t="s">
        <v>376</v>
      </c>
      <c r="N753" s="15">
        <v>0</v>
      </c>
      <c r="O753" s="16">
        <v>0</v>
      </c>
      <c r="P753" s="17">
        <v>13422.07898000658</v>
      </c>
      <c r="Q753" s="17">
        <v>0</v>
      </c>
      <c r="R753" s="13"/>
      <c r="S753" s="13" t="s">
        <v>296</v>
      </c>
      <c r="T753" s="13" t="s">
        <v>528</v>
      </c>
      <c r="U753" s="13" t="s">
        <v>384</v>
      </c>
      <c r="V753" s="13" t="s">
        <v>553</v>
      </c>
      <c r="W753" s="14">
        <v>0</v>
      </c>
    </row>
    <row r="754" spans="1:23" x14ac:dyDescent="0.2">
      <c r="A754"/>
      <c r="B754"/>
      <c r="C754"/>
      <c r="D754"/>
      <c r="E754"/>
      <c r="F754"/>
      <c r="G754"/>
      <c r="H754"/>
      <c r="I754"/>
      <c r="J754"/>
      <c r="K754" s="13" t="s">
        <v>49</v>
      </c>
      <c r="L754" s="13" t="s">
        <v>381</v>
      </c>
      <c r="M754" s="13" t="s">
        <v>382</v>
      </c>
      <c r="N754" s="15">
        <v>32</v>
      </c>
      <c r="O754" s="16">
        <v>0</v>
      </c>
      <c r="P754" s="17">
        <v>0</v>
      </c>
      <c r="Q754" s="17">
        <v>0</v>
      </c>
      <c r="R754" s="13"/>
      <c r="S754" s="13" t="s">
        <v>296</v>
      </c>
      <c r="T754" s="13" t="s">
        <v>613</v>
      </c>
      <c r="U754" s="13" t="s">
        <v>444</v>
      </c>
      <c r="V754" s="13" t="s">
        <v>549</v>
      </c>
      <c r="W754" s="14">
        <v>0</v>
      </c>
    </row>
    <row r="755" spans="1:23" x14ac:dyDescent="0.2">
      <c r="A755"/>
      <c r="B755"/>
      <c r="C755"/>
      <c r="D755"/>
      <c r="E755"/>
      <c r="F755"/>
      <c r="G755"/>
      <c r="H755"/>
      <c r="I755"/>
      <c r="J755"/>
      <c r="K755" s="13" t="s">
        <v>49</v>
      </c>
      <c r="L755" s="13" t="s">
        <v>407</v>
      </c>
      <c r="M755" s="13" t="s">
        <v>408</v>
      </c>
      <c r="N755" s="15">
        <v>24</v>
      </c>
      <c r="O755" s="16">
        <v>0</v>
      </c>
      <c r="P755" s="17">
        <v>0</v>
      </c>
      <c r="Q755" s="17">
        <v>0</v>
      </c>
      <c r="R755" s="13"/>
      <c r="S755" s="13" t="s">
        <v>298</v>
      </c>
      <c r="T755" s="13" t="s">
        <v>395</v>
      </c>
      <c r="U755" s="13" t="s">
        <v>602</v>
      </c>
      <c r="V755" s="13" t="s">
        <v>549</v>
      </c>
      <c r="W755" s="14">
        <v>0</v>
      </c>
    </row>
    <row r="756" spans="1:23" x14ac:dyDescent="0.2">
      <c r="A756"/>
      <c r="B756"/>
      <c r="C756"/>
      <c r="D756"/>
      <c r="E756"/>
      <c r="F756"/>
      <c r="G756"/>
      <c r="H756"/>
      <c r="I756"/>
      <c r="J756"/>
      <c r="K756" s="13" t="s">
        <v>49</v>
      </c>
      <c r="L756" s="13" t="s">
        <v>505</v>
      </c>
      <c r="M756" s="13" t="s">
        <v>506</v>
      </c>
      <c r="N756" s="15">
        <v>10</v>
      </c>
      <c r="O756" s="16">
        <v>0</v>
      </c>
      <c r="P756" s="17">
        <v>0</v>
      </c>
      <c r="Q756" s="17">
        <v>0</v>
      </c>
      <c r="R756" s="13"/>
      <c r="S756" s="13" t="s">
        <v>298</v>
      </c>
      <c r="T756" s="13" t="s">
        <v>404</v>
      </c>
      <c r="U756" s="13" t="s">
        <v>405</v>
      </c>
      <c r="V756" s="13" t="s">
        <v>549</v>
      </c>
      <c r="W756" s="14">
        <v>1.5</v>
      </c>
    </row>
    <row r="757" spans="1:23" x14ac:dyDescent="0.2">
      <c r="A757"/>
      <c r="B757"/>
      <c r="C757"/>
      <c r="D757"/>
      <c r="E757"/>
      <c r="F757"/>
      <c r="G757"/>
      <c r="H757"/>
      <c r="I757"/>
      <c r="J757"/>
      <c r="K757" s="13" t="s">
        <v>49</v>
      </c>
      <c r="L757" s="13" t="s">
        <v>411</v>
      </c>
      <c r="M757" s="13" t="s">
        <v>362</v>
      </c>
      <c r="N757" s="15">
        <v>0</v>
      </c>
      <c r="O757" s="16">
        <v>157.35117423537827</v>
      </c>
      <c r="P757" s="17">
        <v>0</v>
      </c>
      <c r="Q757" s="17">
        <v>0</v>
      </c>
      <c r="R757" s="13"/>
      <c r="S757" s="13" t="s">
        <v>298</v>
      </c>
      <c r="T757" s="13" t="s">
        <v>609</v>
      </c>
      <c r="U757" s="13" t="s">
        <v>416</v>
      </c>
      <c r="V757" s="13" t="s">
        <v>549</v>
      </c>
      <c r="W757" s="14">
        <v>0</v>
      </c>
    </row>
    <row r="758" spans="1:23" x14ac:dyDescent="0.2">
      <c r="A758"/>
      <c r="B758"/>
      <c r="C758"/>
      <c r="D758"/>
      <c r="E758"/>
      <c r="F758"/>
      <c r="G758"/>
      <c r="H758"/>
      <c r="I758"/>
      <c r="J758"/>
      <c r="K758" s="13" t="s">
        <v>49</v>
      </c>
      <c r="L758" s="13" t="s">
        <v>413</v>
      </c>
      <c r="M758" s="13" t="s">
        <v>428</v>
      </c>
      <c r="N758" s="15">
        <v>6</v>
      </c>
      <c r="O758" s="16">
        <v>0</v>
      </c>
      <c r="P758" s="17">
        <v>0</v>
      </c>
      <c r="Q758" s="17">
        <v>0</v>
      </c>
      <c r="R758" s="13"/>
      <c r="S758" s="13" t="s">
        <v>298</v>
      </c>
      <c r="T758" s="13" t="s">
        <v>528</v>
      </c>
      <c r="U758" s="13" t="s">
        <v>384</v>
      </c>
      <c r="V758" s="13" t="s">
        <v>553</v>
      </c>
      <c r="W758" s="14">
        <v>0</v>
      </c>
    </row>
    <row r="759" spans="1:23" x14ac:dyDescent="0.2">
      <c r="A759"/>
      <c r="B759"/>
      <c r="C759"/>
      <c r="D759"/>
      <c r="E759"/>
      <c r="F759"/>
      <c r="G759"/>
      <c r="H759"/>
      <c r="I759"/>
      <c r="J759"/>
      <c r="K759" s="13" t="s">
        <v>49</v>
      </c>
      <c r="L759" s="13" t="s">
        <v>605</v>
      </c>
      <c r="M759" s="13" t="s">
        <v>429</v>
      </c>
      <c r="N759" s="15">
        <v>0</v>
      </c>
      <c r="O759" s="16">
        <v>380.24028982341105</v>
      </c>
      <c r="P759" s="17">
        <v>0</v>
      </c>
      <c r="Q759" s="17">
        <v>0</v>
      </c>
      <c r="R759" s="13"/>
      <c r="S759" s="13" t="s">
        <v>298</v>
      </c>
      <c r="T759" s="13" t="s">
        <v>613</v>
      </c>
      <c r="U759" s="13" t="s">
        <v>444</v>
      </c>
      <c r="V759" s="13" t="s">
        <v>549</v>
      </c>
      <c r="W759" s="14">
        <v>0</v>
      </c>
    </row>
    <row r="760" spans="1:23" x14ac:dyDescent="0.2">
      <c r="A760"/>
      <c r="B760"/>
      <c r="C760"/>
      <c r="D760"/>
      <c r="E760"/>
      <c r="F760"/>
      <c r="G760"/>
      <c r="H760"/>
      <c r="I760"/>
      <c r="J760"/>
      <c r="K760" s="13" t="s">
        <v>49</v>
      </c>
      <c r="L760" s="13" t="s">
        <v>606</v>
      </c>
      <c r="M760" s="13" t="s">
        <v>430</v>
      </c>
      <c r="N760" s="15">
        <v>44</v>
      </c>
      <c r="O760" s="16">
        <v>0</v>
      </c>
      <c r="P760" s="17">
        <v>0</v>
      </c>
      <c r="Q760" s="17">
        <v>0</v>
      </c>
      <c r="R760" s="13"/>
      <c r="S760" s="13" t="s">
        <v>298</v>
      </c>
      <c r="T760" s="13" t="s">
        <v>613</v>
      </c>
      <c r="U760" s="13" t="s">
        <v>444</v>
      </c>
      <c r="V760" s="13" t="s">
        <v>553</v>
      </c>
      <c r="W760" s="14">
        <v>0</v>
      </c>
    </row>
    <row r="761" spans="1:23" x14ac:dyDescent="0.2">
      <c r="A761"/>
      <c r="B761"/>
      <c r="C761"/>
      <c r="D761"/>
      <c r="E761"/>
      <c r="F761"/>
      <c r="G761"/>
      <c r="H761"/>
      <c r="I761"/>
      <c r="J761"/>
      <c r="K761" s="13" t="s">
        <v>49</v>
      </c>
      <c r="L761" s="13" t="s">
        <v>417</v>
      </c>
      <c r="M761" s="13" t="s">
        <v>414</v>
      </c>
      <c r="N761" s="15">
        <v>0</v>
      </c>
      <c r="O761" s="16">
        <v>0</v>
      </c>
      <c r="P761" s="17">
        <v>196.54529999139166</v>
      </c>
      <c r="Q761" s="17">
        <v>0</v>
      </c>
      <c r="R761" s="13"/>
      <c r="S761" s="13" t="s">
        <v>298</v>
      </c>
      <c r="T761" s="13" t="s">
        <v>613</v>
      </c>
      <c r="U761" s="13" t="s">
        <v>444</v>
      </c>
      <c r="V761" s="13" t="s">
        <v>550</v>
      </c>
      <c r="W761" s="14">
        <v>0</v>
      </c>
    </row>
    <row r="762" spans="1:23" x14ac:dyDescent="0.2">
      <c r="A762"/>
      <c r="B762"/>
      <c r="C762"/>
      <c r="D762"/>
      <c r="E762"/>
      <c r="F762"/>
      <c r="G762"/>
      <c r="H762"/>
      <c r="I762"/>
      <c r="J762"/>
      <c r="K762" s="13" t="s">
        <v>49</v>
      </c>
      <c r="L762" s="13" t="s">
        <v>614</v>
      </c>
      <c r="M762" s="13" t="s">
        <v>447</v>
      </c>
      <c r="N762" s="15">
        <v>9</v>
      </c>
      <c r="O762" s="16">
        <v>0</v>
      </c>
      <c r="P762" s="17">
        <v>0</v>
      </c>
      <c r="Q762" s="17">
        <v>0</v>
      </c>
      <c r="R762" s="13"/>
      <c r="S762" s="13" t="s">
        <v>591</v>
      </c>
      <c r="T762" s="13" t="s">
        <v>395</v>
      </c>
      <c r="U762" s="13" t="s">
        <v>602</v>
      </c>
      <c r="V762" s="13" t="s">
        <v>549</v>
      </c>
      <c r="W762" s="14">
        <v>0</v>
      </c>
    </row>
    <row r="763" spans="1:23" x14ac:dyDescent="0.2">
      <c r="A763"/>
      <c r="B763"/>
      <c r="C763"/>
      <c r="D763"/>
      <c r="E763"/>
      <c r="F763"/>
      <c r="G763"/>
      <c r="H763"/>
      <c r="I763"/>
      <c r="J763"/>
      <c r="K763" s="13" t="s">
        <v>49</v>
      </c>
      <c r="L763" s="13" t="s">
        <v>454</v>
      </c>
      <c r="M763" s="13" t="s">
        <v>455</v>
      </c>
      <c r="N763" s="15">
        <v>0</v>
      </c>
      <c r="O763" s="16">
        <v>0</v>
      </c>
      <c r="P763" s="17">
        <v>182.16349998256925</v>
      </c>
      <c r="Q763" s="17">
        <v>0</v>
      </c>
      <c r="R763" s="13"/>
      <c r="S763" s="13" t="s">
        <v>591</v>
      </c>
      <c r="T763" s="13" t="s">
        <v>404</v>
      </c>
      <c r="U763" s="13" t="s">
        <v>405</v>
      </c>
      <c r="V763" s="13" t="s">
        <v>550</v>
      </c>
      <c r="W763" s="14">
        <v>1.5</v>
      </c>
    </row>
    <row r="764" spans="1:23" x14ac:dyDescent="0.2">
      <c r="A764"/>
      <c r="B764"/>
      <c r="C764"/>
      <c r="D764"/>
      <c r="E764"/>
      <c r="F764"/>
      <c r="G764"/>
      <c r="H764"/>
      <c r="I764"/>
      <c r="J764"/>
      <c r="K764" s="13" t="s">
        <v>49</v>
      </c>
      <c r="L764" s="13" t="s">
        <v>464</v>
      </c>
      <c r="M764" s="13" t="s">
        <v>373</v>
      </c>
      <c r="N764" s="15">
        <v>0</v>
      </c>
      <c r="O764" s="16">
        <v>254.18084944293713</v>
      </c>
      <c r="P764" s="17">
        <v>0</v>
      </c>
      <c r="Q764" s="17">
        <v>0</v>
      </c>
      <c r="R764" s="13"/>
      <c r="S764" s="13" t="s">
        <v>591</v>
      </c>
      <c r="T764" s="13" t="s">
        <v>404</v>
      </c>
      <c r="U764" s="13" t="s">
        <v>405</v>
      </c>
      <c r="V764" s="13" t="s">
        <v>550</v>
      </c>
      <c r="W764" s="14">
        <v>1</v>
      </c>
    </row>
    <row r="765" spans="1:23" x14ac:dyDescent="0.2">
      <c r="A765"/>
      <c r="B765"/>
      <c r="C765"/>
      <c r="D765"/>
      <c r="E765"/>
      <c r="F765"/>
      <c r="G765"/>
      <c r="H765"/>
      <c r="I765"/>
      <c r="J765"/>
      <c r="K765" s="13" t="s">
        <v>50</v>
      </c>
      <c r="L765" s="13" t="s">
        <v>463</v>
      </c>
      <c r="M765" s="13" t="s">
        <v>372</v>
      </c>
      <c r="N765" s="15">
        <v>0</v>
      </c>
      <c r="O765" s="16">
        <v>0</v>
      </c>
      <c r="P765" s="17">
        <v>12199.66624981484</v>
      </c>
      <c r="Q765" s="17">
        <v>0</v>
      </c>
      <c r="R765" s="13"/>
      <c r="S765" s="13" t="s">
        <v>591</v>
      </c>
      <c r="T765" s="13" t="s">
        <v>404</v>
      </c>
      <c r="U765" s="13" t="s">
        <v>405</v>
      </c>
      <c r="V765" s="13" t="s">
        <v>552</v>
      </c>
      <c r="W765" s="14">
        <v>1.4</v>
      </c>
    </row>
    <row r="766" spans="1:23" x14ac:dyDescent="0.2">
      <c r="A766"/>
      <c r="B766"/>
      <c r="C766"/>
      <c r="D766"/>
      <c r="E766"/>
      <c r="F766"/>
      <c r="G766"/>
      <c r="H766"/>
      <c r="I766"/>
      <c r="J766"/>
      <c r="K766" s="13" t="s">
        <v>50</v>
      </c>
      <c r="L766" s="13" t="s">
        <v>471</v>
      </c>
      <c r="M766" s="13" t="s">
        <v>472</v>
      </c>
      <c r="N766" s="15">
        <v>0</v>
      </c>
      <c r="O766" s="16">
        <v>0</v>
      </c>
      <c r="P766" s="17">
        <v>12199.66624981484</v>
      </c>
      <c r="Q766" s="17">
        <v>0</v>
      </c>
      <c r="R766" s="13"/>
      <c r="S766" s="13" t="s">
        <v>591</v>
      </c>
      <c r="T766" s="13" t="s">
        <v>404</v>
      </c>
      <c r="U766" s="13" t="s">
        <v>405</v>
      </c>
      <c r="V766" s="13" t="s">
        <v>554</v>
      </c>
      <c r="W766" s="14">
        <v>1.8</v>
      </c>
    </row>
    <row r="767" spans="1:23" x14ac:dyDescent="0.2">
      <c r="A767"/>
      <c r="B767"/>
      <c r="C767"/>
      <c r="D767"/>
      <c r="E767"/>
      <c r="F767"/>
      <c r="G767"/>
      <c r="H767"/>
      <c r="I767"/>
      <c r="J767"/>
      <c r="K767" s="13" t="s">
        <v>51</v>
      </c>
      <c r="L767" s="13" t="s">
        <v>396</v>
      </c>
      <c r="M767" s="13" t="s">
        <v>604</v>
      </c>
      <c r="N767" s="15">
        <v>0</v>
      </c>
      <c r="O767" s="16">
        <v>25.584885216999947</v>
      </c>
      <c r="P767" s="17">
        <v>0</v>
      </c>
      <c r="Q767" s="17">
        <v>38.377327825499918</v>
      </c>
      <c r="R767" s="13"/>
      <c r="S767" s="13" t="s">
        <v>591</v>
      </c>
      <c r="T767" s="13" t="s">
        <v>629</v>
      </c>
      <c r="U767" s="13" t="s">
        <v>630</v>
      </c>
      <c r="V767" s="13" t="s">
        <v>550</v>
      </c>
      <c r="W767" s="14">
        <v>1</v>
      </c>
    </row>
    <row r="768" spans="1:23" x14ac:dyDescent="0.2">
      <c r="A768"/>
      <c r="B768"/>
      <c r="C768"/>
      <c r="D768"/>
      <c r="E768"/>
      <c r="F768"/>
      <c r="G768"/>
      <c r="H768"/>
      <c r="I768"/>
      <c r="J768"/>
      <c r="K768" s="13" t="s">
        <v>51</v>
      </c>
      <c r="L768" s="13" t="s">
        <v>399</v>
      </c>
      <c r="M768" s="13" t="s">
        <v>400</v>
      </c>
      <c r="N768" s="15">
        <v>0</v>
      </c>
      <c r="O768" s="16">
        <v>0</v>
      </c>
      <c r="P768" s="17">
        <v>826.89679998788927</v>
      </c>
      <c r="Q768" s="17">
        <v>0</v>
      </c>
      <c r="R768" s="13"/>
      <c r="S768" s="13" t="s">
        <v>591</v>
      </c>
      <c r="T768" s="13" t="s">
        <v>629</v>
      </c>
      <c r="U768" s="13" t="s">
        <v>630</v>
      </c>
      <c r="V768" s="13" t="s">
        <v>552</v>
      </c>
      <c r="W768" s="14">
        <v>1.4</v>
      </c>
    </row>
    <row r="769" spans="1:23" x14ac:dyDescent="0.2">
      <c r="A769"/>
      <c r="B769"/>
      <c r="C769"/>
      <c r="D769"/>
      <c r="E769"/>
      <c r="F769"/>
      <c r="G769"/>
      <c r="H769"/>
      <c r="I769"/>
      <c r="J769"/>
      <c r="K769" s="13" t="s">
        <v>51</v>
      </c>
      <c r="L769" s="13" t="s">
        <v>402</v>
      </c>
      <c r="M769" s="13" t="s">
        <v>403</v>
      </c>
      <c r="N769" s="15">
        <v>0</v>
      </c>
      <c r="O769" s="16">
        <v>0</v>
      </c>
      <c r="P769" s="17">
        <v>1138.1090999649464</v>
      </c>
      <c r="Q769" s="17">
        <v>0</v>
      </c>
      <c r="R769" s="13"/>
      <c r="S769" s="13" t="s">
        <v>591</v>
      </c>
      <c r="T769" s="13" t="s">
        <v>629</v>
      </c>
      <c r="U769" s="13" t="s">
        <v>630</v>
      </c>
      <c r="V769" s="13" t="s">
        <v>554</v>
      </c>
      <c r="W769" s="14">
        <v>1.8</v>
      </c>
    </row>
    <row r="770" spans="1:23" x14ac:dyDescent="0.2">
      <c r="A770"/>
      <c r="B770"/>
      <c r="C770"/>
      <c r="D770"/>
      <c r="E770"/>
      <c r="F770"/>
      <c r="G770"/>
      <c r="H770"/>
      <c r="I770"/>
      <c r="J770"/>
      <c r="K770" s="13" t="s">
        <v>51</v>
      </c>
      <c r="L770" s="13" t="s">
        <v>451</v>
      </c>
      <c r="M770" s="13" t="s">
        <v>369</v>
      </c>
      <c r="N770" s="15">
        <v>0</v>
      </c>
      <c r="O770" s="16">
        <v>0</v>
      </c>
      <c r="P770" s="17">
        <v>1965.0058999528355</v>
      </c>
      <c r="Q770" s="17">
        <v>0</v>
      </c>
      <c r="R770" s="13"/>
      <c r="S770" s="13" t="s">
        <v>591</v>
      </c>
      <c r="T770" s="13" t="s">
        <v>609</v>
      </c>
      <c r="U770" s="13" t="s">
        <v>416</v>
      </c>
      <c r="V770" s="13" t="s">
        <v>549</v>
      </c>
      <c r="W770" s="14">
        <v>0.75</v>
      </c>
    </row>
    <row r="771" spans="1:23" x14ac:dyDescent="0.2">
      <c r="A771"/>
      <c r="B771"/>
      <c r="C771"/>
      <c r="D771"/>
      <c r="E771"/>
      <c r="F771"/>
      <c r="G771"/>
      <c r="H771"/>
      <c r="I771"/>
      <c r="J771"/>
      <c r="K771" s="13" t="s">
        <v>51</v>
      </c>
      <c r="L771" s="13" t="s">
        <v>381</v>
      </c>
      <c r="M771" s="13" t="s">
        <v>382</v>
      </c>
      <c r="N771" s="15">
        <v>16</v>
      </c>
      <c r="O771" s="16">
        <v>0</v>
      </c>
      <c r="P771" s="17">
        <v>0</v>
      </c>
      <c r="Q771" s="17">
        <v>0</v>
      </c>
      <c r="R771" s="13"/>
      <c r="S771" s="13" t="s">
        <v>300</v>
      </c>
      <c r="T771" s="13" t="s">
        <v>395</v>
      </c>
      <c r="U771" s="13" t="s">
        <v>602</v>
      </c>
      <c r="V771" s="13" t="s">
        <v>553</v>
      </c>
      <c r="W771" s="14">
        <v>0</v>
      </c>
    </row>
    <row r="772" spans="1:23" x14ac:dyDescent="0.2">
      <c r="A772"/>
      <c r="B772"/>
      <c r="C772"/>
      <c r="D772"/>
      <c r="E772"/>
      <c r="F772"/>
      <c r="G772"/>
      <c r="H772"/>
      <c r="I772"/>
      <c r="J772"/>
      <c r="K772" s="13" t="s">
        <v>51</v>
      </c>
      <c r="L772" s="13" t="s">
        <v>421</v>
      </c>
      <c r="M772" s="13" t="s">
        <v>443</v>
      </c>
      <c r="N772" s="15">
        <v>1</v>
      </c>
      <c r="O772" s="16">
        <v>0</v>
      </c>
      <c r="P772" s="17">
        <v>0</v>
      </c>
      <c r="Q772" s="17">
        <v>0</v>
      </c>
      <c r="R772" s="13"/>
      <c r="S772" s="13" t="s">
        <v>300</v>
      </c>
      <c r="T772" s="13" t="s">
        <v>404</v>
      </c>
      <c r="U772" s="13" t="s">
        <v>405</v>
      </c>
      <c r="V772" s="13" t="s">
        <v>553</v>
      </c>
      <c r="W772" s="14">
        <v>1.5</v>
      </c>
    </row>
    <row r="773" spans="1:23" x14ac:dyDescent="0.2">
      <c r="A773"/>
      <c r="B773"/>
      <c r="C773"/>
      <c r="D773"/>
      <c r="E773"/>
      <c r="F773"/>
      <c r="G773"/>
      <c r="H773"/>
      <c r="I773"/>
      <c r="J773"/>
      <c r="K773" s="13" t="s">
        <v>51</v>
      </c>
      <c r="L773" s="13" t="s">
        <v>614</v>
      </c>
      <c r="M773" s="13" t="s">
        <v>447</v>
      </c>
      <c r="N773" s="15">
        <v>1</v>
      </c>
      <c r="O773" s="16">
        <v>0</v>
      </c>
      <c r="P773" s="17">
        <v>0</v>
      </c>
      <c r="Q773" s="17">
        <v>0</v>
      </c>
      <c r="R773" s="13"/>
      <c r="S773" s="13" t="s">
        <v>300</v>
      </c>
      <c r="T773" s="13" t="s">
        <v>528</v>
      </c>
      <c r="U773" s="13" t="s">
        <v>384</v>
      </c>
      <c r="V773" s="13" t="s">
        <v>549</v>
      </c>
      <c r="W773" s="14">
        <v>0</v>
      </c>
    </row>
    <row r="774" spans="1:23" x14ac:dyDescent="0.2">
      <c r="A774"/>
      <c r="B774"/>
      <c r="C774"/>
      <c r="D774"/>
      <c r="E774"/>
      <c r="F774"/>
      <c r="G774"/>
      <c r="H774"/>
      <c r="I774"/>
      <c r="J774"/>
      <c r="K774" s="13" t="s">
        <v>52</v>
      </c>
      <c r="L774" s="13" t="s">
        <v>435</v>
      </c>
      <c r="M774" s="13" t="s">
        <v>364</v>
      </c>
      <c r="N774" s="15">
        <v>0</v>
      </c>
      <c r="O774" s="16">
        <v>0</v>
      </c>
      <c r="P774" s="17">
        <v>4.8527499993974343</v>
      </c>
      <c r="Q774" s="17">
        <v>0</v>
      </c>
      <c r="R774" s="13"/>
      <c r="S774" s="13" t="s">
        <v>302</v>
      </c>
      <c r="T774" s="13" t="s">
        <v>395</v>
      </c>
      <c r="U774" s="13" t="s">
        <v>602</v>
      </c>
      <c r="V774" s="13" t="s">
        <v>549</v>
      </c>
      <c r="W774" s="14">
        <v>0</v>
      </c>
    </row>
    <row r="775" spans="1:23" x14ac:dyDescent="0.2">
      <c r="A775"/>
      <c r="B775"/>
      <c r="C775"/>
      <c r="D775"/>
      <c r="E775"/>
      <c r="F775"/>
      <c r="G775"/>
      <c r="H775"/>
      <c r="I775"/>
      <c r="J775"/>
      <c r="K775" s="13" t="s">
        <v>52</v>
      </c>
      <c r="L775" s="13" t="s">
        <v>635</v>
      </c>
      <c r="M775" s="13" t="s">
        <v>507</v>
      </c>
      <c r="N775" s="15">
        <v>0</v>
      </c>
      <c r="O775" s="16">
        <v>0</v>
      </c>
      <c r="P775" s="17">
        <v>355.67854999310839</v>
      </c>
      <c r="Q775" s="17">
        <v>0</v>
      </c>
      <c r="R775" s="13"/>
      <c r="S775" s="13" t="s">
        <v>302</v>
      </c>
      <c r="T775" s="13" t="s">
        <v>404</v>
      </c>
      <c r="U775" s="13" t="s">
        <v>405</v>
      </c>
      <c r="V775" s="13" t="s">
        <v>549</v>
      </c>
      <c r="W775" s="14">
        <v>1</v>
      </c>
    </row>
    <row r="776" spans="1:23" x14ac:dyDescent="0.2">
      <c r="A776"/>
      <c r="B776"/>
      <c r="C776"/>
      <c r="D776"/>
      <c r="E776"/>
      <c r="F776"/>
      <c r="G776"/>
      <c r="H776"/>
      <c r="I776"/>
      <c r="J776"/>
      <c r="K776" s="13" t="s">
        <v>52</v>
      </c>
      <c r="L776" s="13" t="s">
        <v>387</v>
      </c>
      <c r="M776" s="13" t="s">
        <v>386</v>
      </c>
      <c r="N776" s="15">
        <v>0</v>
      </c>
      <c r="O776" s="16">
        <v>0</v>
      </c>
      <c r="P776" s="17">
        <v>208.89079998619155</v>
      </c>
      <c r="Q776" s="17">
        <v>0</v>
      </c>
      <c r="R776" s="13"/>
      <c r="S776" s="13" t="s">
        <v>594</v>
      </c>
      <c r="T776" s="13" t="s">
        <v>395</v>
      </c>
      <c r="U776" s="13" t="s">
        <v>602</v>
      </c>
      <c r="V776" s="13" t="s">
        <v>549</v>
      </c>
      <c r="W776" s="14">
        <v>0</v>
      </c>
    </row>
    <row r="777" spans="1:23" x14ac:dyDescent="0.2">
      <c r="A777"/>
      <c r="B777"/>
      <c r="C777"/>
      <c r="D777"/>
      <c r="E777"/>
      <c r="F777"/>
      <c r="G777"/>
      <c r="H777"/>
      <c r="I777"/>
      <c r="J777"/>
      <c r="K777" s="13" t="s">
        <v>52</v>
      </c>
      <c r="L777" s="13" t="s">
        <v>401</v>
      </c>
      <c r="M777" s="13" t="s">
        <v>360</v>
      </c>
      <c r="N777" s="15">
        <v>0</v>
      </c>
      <c r="O777" s="16">
        <v>0</v>
      </c>
      <c r="P777" s="17">
        <v>13273.680703914655</v>
      </c>
      <c r="Q777" s="17">
        <v>0</v>
      </c>
      <c r="R777" s="13"/>
      <c r="S777" s="13" t="s">
        <v>594</v>
      </c>
      <c r="T777" s="13" t="s">
        <v>404</v>
      </c>
      <c r="U777" s="13" t="s">
        <v>405</v>
      </c>
      <c r="V777" s="13" t="s">
        <v>549</v>
      </c>
      <c r="W777" s="14">
        <v>0.7</v>
      </c>
    </row>
    <row r="778" spans="1:23" x14ac:dyDescent="0.2">
      <c r="A778"/>
      <c r="B778"/>
      <c r="C778"/>
      <c r="D778"/>
      <c r="E778"/>
      <c r="F778"/>
      <c r="G778"/>
      <c r="H778"/>
      <c r="I778"/>
      <c r="J778"/>
      <c r="K778" s="13" t="s">
        <v>52</v>
      </c>
      <c r="L778" s="13" t="s">
        <v>402</v>
      </c>
      <c r="M778" s="13" t="s">
        <v>403</v>
      </c>
      <c r="N778" s="15">
        <v>0</v>
      </c>
      <c r="O778" s="16">
        <v>0</v>
      </c>
      <c r="P778" s="17">
        <v>6961.2073998392589</v>
      </c>
      <c r="Q778" s="17">
        <v>0</v>
      </c>
      <c r="R778" s="13"/>
      <c r="S778" s="13" t="s">
        <v>594</v>
      </c>
      <c r="T778" s="13" t="s">
        <v>629</v>
      </c>
      <c r="U778" s="13" t="s">
        <v>630</v>
      </c>
      <c r="V778" s="13" t="s">
        <v>549</v>
      </c>
      <c r="W778" s="14">
        <v>0.7</v>
      </c>
    </row>
    <row r="779" spans="1:23" x14ac:dyDescent="0.2">
      <c r="A779"/>
      <c r="B779"/>
      <c r="C779"/>
      <c r="D779"/>
      <c r="E779"/>
      <c r="F779"/>
      <c r="G779"/>
      <c r="H779"/>
      <c r="I779"/>
      <c r="J779"/>
      <c r="K779" s="13" t="s">
        <v>52</v>
      </c>
      <c r="L779" s="13" t="s">
        <v>448</v>
      </c>
      <c r="M779" s="13" t="s">
        <v>366</v>
      </c>
      <c r="N779" s="15">
        <v>0</v>
      </c>
      <c r="O779" s="16">
        <v>0</v>
      </c>
      <c r="P779" s="17">
        <v>524.64215001098535</v>
      </c>
      <c r="Q779" s="17">
        <v>0</v>
      </c>
      <c r="R779" s="13"/>
      <c r="S779" s="13" t="s">
        <v>594</v>
      </c>
      <c r="T779" s="13" t="s">
        <v>629</v>
      </c>
      <c r="U779" s="13" t="s">
        <v>630</v>
      </c>
      <c r="V779" s="13" t="s">
        <v>549</v>
      </c>
      <c r="W779" s="14">
        <v>0.8</v>
      </c>
    </row>
    <row r="780" spans="1:23" x14ac:dyDescent="0.2">
      <c r="A780"/>
      <c r="B780"/>
      <c r="C780"/>
      <c r="D780"/>
      <c r="E780"/>
      <c r="F780"/>
      <c r="G780"/>
      <c r="H780"/>
      <c r="I780"/>
      <c r="J780"/>
      <c r="K780" s="13" t="s">
        <v>52</v>
      </c>
      <c r="L780" s="13" t="s">
        <v>462</v>
      </c>
      <c r="M780" s="13" t="s">
        <v>370</v>
      </c>
      <c r="N780" s="15">
        <v>0</v>
      </c>
      <c r="O780" s="16">
        <v>0</v>
      </c>
      <c r="P780" s="17">
        <v>15990.698199697459</v>
      </c>
      <c r="Q780" s="17">
        <v>0</v>
      </c>
      <c r="R780" s="13"/>
      <c r="S780" s="13" t="s">
        <v>594</v>
      </c>
      <c r="T780" s="13" t="s">
        <v>629</v>
      </c>
      <c r="U780" s="13" t="s">
        <v>630</v>
      </c>
      <c r="V780" s="13" t="s">
        <v>549</v>
      </c>
      <c r="W780" s="14">
        <v>1</v>
      </c>
    </row>
    <row r="781" spans="1:23" x14ac:dyDescent="0.2">
      <c r="A781"/>
      <c r="B781"/>
      <c r="C781"/>
      <c r="D781"/>
      <c r="E781"/>
      <c r="F781"/>
      <c r="G781"/>
      <c r="H781"/>
      <c r="I781"/>
      <c r="J781"/>
      <c r="K781" s="13" t="s">
        <v>52</v>
      </c>
      <c r="L781" s="13" t="s">
        <v>463</v>
      </c>
      <c r="M781" s="13" t="s">
        <v>372</v>
      </c>
      <c r="N781" s="15">
        <v>0</v>
      </c>
      <c r="O781" s="16">
        <v>0</v>
      </c>
      <c r="P781" s="17">
        <v>49148.62370321116</v>
      </c>
      <c r="Q781" s="17">
        <v>0</v>
      </c>
      <c r="R781" s="13"/>
      <c r="S781" s="13" t="s">
        <v>594</v>
      </c>
      <c r="T781" s="13" t="s">
        <v>629</v>
      </c>
      <c r="U781" s="13" t="s">
        <v>630</v>
      </c>
      <c r="V781" s="13" t="s">
        <v>550</v>
      </c>
      <c r="W781" s="14">
        <v>1</v>
      </c>
    </row>
    <row r="782" spans="1:23" x14ac:dyDescent="0.2">
      <c r="A782"/>
      <c r="B782"/>
      <c r="C782"/>
      <c r="D782"/>
      <c r="E782"/>
      <c r="F782"/>
      <c r="G782"/>
      <c r="H782"/>
      <c r="I782"/>
      <c r="J782"/>
      <c r="K782" s="13" t="s">
        <v>52</v>
      </c>
      <c r="L782" s="13" t="s">
        <v>381</v>
      </c>
      <c r="M782" s="13" t="s">
        <v>382</v>
      </c>
      <c r="N782" s="15">
        <v>3</v>
      </c>
      <c r="O782" s="16">
        <v>0</v>
      </c>
      <c r="P782" s="17">
        <v>0</v>
      </c>
      <c r="Q782" s="17">
        <v>0</v>
      </c>
      <c r="R782" s="13"/>
      <c r="S782" s="13" t="s">
        <v>594</v>
      </c>
      <c r="T782" s="13" t="s">
        <v>629</v>
      </c>
      <c r="U782" s="13" t="s">
        <v>630</v>
      </c>
      <c r="V782" s="13" t="s">
        <v>551</v>
      </c>
      <c r="W782" s="14">
        <v>1.2</v>
      </c>
    </row>
    <row r="783" spans="1:23" x14ac:dyDescent="0.2">
      <c r="A783"/>
      <c r="B783"/>
      <c r="C783"/>
      <c r="D783"/>
      <c r="E783"/>
      <c r="F783"/>
      <c r="G783"/>
      <c r="H783"/>
      <c r="I783"/>
      <c r="J783"/>
      <c r="K783" s="13" t="s">
        <v>52</v>
      </c>
      <c r="L783" s="13" t="s">
        <v>471</v>
      </c>
      <c r="M783" s="13" t="s">
        <v>472</v>
      </c>
      <c r="N783" s="15">
        <v>0</v>
      </c>
      <c r="O783" s="16">
        <v>0</v>
      </c>
      <c r="P783" s="17">
        <v>12176.022349757533</v>
      </c>
      <c r="Q783" s="17">
        <v>0</v>
      </c>
      <c r="R783" s="13"/>
      <c r="S783" s="13" t="s">
        <v>594</v>
      </c>
      <c r="T783" s="13" t="s">
        <v>629</v>
      </c>
      <c r="U783" s="13" t="s">
        <v>630</v>
      </c>
      <c r="V783" s="13" t="s">
        <v>552</v>
      </c>
      <c r="W783" s="14">
        <v>1</v>
      </c>
    </row>
    <row r="784" spans="1:23" x14ac:dyDescent="0.2">
      <c r="A784"/>
      <c r="B784"/>
      <c r="C784"/>
      <c r="D784"/>
      <c r="E784"/>
      <c r="F784"/>
      <c r="G784"/>
      <c r="H784"/>
      <c r="I784"/>
      <c r="J784"/>
      <c r="K784" s="13" t="s">
        <v>52</v>
      </c>
      <c r="L784" s="13" t="s">
        <v>606</v>
      </c>
      <c r="M784" s="13" t="s">
        <v>430</v>
      </c>
      <c r="N784" s="15">
        <v>3</v>
      </c>
      <c r="O784" s="16">
        <v>0</v>
      </c>
      <c r="P784" s="17">
        <v>0</v>
      </c>
      <c r="Q784" s="17">
        <v>0</v>
      </c>
      <c r="R784" s="13"/>
      <c r="S784" s="13" t="s">
        <v>594</v>
      </c>
      <c r="T784" s="13" t="s">
        <v>629</v>
      </c>
      <c r="U784" s="13" t="s">
        <v>630</v>
      </c>
      <c r="V784" s="13" t="s">
        <v>556</v>
      </c>
      <c r="W784" s="14">
        <v>1.5</v>
      </c>
    </row>
    <row r="785" spans="1:23" x14ac:dyDescent="0.2">
      <c r="A785"/>
      <c r="B785"/>
      <c r="C785"/>
      <c r="D785"/>
      <c r="E785"/>
      <c r="F785"/>
      <c r="G785"/>
      <c r="H785"/>
      <c r="I785"/>
      <c r="J785"/>
      <c r="K785" s="13" t="s">
        <v>52</v>
      </c>
      <c r="L785" s="13" t="s">
        <v>523</v>
      </c>
      <c r="M785" s="13" t="s">
        <v>476</v>
      </c>
      <c r="N785" s="15">
        <v>0</v>
      </c>
      <c r="O785" s="16">
        <v>0</v>
      </c>
      <c r="P785" s="17">
        <v>13.482100005062158</v>
      </c>
      <c r="Q785" s="17">
        <v>0</v>
      </c>
      <c r="R785" s="13"/>
      <c r="S785" s="13" t="s">
        <v>594</v>
      </c>
      <c r="T785" s="13" t="s">
        <v>609</v>
      </c>
      <c r="U785" s="13" t="s">
        <v>416</v>
      </c>
      <c r="V785" s="13" t="s">
        <v>634</v>
      </c>
      <c r="W785" s="14">
        <v>1</v>
      </c>
    </row>
    <row r="786" spans="1:23" x14ac:dyDescent="0.2">
      <c r="A786"/>
      <c r="B786"/>
      <c r="C786"/>
      <c r="D786"/>
      <c r="E786"/>
      <c r="F786"/>
      <c r="G786"/>
      <c r="H786"/>
      <c r="I786"/>
      <c r="J786"/>
      <c r="K786" s="13" t="s">
        <v>52</v>
      </c>
      <c r="L786" s="13" t="s">
        <v>454</v>
      </c>
      <c r="M786" s="13" t="s">
        <v>455</v>
      </c>
      <c r="N786" s="15">
        <v>0</v>
      </c>
      <c r="O786" s="16">
        <v>0</v>
      </c>
      <c r="P786" s="17">
        <v>1696.5729499799506</v>
      </c>
      <c r="Q786" s="17">
        <v>0</v>
      </c>
      <c r="R786" s="13"/>
      <c r="S786" s="13" t="s">
        <v>304</v>
      </c>
      <c r="T786" s="13" t="s">
        <v>404</v>
      </c>
      <c r="U786" s="13" t="s">
        <v>405</v>
      </c>
      <c r="V786" s="13" t="s">
        <v>549</v>
      </c>
      <c r="W786" s="14">
        <v>1.8</v>
      </c>
    </row>
    <row r="787" spans="1:23" x14ac:dyDescent="0.2">
      <c r="A787"/>
      <c r="B787"/>
      <c r="C787"/>
      <c r="D787"/>
      <c r="E787"/>
      <c r="F787"/>
      <c r="G787"/>
      <c r="H787"/>
      <c r="I787"/>
      <c r="J787"/>
      <c r="K787" s="13" t="s">
        <v>53</v>
      </c>
      <c r="L787" s="13" t="s">
        <v>435</v>
      </c>
      <c r="M787" s="13" t="s">
        <v>364</v>
      </c>
      <c r="N787" s="15">
        <v>0</v>
      </c>
      <c r="O787" s="16">
        <v>0</v>
      </c>
      <c r="P787" s="17">
        <v>31.241549997859099</v>
      </c>
      <c r="Q787" s="17">
        <v>0</v>
      </c>
      <c r="R787" s="13"/>
      <c r="S787" s="13" t="s">
        <v>304</v>
      </c>
      <c r="T787" s="13" t="s">
        <v>404</v>
      </c>
      <c r="U787" s="13" t="s">
        <v>405</v>
      </c>
      <c r="V787" s="13" t="s">
        <v>553</v>
      </c>
      <c r="W787" s="14">
        <v>1.5</v>
      </c>
    </row>
    <row r="788" spans="1:23" x14ac:dyDescent="0.2">
      <c r="A788"/>
      <c r="B788"/>
      <c r="C788"/>
      <c r="D788"/>
      <c r="E788"/>
      <c r="F788"/>
      <c r="G788"/>
      <c r="H788"/>
      <c r="I788"/>
      <c r="J788"/>
      <c r="K788" s="13" t="s">
        <v>53</v>
      </c>
      <c r="L788" s="13" t="s">
        <v>389</v>
      </c>
      <c r="M788" s="13" t="s">
        <v>388</v>
      </c>
      <c r="N788" s="15">
        <v>0</v>
      </c>
      <c r="O788" s="16">
        <v>0</v>
      </c>
      <c r="P788" s="17">
        <v>65.92164351638165</v>
      </c>
      <c r="Q788" s="17">
        <v>0</v>
      </c>
      <c r="R788" s="13"/>
      <c r="S788" s="13" t="s">
        <v>304</v>
      </c>
      <c r="T788" s="13" t="s">
        <v>404</v>
      </c>
      <c r="U788" s="13" t="s">
        <v>405</v>
      </c>
      <c r="V788" s="13" t="s">
        <v>550</v>
      </c>
      <c r="W788" s="14">
        <v>0.8</v>
      </c>
    </row>
    <row r="789" spans="1:23" x14ac:dyDescent="0.2">
      <c r="A789"/>
      <c r="B789"/>
      <c r="C789"/>
      <c r="D789"/>
      <c r="E789"/>
      <c r="F789"/>
      <c r="G789"/>
      <c r="H789"/>
      <c r="I789"/>
      <c r="J789"/>
      <c r="K789" s="13" t="s">
        <v>53</v>
      </c>
      <c r="L789" s="13" t="s">
        <v>402</v>
      </c>
      <c r="M789" s="13" t="s">
        <v>403</v>
      </c>
      <c r="N789" s="15">
        <v>0</v>
      </c>
      <c r="O789" s="16">
        <v>0</v>
      </c>
      <c r="P789" s="17">
        <v>853.26559997931338</v>
      </c>
      <c r="Q789" s="17">
        <v>0</v>
      </c>
      <c r="R789" s="13"/>
      <c r="S789" s="13" t="s">
        <v>304</v>
      </c>
      <c r="T789" s="13" t="s">
        <v>404</v>
      </c>
      <c r="U789" s="13" t="s">
        <v>405</v>
      </c>
      <c r="V789" s="13" t="s">
        <v>551</v>
      </c>
      <c r="W789" s="14">
        <v>0</v>
      </c>
    </row>
    <row r="790" spans="1:23" x14ac:dyDescent="0.2">
      <c r="A790"/>
      <c r="B790"/>
      <c r="C790"/>
      <c r="D790"/>
      <c r="E790"/>
      <c r="F790"/>
      <c r="G790"/>
      <c r="H790"/>
      <c r="I790"/>
      <c r="J790"/>
      <c r="K790" s="13" t="s">
        <v>53</v>
      </c>
      <c r="L790" s="13" t="s">
        <v>629</v>
      </c>
      <c r="M790" s="13" t="s">
        <v>630</v>
      </c>
      <c r="N790" s="15">
        <v>0</v>
      </c>
      <c r="O790" s="16">
        <v>0</v>
      </c>
      <c r="P790" s="17">
        <v>16.294650000467335</v>
      </c>
      <c r="Q790" s="17">
        <v>47.783397821463936</v>
      </c>
      <c r="R790" s="13"/>
      <c r="S790" s="13" t="s">
        <v>304</v>
      </c>
      <c r="T790" s="13" t="s">
        <v>404</v>
      </c>
      <c r="U790" s="13" t="s">
        <v>405</v>
      </c>
      <c r="V790" s="13" t="s">
        <v>551</v>
      </c>
      <c r="W790" s="14">
        <v>1.2</v>
      </c>
    </row>
    <row r="791" spans="1:23" x14ac:dyDescent="0.2">
      <c r="A791"/>
      <c r="B791"/>
      <c r="C791"/>
      <c r="D791"/>
      <c r="E791"/>
      <c r="F791"/>
      <c r="G791"/>
      <c r="H791"/>
      <c r="I791"/>
      <c r="J791"/>
      <c r="K791" s="13" t="s">
        <v>53</v>
      </c>
      <c r="L791" s="13" t="s">
        <v>381</v>
      </c>
      <c r="M791" s="13" t="s">
        <v>382</v>
      </c>
      <c r="N791" s="15">
        <v>31</v>
      </c>
      <c r="O791" s="16">
        <v>0</v>
      </c>
      <c r="P791" s="17">
        <v>0</v>
      </c>
      <c r="Q791" s="17">
        <v>0</v>
      </c>
      <c r="R791" s="13"/>
      <c r="S791" s="13" t="s">
        <v>304</v>
      </c>
      <c r="T791" s="13" t="s">
        <v>406</v>
      </c>
      <c r="U791" s="13" t="s">
        <v>361</v>
      </c>
      <c r="V791" s="13" t="s">
        <v>550</v>
      </c>
      <c r="W791" s="14">
        <v>0.8</v>
      </c>
    </row>
    <row r="792" spans="1:23" x14ac:dyDescent="0.2">
      <c r="A792"/>
      <c r="B792"/>
      <c r="C792"/>
      <c r="D792"/>
      <c r="E792"/>
      <c r="F792"/>
      <c r="G792"/>
      <c r="H792"/>
      <c r="I792"/>
      <c r="J792"/>
      <c r="K792" s="13" t="s">
        <v>53</v>
      </c>
      <c r="L792" s="13" t="s">
        <v>606</v>
      </c>
      <c r="M792" s="13" t="s">
        <v>430</v>
      </c>
      <c r="N792" s="15">
        <v>3</v>
      </c>
      <c r="O792" s="16">
        <v>0</v>
      </c>
      <c r="P792" s="17">
        <v>0</v>
      </c>
      <c r="Q792" s="17">
        <v>0</v>
      </c>
      <c r="R792" s="13"/>
      <c r="S792" s="13" t="s">
        <v>304</v>
      </c>
      <c r="T792" s="13" t="s">
        <v>609</v>
      </c>
      <c r="U792" s="13" t="s">
        <v>416</v>
      </c>
      <c r="V792" s="13" t="s">
        <v>549</v>
      </c>
      <c r="W792" s="14">
        <v>0</v>
      </c>
    </row>
    <row r="793" spans="1:23" x14ac:dyDescent="0.2">
      <c r="A793"/>
      <c r="B793"/>
      <c r="C793"/>
      <c r="D793"/>
      <c r="E793"/>
      <c r="F793"/>
      <c r="G793"/>
      <c r="H793"/>
      <c r="I793"/>
      <c r="J793"/>
      <c r="K793" s="13" t="s">
        <v>54</v>
      </c>
      <c r="L793" s="13" t="s">
        <v>401</v>
      </c>
      <c r="M793" s="13" t="s">
        <v>360</v>
      </c>
      <c r="N793" s="15">
        <v>0</v>
      </c>
      <c r="O793" s="16">
        <v>0</v>
      </c>
      <c r="P793" s="17">
        <v>5426.1446999742066</v>
      </c>
      <c r="Q793" s="17">
        <v>0</v>
      </c>
      <c r="R793" s="13"/>
      <c r="S793" s="13" t="s">
        <v>304</v>
      </c>
      <c r="T793" s="13" t="s">
        <v>609</v>
      </c>
      <c r="U793" s="13" t="s">
        <v>416</v>
      </c>
      <c r="V793" s="13" t="s">
        <v>553</v>
      </c>
      <c r="W793" s="14">
        <v>0</v>
      </c>
    </row>
    <row r="794" spans="1:23" x14ac:dyDescent="0.2">
      <c r="A794"/>
      <c r="B794"/>
      <c r="C794"/>
      <c r="D794"/>
      <c r="E794"/>
      <c r="F794"/>
      <c r="G794"/>
      <c r="H794"/>
      <c r="I794"/>
      <c r="J794"/>
      <c r="K794" s="13" t="s">
        <v>54</v>
      </c>
      <c r="L794" s="13" t="s">
        <v>456</v>
      </c>
      <c r="M794" s="13" t="s">
        <v>457</v>
      </c>
      <c r="N794" s="15">
        <v>0</v>
      </c>
      <c r="O794" s="16">
        <v>0</v>
      </c>
      <c r="P794" s="17">
        <v>4567.0242499461046</v>
      </c>
      <c r="Q794" s="17">
        <v>0</v>
      </c>
      <c r="R794" s="13"/>
      <c r="S794" s="13" t="s">
        <v>304</v>
      </c>
      <c r="T794" s="13" t="s">
        <v>609</v>
      </c>
      <c r="U794" s="13" t="s">
        <v>416</v>
      </c>
      <c r="V794" s="13" t="s">
        <v>550</v>
      </c>
      <c r="W794" s="14">
        <v>0</v>
      </c>
    </row>
    <row r="795" spans="1:23" x14ac:dyDescent="0.2">
      <c r="A795"/>
      <c r="B795"/>
      <c r="C795"/>
      <c r="D795"/>
      <c r="E795"/>
      <c r="F795"/>
      <c r="G795"/>
      <c r="H795"/>
      <c r="I795"/>
      <c r="J795"/>
      <c r="K795" s="13" t="s">
        <v>54</v>
      </c>
      <c r="L795" s="13" t="s">
        <v>463</v>
      </c>
      <c r="M795" s="13" t="s">
        <v>372</v>
      </c>
      <c r="N795" s="15">
        <v>0</v>
      </c>
      <c r="O795" s="16">
        <v>0</v>
      </c>
      <c r="P795" s="17">
        <v>9993.1689499203112</v>
      </c>
      <c r="Q795" s="17">
        <v>0</v>
      </c>
      <c r="R795" s="13"/>
      <c r="S795" s="13" t="s">
        <v>304</v>
      </c>
      <c r="T795" s="13" t="s">
        <v>528</v>
      </c>
      <c r="U795" s="13" t="s">
        <v>384</v>
      </c>
      <c r="V795" s="13" t="s">
        <v>549</v>
      </c>
      <c r="W795" s="14">
        <v>0</v>
      </c>
    </row>
    <row r="796" spans="1:23" x14ac:dyDescent="0.2">
      <c r="A796"/>
      <c r="B796"/>
      <c r="C796"/>
      <c r="D796"/>
      <c r="E796"/>
      <c r="F796"/>
      <c r="G796"/>
      <c r="H796"/>
      <c r="I796"/>
      <c r="J796"/>
      <c r="K796" s="13" t="s">
        <v>54</v>
      </c>
      <c r="L796" s="13" t="s">
        <v>381</v>
      </c>
      <c r="M796" s="13" t="s">
        <v>382</v>
      </c>
      <c r="N796" s="15">
        <v>4</v>
      </c>
      <c r="O796" s="16">
        <v>0</v>
      </c>
      <c r="P796" s="17">
        <v>0</v>
      </c>
      <c r="Q796" s="17">
        <v>0</v>
      </c>
      <c r="R796" s="13"/>
      <c r="S796" s="13" t="s">
        <v>304</v>
      </c>
      <c r="T796" s="13" t="s">
        <v>528</v>
      </c>
      <c r="U796" s="13" t="s">
        <v>384</v>
      </c>
      <c r="V796" s="13" t="s">
        <v>553</v>
      </c>
      <c r="W796" s="14">
        <v>0</v>
      </c>
    </row>
    <row r="797" spans="1:23" x14ac:dyDescent="0.2">
      <c r="A797"/>
      <c r="B797"/>
      <c r="C797"/>
      <c r="D797"/>
      <c r="E797"/>
      <c r="F797"/>
      <c r="G797"/>
      <c r="H797"/>
      <c r="I797"/>
      <c r="J797"/>
      <c r="K797" s="13" t="s">
        <v>572</v>
      </c>
      <c r="L797" s="13" t="s">
        <v>435</v>
      </c>
      <c r="M797" s="13" t="s">
        <v>364</v>
      </c>
      <c r="N797" s="15">
        <v>0</v>
      </c>
      <c r="O797" s="16">
        <v>0</v>
      </c>
      <c r="P797" s="17">
        <v>2012.4483500871095</v>
      </c>
      <c r="Q797" s="17">
        <v>0</v>
      </c>
      <c r="R797" s="13"/>
      <c r="S797" s="13" t="s">
        <v>304</v>
      </c>
      <c r="T797" s="13" t="s">
        <v>528</v>
      </c>
      <c r="U797" s="13" t="s">
        <v>384</v>
      </c>
      <c r="V797" s="13" t="s">
        <v>550</v>
      </c>
      <c r="W797" s="14">
        <v>0</v>
      </c>
    </row>
    <row r="798" spans="1:23" x14ac:dyDescent="0.2">
      <c r="A798"/>
      <c r="B798"/>
      <c r="C798"/>
      <c r="D798"/>
      <c r="E798"/>
      <c r="F798"/>
      <c r="G798"/>
      <c r="H798"/>
      <c r="I798"/>
      <c r="J798"/>
      <c r="K798" s="13" t="s">
        <v>572</v>
      </c>
      <c r="L798" s="13" t="s">
        <v>387</v>
      </c>
      <c r="M798" s="13" t="s">
        <v>386</v>
      </c>
      <c r="N798" s="15">
        <v>0</v>
      </c>
      <c r="O798" s="16">
        <v>0</v>
      </c>
      <c r="P798" s="17">
        <v>8816.664299766222</v>
      </c>
      <c r="Q798" s="17">
        <v>0</v>
      </c>
      <c r="R798" s="13"/>
      <c r="S798" s="13" t="s">
        <v>304</v>
      </c>
      <c r="T798" s="13" t="s">
        <v>613</v>
      </c>
      <c r="U798" s="13" t="s">
        <v>444</v>
      </c>
      <c r="V798" s="13" t="s">
        <v>549</v>
      </c>
      <c r="W798" s="14">
        <v>0</v>
      </c>
    </row>
    <row r="799" spans="1:23" x14ac:dyDescent="0.2">
      <c r="A799"/>
      <c r="B799"/>
      <c r="C799"/>
      <c r="D799"/>
      <c r="E799"/>
      <c r="F799"/>
      <c r="G799"/>
      <c r="H799"/>
      <c r="I799"/>
      <c r="J799"/>
      <c r="K799" s="13" t="s">
        <v>572</v>
      </c>
      <c r="L799" s="13" t="s">
        <v>389</v>
      </c>
      <c r="M799" s="13" t="s">
        <v>388</v>
      </c>
      <c r="N799" s="15">
        <v>0</v>
      </c>
      <c r="O799" s="16">
        <v>0</v>
      </c>
      <c r="P799" s="17">
        <v>1272.6383743264848</v>
      </c>
      <c r="Q799" s="17">
        <v>0</v>
      </c>
      <c r="R799" s="13"/>
      <c r="S799" s="13" t="s">
        <v>304</v>
      </c>
      <c r="T799" s="13" t="s">
        <v>613</v>
      </c>
      <c r="U799" s="13" t="s">
        <v>444</v>
      </c>
      <c r="V799" s="13" t="s">
        <v>553</v>
      </c>
      <c r="W799" s="14">
        <v>0</v>
      </c>
    </row>
    <row r="800" spans="1:23" x14ac:dyDescent="0.2">
      <c r="A800"/>
      <c r="B800"/>
      <c r="C800"/>
      <c r="D800"/>
      <c r="E800"/>
      <c r="F800"/>
      <c r="G800"/>
      <c r="H800"/>
      <c r="I800"/>
      <c r="J800"/>
      <c r="K800" s="13" t="s">
        <v>572</v>
      </c>
      <c r="L800" s="13" t="s">
        <v>542</v>
      </c>
      <c r="M800" s="13" t="s">
        <v>390</v>
      </c>
      <c r="N800" s="15">
        <v>0</v>
      </c>
      <c r="O800" s="16">
        <v>0</v>
      </c>
      <c r="P800" s="17">
        <v>403.17661902459662</v>
      </c>
      <c r="Q800" s="17">
        <v>0</v>
      </c>
      <c r="R800" s="13"/>
      <c r="S800" s="13" t="s">
        <v>304</v>
      </c>
      <c r="T800" s="13" t="s">
        <v>613</v>
      </c>
      <c r="U800" s="13" t="s">
        <v>444</v>
      </c>
      <c r="V800" s="13" t="s">
        <v>550</v>
      </c>
      <c r="W800" s="14">
        <v>0</v>
      </c>
    </row>
    <row r="801" spans="1:23" x14ac:dyDescent="0.2">
      <c r="A801"/>
      <c r="B801"/>
      <c r="C801"/>
      <c r="D801"/>
      <c r="E801"/>
      <c r="F801"/>
      <c r="G801"/>
      <c r="H801"/>
      <c r="I801"/>
      <c r="J801"/>
      <c r="K801" s="13" t="s">
        <v>572</v>
      </c>
      <c r="L801" s="13" t="s">
        <v>391</v>
      </c>
      <c r="M801" s="13" t="s">
        <v>358</v>
      </c>
      <c r="N801" s="15">
        <v>0</v>
      </c>
      <c r="O801" s="16">
        <v>0</v>
      </c>
      <c r="P801" s="17">
        <v>2343.7557499269678</v>
      </c>
      <c r="Q801" s="17">
        <v>0</v>
      </c>
      <c r="R801" s="13"/>
      <c r="S801" s="13" t="s">
        <v>304</v>
      </c>
      <c r="T801" s="13" t="s">
        <v>613</v>
      </c>
      <c r="U801" s="13" t="s">
        <v>444</v>
      </c>
      <c r="V801" s="13" t="s">
        <v>551</v>
      </c>
      <c r="W801" s="14">
        <v>0</v>
      </c>
    </row>
    <row r="802" spans="1:23" x14ac:dyDescent="0.2">
      <c r="A802"/>
      <c r="B802"/>
      <c r="C802"/>
      <c r="D802"/>
      <c r="E802"/>
      <c r="F802"/>
      <c r="G802"/>
      <c r="H802"/>
      <c r="I802"/>
      <c r="J802"/>
      <c r="K802" s="13" t="s">
        <v>572</v>
      </c>
      <c r="L802" s="13" t="s">
        <v>450</v>
      </c>
      <c r="M802" s="13" t="s">
        <v>368</v>
      </c>
      <c r="N802" s="15">
        <v>0</v>
      </c>
      <c r="O802" s="16">
        <v>0</v>
      </c>
      <c r="P802" s="17">
        <v>690.88515001194537</v>
      </c>
      <c r="Q802" s="17">
        <v>0</v>
      </c>
      <c r="R802" s="13"/>
      <c r="S802" s="13" t="s">
        <v>304</v>
      </c>
      <c r="T802" s="13" t="s">
        <v>611</v>
      </c>
      <c r="U802" s="13" t="s">
        <v>423</v>
      </c>
      <c r="V802" s="13" t="s">
        <v>549</v>
      </c>
      <c r="W802" s="14">
        <v>0</v>
      </c>
    </row>
    <row r="803" spans="1:23" x14ac:dyDescent="0.2">
      <c r="A803"/>
      <c r="B803"/>
      <c r="C803"/>
      <c r="D803"/>
      <c r="E803"/>
      <c r="F803"/>
      <c r="G803"/>
      <c r="H803"/>
      <c r="I803"/>
      <c r="J803"/>
      <c r="K803" s="13" t="s">
        <v>572</v>
      </c>
      <c r="L803" s="13" t="s">
        <v>436</v>
      </c>
      <c r="M803" s="13" t="s">
        <v>487</v>
      </c>
      <c r="N803" s="15">
        <v>0</v>
      </c>
      <c r="O803" s="16">
        <v>0</v>
      </c>
      <c r="P803" s="17">
        <v>1842.2550413839238</v>
      </c>
      <c r="Q803" s="17">
        <v>0</v>
      </c>
      <c r="R803" s="13"/>
      <c r="S803" s="13" t="s">
        <v>600</v>
      </c>
      <c r="T803" s="13" t="s">
        <v>404</v>
      </c>
      <c r="U803" s="13" t="s">
        <v>405</v>
      </c>
      <c r="V803" s="13" t="s">
        <v>549</v>
      </c>
      <c r="W803" s="14">
        <v>1</v>
      </c>
    </row>
    <row r="804" spans="1:23" x14ac:dyDescent="0.2">
      <c r="A804"/>
      <c r="B804"/>
      <c r="C804"/>
      <c r="D804"/>
      <c r="E804"/>
      <c r="F804"/>
      <c r="G804"/>
      <c r="H804"/>
      <c r="I804"/>
      <c r="J804"/>
      <c r="K804" s="13" t="s">
        <v>572</v>
      </c>
      <c r="L804" s="13" t="s">
        <v>392</v>
      </c>
      <c r="M804" s="13" t="s">
        <v>437</v>
      </c>
      <c r="N804" s="15">
        <v>0</v>
      </c>
      <c r="O804" s="16">
        <v>0</v>
      </c>
      <c r="P804" s="17">
        <v>643.59054999723753</v>
      </c>
      <c r="Q804" s="17">
        <v>0</v>
      </c>
      <c r="R804" s="13"/>
      <c r="S804" s="13" t="s">
        <v>596</v>
      </c>
      <c r="T804" s="13" t="s">
        <v>404</v>
      </c>
      <c r="U804" s="13" t="s">
        <v>405</v>
      </c>
      <c r="V804" s="13" t="s">
        <v>549</v>
      </c>
      <c r="W804" s="14">
        <v>2</v>
      </c>
    </row>
    <row r="805" spans="1:23" x14ac:dyDescent="0.2">
      <c r="A805"/>
      <c r="B805"/>
      <c r="C805"/>
      <c r="D805"/>
      <c r="E805"/>
      <c r="F805"/>
      <c r="G805"/>
      <c r="H805"/>
      <c r="I805"/>
      <c r="J805"/>
      <c r="K805" s="13" t="s">
        <v>572</v>
      </c>
      <c r="L805" s="13" t="s">
        <v>440</v>
      </c>
      <c r="M805" s="13" t="s">
        <v>441</v>
      </c>
      <c r="N805" s="15">
        <v>1</v>
      </c>
      <c r="O805" s="16">
        <v>0</v>
      </c>
      <c r="P805" s="17">
        <v>0</v>
      </c>
      <c r="Q805" s="17">
        <v>0</v>
      </c>
      <c r="R805" s="13"/>
      <c r="S805" s="13" t="s">
        <v>596</v>
      </c>
      <c r="T805" s="13" t="s">
        <v>404</v>
      </c>
      <c r="U805" s="13" t="s">
        <v>405</v>
      </c>
      <c r="V805" s="13" t="s">
        <v>553</v>
      </c>
      <c r="W805" s="14">
        <v>1.8</v>
      </c>
    </row>
    <row r="806" spans="1:23" x14ac:dyDescent="0.2">
      <c r="A806"/>
      <c r="B806"/>
      <c r="C806"/>
      <c r="D806"/>
      <c r="E806"/>
      <c r="F806"/>
      <c r="G806"/>
      <c r="H806"/>
      <c r="I806"/>
      <c r="J806"/>
      <c r="K806" s="13" t="s">
        <v>572</v>
      </c>
      <c r="L806" s="13" t="s">
        <v>394</v>
      </c>
      <c r="M806" s="13" t="s">
        <v>359</v>
      </c>
      <c r="N806" s="15">
        <v>0</v>
      </c>
      <c r="O806" s="16">
        <v>0</v>
      </c>
      <c r="P806" s="17">
        <v>137.40859999590012</v>
      </c>
      <c r="Q806" s="17">
        <v>0</v>
      </c>
      <c r="R806" s="13"/>
      <c r="S806" s="13" t="s">
        <v>596</v>
      </c>
      <c r="T806" s="13" t="s">
        <v>419</v>
      </c>
      <c r="U806" s="13" t="s">
        <v>442</v>
      </c>
      <c r="V806" s="13" t="s">
        <v>549</v>
      </c>
      <c r="W806" s="14">
        <v>0</v>
      </c>
    </row>
    <row r="807" spans="1:23" x14ac:dyDescent="0.2">
      <c r="A807"/>
      <c r="B807"/>
      <c r="C807"/>
      <c r="D807"/>
      <c r="E807"/>
      <c r="F807"/>
      <c r="G807"/>
      <c r="H807"/>
      <c r="I807"/>
      <c r="J807"/>
      <c r="K807" s="13" t="s">
        <v>572</v>
      </c>
      <c r="L807" s="13" t="s">
        <v>397</v>
      </c>
      <c r="M807" s="13" t="s">
        <v>398</v>
      </c>
      <c r="N807" s="15">
        <v>0</v>
      </c>
      <c r="O807" s="16">
        <v>0</v>
      </c>
      <c r="P807" s="17">
        <v>17.691149997704684</v>
      </c>
      <c r="Q807" s="17">
        <v>0</v>
      </c>
      <c r="R807" s="13"/>
      <c r="S807" s="13" t="s">
        <v>597</v>
      </c>
      <c r="T807" s="13" t="s">
        <v>404</v>
      </c>
      <c r="U807" s="13" t="s">
        <v>405</v>
      </c>
      <c r="V807" s="13" t="s">
        <v>549</v>
      </c>
      <c r="W807" s="14">
        <v>1.5</v>
      </c>
    </row>
    <row r="808" spans="1:23" x14ac:dyDescent="0.2">
      <c r="A808"/>
      <c r="B808"/>
      <c r="C808"/>
      <c r="D808"/>
      <c r="E808"/>
      <c r="F808"/>
      <c r="G808"/>
      <c r="H808"/>
      <c r="I808"/>
      <c r="J808"/>
      <c r="K808" s="13" t="s">
        <v>572</v>
      </c>
      <c r="L808" s="13" t="s">
        <v>399</v>
      </c>
      <c r="M808" s="13" t="s">
        <v>400</v>
      </c>
      <c r="N808" s="15">
        <v>0</v>
      </c>
      <c r="O808" s="16">
        <v>0</v>
      </c>
      <c r="P808" s="17">
        <v>46.679699997892321</v>
      </c>
      <c r="Q808" s="17">
        <v>0</v>
      </c>
      <c r="R808" s="13"/>
      <c r="S808" s="13" t="s">
        <v>306</v>
      </c>
      <c r="T808" s="13" t="s">
        <v>404</v>
      </c>
      <c r="U808" s="13" t="s">
        <v>405</v>
      </c>
      <c r="V808" s="13" t="s">
        <v>549</v>
      </c>
      <c r="W808" s="14">
        <v>1.8</v>
      </c>
    </row>
    <row r="809" spans="1:23" x14ac:dyDescent="0.2">
      <c r="A809"/>
      <c r="B809"/>
      <c r="C809"/>
      <c r="D809"/>
      <c r="E809"/>
      <c r="F809"/>
      <c r="G809"/>
      <c r="H809"/>
      <c r="I809"/>
      <c r="J809"/>
      <c r="K809" s="13" t="s">
        <v>572</v>
      </c>
      <c r="L809" s="13" t="s">
        <v>402</v>
      </c>
      <c r="M809" s="13" t="s">
        <v>403</v>
      </c>
      <c r="N809" s="15">
        <v>0</v>
      </c>
      <c r="O809" s="16">
        <v>0</v>
      </c>
      <c r="P809" s="17">
        <v>1226.2648700157624</v>
      </c>
      <c r="Q809" s="17">
        <v>0</v>
      </c>
      <c r="R809" s="13"/>
      <c r="S809" s="13" t="s">
        <v>306</v>
      </c>
      <c r="T809" s="13" t="s">
        <v>404</v>
      </c>
      <c r="U809" s="13" t="s">
        <v>405</v>
      </c>
      <c r="V809" s="13" t="s">
        <v>553</v>
      </c>
      <c r="W809" s="14">
        <v>1.4</v>
      </c>
    </row>
    <row r="810" spans="1:23" x14ac:dyDescent="0.2">
      <c r="A810"/>
      <c r="B810"/>
      <c r="C810"/>
      <c r="D810"/>
      <c r="E810"/>
      <c r="F810"/>
      <c r="G810"/>
      <c r="H810"/>
      <c r="I810"/>
      <c r="J810"/>
      <c r="K810" s="13" t="s">
        <v>572</v>
      </c>
      <c r="L810" s="13" t="s">
        <v>448</v>
      </c>
      <c r="M810" s="13" t="s">
        <v>366</v>
      </c>
      <c r="N810" s="15">
        <v>0</v>
      </c>
      <c r="O810" s="16">
        <v>0</v>
      </c>
      <c r="P810" s="17">
        <v>1347.722499976443</v>
      </c>
      <c r="Q810" s="17">
        <v>0</v>
      </c>
      <c r="R810" s="13"/>
      <c r="S810" s="13" t="s">
        <v>306</v>
      </c>
      <c r="T810" s="13" t="s">
        <v>528</v>
      </c>
      <c r="U810" s="13" t="s">
        <v>384</v>
      </c>
      <c r="V810" s="13" t="s">
        <v>550</v>
      </c>
      <c r="W810" s="14">
        <v>0</v>
      </c>
    </row>
    <row r="811" spans="1:23" x14ac:dyDescent="0.2">
      <c r="A811"/>
      <c r="B811"/>
      <c r="C811"/>
      <c r="D811"/>
      <c r="E811"/>
      <c r="F811"/>
      <c r="G811"/>
      <c r="H811"/>
      <c r="I811"/>
      <c r="J811"/>
      <c r="K811" s="13" t="s">
        <v>572</v>
      </c>
      <c r="L811" s="13" t="s">
        <v>462</v>
      </c>
      <c r="M811" s="13" t="s">
        <v>370</v>
      </c>
      <c r="N811" s="15">
        <v>0</v>
      </c>
      <c r="O811" s="16">
        <v>0</v>
      </c>
      <c r="P811" s="17">
        <v>4.5999998973915357E-3</v>
      </c>
      <c r="Q811" s="17">
        <v>0</v>
      </c>
      <c r="R811" s="13"/>
      <c r="S811" s="13" t="s">
        <v>589</v>
      </c>
      <c r="T811" s="13" t="s">
        <v>404</v>
      </c>
      <c r="U811" s="13" t="s">
        <v>405</v>
      </c>
      <c r="V811" s="13" t="s">
        <v>549</v>
      </c>
      <c r="W811" s="14">
        <v>1.6</v>
      </c>
    </row>
    <row r="812" spans="1:23" x14ac:dyDescent="0.2">
      <c r="A812"/>
      <c r="B812"/>
      <c r="C812"/>
      <c r="D812"/>
      <c r="E812"/>
      <c r="F812"/>
      <c r="G812"/>
      <c r="H812"/>
      <c r="I812"/>
      <c r="J812"/>
      <c r="K812" s="13" t="s">
        <v>572</v>
      </c>
      <c r="L812" s="13" t="s">
        <v>456</v>
      </c>
      <c r="M812" s="13" t="s">
        <v>457</v>
      </c>
      <c r="N812" s="15">
        <v>0</v>
      </c>
      <c r="O812" s="16">
        <v>0</v>
      </c>
      <c r="P812" s="17">
        <v>1358.7071499364536</v>
      </c>
      <c r="Q812" s="17">
        <v>0</v>
      </c>
      <c r="R812" s="13"/>
      <c r="S812" s="13" t="s">
        <v>589</v>
      </c>
      <c r="T812" s="13" t="s">
        <v>404</v>
      </c>
      <c r="U812" s="13" t="s">
        <v>405</v>
      </c>
      <c r="V812" s="13" t="s">
        <v>553</v>
      </c>
      <c r="W812" s="14">
        <v>2</v>
      </c>
    </row>
    <row r="813" spans="1:23" x14ac:dyDescent="0.2">
      <c r="A813"/>
      <c r="B813"/>
      <c r="C813"/>
      <c r="D813"/>
      <c r="E813"/>
      <c r="F813"/>
      <c r="G813"/>
      <c r="H813"/>
      <c r="I813"/>
      <c r="J813"/>
      <c r="K813" s="13" t="s">
        <v>572</v>
      </c>
      <c r="L813" s="13" t="s">
        <v>629</v>
      </c>
      <c r="M813" s="13" t="s">
        <v>630</v>
      </c>
      <c r="N813" s="15">
        <v>0</v>
      </c>
      <c r="O813" s="16">
        <v>0</v>
      </c>
      <c r="P813" s="17">
        <v>27.934550000832118</v>
      </c>
      <c r="Q813" s="17">
        <v>91.888449000948839</v>
      </c>
      <c r="R813" s="13"/>
      <c r="S813" s="13" t="s">
        <v>589</v>
      </c>
      <c r="T813" s="13" t="s">
        <v>404</v>
      </c>
      <c r="U813" s="13" t="s">
        <v>405</v>
      </c>
      <c r="V813" s="13" t="s">
        <v>550</v>
      </c>
      <c r="W813" s="14">
        <v>1.5</v>
      </c>
    </row>
    <row r="814" spans="1:23" x14ac:dyDescent="0.2">
      <c r="A814"/>
      <c r="B814"/>
      <c r="C814"/>
      <c r="D814"/>
      <c r="E814"/>
      <c r="F814"/>
      <c r="G814"/>
      <c r="H814"/>
      <c r="I814"/>
      <c r="J814"/>
      <c r="K814" s="13" t="s">
        <v>572</v>
      </c>
      <c r="L814" s="13" t="s">
        <v>504</v>
      </c>
      <c r="M814" s="13" t="s">
        <v>376</v>
      </c>
      <c r="N814" s="15">
        <v>0</v>
      </c>
      <c r="O814" s="16">
        <v>0</v>
      </c>
      <c r="P814" s="17">
        <v>20398.137604359159</v>
      </c>
      <c r="Q814" s="17">
        <v>0</v>
      </c>
      <c r="R814" s="13"/>
      <c r="S814" s="13" t="s">
        <v>589</v>
      </c>
      <c r="T814" s="13" t="s">
        <v>404</v>
      </c>
      <c r="U814" s="13" t="s">
        <v>405</v>
      </c>
      <c r="V814" s="13" t="s">
        <v>550</v>
      </c>
      <c r="W814" s="14">
        <v>1.3</v>
      </c>
    </row>
    <row r="815" spans="1:23" x14ac:dyDescent="0.2">
      <c r="A815"/>
      <c r="B815"/>
      <c r="C815"/>
      <c r="D815"/>
      <c r="E815"/>
      <c r="F815"/>
      <c r="G815"/>
      <c r="H815"/>
      <c r="I815"/>
      <c r="J815"/>
      <c r="K815" s="13" t="s">
        <v>572</v>
      </c>
      <c r="L815" s="13" t="s">
        <v>407</v>
      </c>
      <c r="M815" s="13" t="s">
        <v>408</v>
      </c>
      <c r="N815" s="15">
        <v>61</v>
      </c>
      <c r="O815" s="16">
        <v>0</v>
      </c>
      <c r="P815" s="17">
        <v>0</v>
      </c>
      <c r="Q815" s="17">
        <v>0</v>
      </c>
      <c r="R815" s="13"/>
      <c r="S815" s="13" t="s">
        <v>589</v>
      </c>
      <c r="T815" s="13" t="s">
        <v>404</v>
      </c>
      <c r="U815" s="13" t="s">
        <v>405</v>
      </c>
      <c r="V815" s="13" t="s">
        <v>552</v>
      </c>
      <c r="W815" s="14">
        <v>1</v>
      </c>
    </row>
    <row r="816" spans="1:23" x14ac:dyDescent="0.2">
      <c r="A816"/>
      <c r="B816"/>
      <c r="C816"/>
      <c r="D816"/>
      <c r="E816"/>
      <c r="F816"/>
      <c r="G816"/>
      <c r="H816"/>
      <c r="I816"/>
      <c r="J816"/>
      <c r="K816" s="13" t="s">
        <v>572</v>
      </c>
      <c r="L816" s="13" t="s">
        <v>411</v>
      </c>
      <c r="M816" s="13" t="s">
        <v>362</v>
      </c>
      <c r="N816" s="15">
        <v>0</v>
      </c>
      <c r="O816" s="16">
        <v>0</v>
      </c>
      <c r="P816" s="17">
        <v>37.794899995667997</v>
      </c>
      <c r="Q816" s="17">
        <v>0</v>
      </c>
      <c r="R816" s="13"/>
      <c r="S816" s="13" t="s">
        <v>589</v>
      </c>
      <c r="T816" s="13" t="s">
        <v>613</v>
      </c>
      <c r="U816" s="13" t="s">
        <v>444</v>
      </c>
      <c r="V816" s="13" t="s">
        <v>549</v>
      </c>
      <c r="W816" s="14">
        <v>0</v>
      </c>
    </row>
    <row r="817" spans="1:23" x14ac:dyDescent="0.2">
      <c r="A817"/>
      <c r="B817"/>
      <c r="C817"/>
      <c r="D817"/>
      <c r="E817"/>
      <c r="F817"/>
      <c r="G817"/>
      <c r="H817"/>
      <c r="I817"/>
      <c r="J817"/>
      <c r="K817" s="13" t="s">
        <v>572</v>
      </c>
      <c r="L817" s="13" t="s">
        <v>411</v>
      </c>
      <c r="M817" s="13" t="s">
        <v>362</v>
      </c>
      <c r="N817" s="15">
        <v>2</v>
      </c>
      <c r="O817" s="16">
        <v>0</v>
      </c>
      <c r="P817" s="17">
        <v>0</v>
      </c>
      <c r="Q817" s="17">
        <v>0</v>
      </c>
      <c r="R817" s="13"/>
      <c r="S817" s="13" t="s">
        <v>310</v>
      </c>
      <c r="T817" s="13" t="s">
        <v>395</v>
      </c>
      <c r="U817" s="13" t="s">
        <v>602</v>
      </c>
      <c r="V817" s="13" t="s">
        <v>549</v>
      </c>
      <c r="W817" s="14">
        <v>0</v>
      </c>
    </row>
    <row r="818" spans="1:23" x14ac:dyDescent="0.2">
      <c r="A818"/>
      <c r="B818"/>
      <c r="C818"/>
      <c r="D818"/>
      <c r="E818"/>
      <c r="F818"/>
      <c r="G818"/>
      <c r="H818"/>
      <c r="I818"/>
      <c r="J818"/>
      <c r="K818" s="13" t="s">
        <v>572</v>
      </c>
      <c r="L818" s="13" t="s">
        <v>475</v>
      </c>
      <c r="M818" s="13" t="s">
        <v>470</v>
      </c>
      <c r="N818" s="15">
        <v>2</v>
      </c>
      <c r="O818" s="16">
        <v>0</v>
      </c>
      <c r="P818" s="17">
        <v>0</v>
      </c>
      <c r="Q818" s="17">
        <v>0</v>
      </c>
      <c r="R818" s="13"/>
      <c r="S818" s="13" t="s">
        <v>310</v>
      </c>
      <c r="T818" s="13" t="s">
        <v>404</v>
      </c>
      <c r="U818" s="13" t="s">
        <v>405</v>
      </c>
      <c r="V818" s="13" t="s">
        <v>549</v>
      </c>
      <c r="W818" s="14">
        <v>2</v>
      </c>
    </row>
    <row r="819" spans="1:23" x14ac:dyDescent="0.2">
      <c r="A819"/>
      <c r="B819"/>
      <c r="C819"/>
      <c r="D819"/>
      <c r="E819"/>
      <c r="F819"/>
      <c r="G819"/>
      <c r="H819"/>
      <c r="I819"/>
      <c r="J819"/>
      <c r="K819" s="13" t="s">
        <v>572</v>
      </c>
      <c r="L819" s="13" t="s">
        <v>603</v>
      </c>
      <c r="M819" s="13" t="s">
        <v>385</v>
      </c>
      <c r="N819" s="15">
        <v>13</v>
      </c>
      <c r="O819" s="16">
        <v>0</v>
      </c>
      <c r="P819" s="17">
        <v>0</v>
      </c>
      <c r="Q819" s="17">
        <v>0</v>
      </c>
      <c r="R819" s="13"/>
      <c r="S819" s="13" t="s">
        <v>310</v>
      </c>
      <c r="T819" s="13" t="s">
        <v>528</v>
      </c>
      <c r="U819" s="13" t="s">
        <v>384</v>
      </c>
      <c r="V819" s="13" t="s">
        <v>549</v>
      </c>
      <c r="W819" s="14">
        <v>0</v>
      </c>
    </row>
    <row r="820" spans="1:23" x14ac:dyDescent="0.2">
      <c r="A820"/>
      <c r="B820"/>
      <c r="C820"/>
      <c r="D820"/>
      <c r="E820"/>
      <c r="F820"/>
      <c r="G820"/>
      <c r="H820"/>
      <c r="I820"/>
      <c r="J820"/>
      <c r="K820" s="13" t="s">
        <v>572</v>
      </c>
      <c r="L820" s="13" t="s">
        <v>606</v>
      </c>
      <c r="M820" s="13" t="s">
        <v>430</v>
      </c>
      <c r="N820" s="15">
        <v>58</v>
      </c>
      <c r="O820" s="16">
        <v>0</v>
      </c>
      <c r="P820" s="17">
        <v>0</v>
      </c>
      <c r="Q820" s="17">
        <v>0</v>
      </c>
      <c r="R820" s="13"/>
      <c r="S820" s="13" t="s">
        <v>310</v>
      </c>
      <c r="T820" s="13" t="s">
        <v>528</v>
      </c>
      <c r="U820" s="13" t="s">
        <v>384</v>
      </c>
      <c r="V820" s="13" t="s">
        <v>553</v>
      </c>
      <c r="W820" s="14">
        <v>0</v>
      </c>
    </row>
    <row r="821" spans="1:23" x14ac:dyDescent="0.2">
      <c r="A821"/>
      <c r="B821"/>
      <c r="C821"/>
      <c r="D821"/>
      <c r="E821"/>
      <c r="F821"/>
      <c r="G821"/>
      <c r="H821"/>
      <c r="I821"/>
      <c r="J821"/>
      <c r="K821" s="13" t="s">
        <v>572</v>
      </c>
      <c r="L821" s="13" t="s">
        <v>608</v>
      </c>
      <c r="M821" s="13" t="s">
        <v>432</v>
      </c>
      <c r="N821" s="15">
        <v>4</v>
      </c>
      <c r="O821" s="16">
        <v>0</v>
      </c>
      <c r="P821" s="17">
        <v>0</v>
      </c>
      <c r="Q821" s="17">
        <v>0</v>
      </c>
      <c r="R821" s="13"/>
      <c r="S821" s="13" t="s">
        <v>310</v>
      </c>
      <c r="T821" s="13" t="s">
        <v>613</v>
      </c>
      <c r="U821" s="13" t="s">
        <v>444</v>
      </c>
      <c r="V821" s="13" t="s">
        <v>549</v>
      </c>
      <c r="W821" s="14">
        <v>0</v>
      </c>
    </row>
    <row r="822" spans="1:23" x14ac:dyDescent="0.2">
      <c r="A822"/>
      <c r="B822"/>
      <c r="C822"/>
      <c r="D822"/>
      <c r="E822"/>
      <c r="F822"/>
      <c r="G822"/>
      <c r="H822"/>
      <c r="I822"/>
      <c r="J822"/>
      <c r="K822" s="13" t="s">
        <v>572</v>
      </c>
      <c r="L822" s="13" t="s">
        <v>615</v>
      </c>
      <c r="M822" s="13" t="s">
        <v>449</v>
      </c>
      <c r="N822" s="15">
        <v>1</v>
      </c>
      <c r="O822" s="16">
        <v>0</v>
      </c>
      <c r="P822" s="17">
        <v>0</v>
      </c>
      <c r="Q822" s="17">
        <v>0</v>
      </c>
      <c r="R822" s="13"/>
      <c r="S822" s="13" t="s">
        <v>310</v>
      </c>
      <c r="T822" s="13" t="s">
        <v>613</v>
      </c>
      <c r="U822" s="13" t="s">
        <v>444</v>
      </c>
      <c r="V822" s="13" t="s">
        <v>553</v>
      </c>
      <c r="W822" s="14">
        <v>0</v>
      </c>
    </row>
    <row r="823" spans="1:23" x14ac:dyDescent="0.2">
      <c r="A823"/>
      <c r="B823"/>
      <c r="C823"/>
      <c r="D823"/>
      <c r="E823"/>
      <c r="F823"/>
      <c r="G823"/>
      <c r="H823"/>
      <c r="I823"/>
      <c r="J823"/>
      <c r="K823" s="13" t="s">
        <v>572</v>
      </c>
      <c r="L823" s="13" t="s">
        <v>415</v>
      </c>
      <c r="M823" s="13" t="s">
        <v>412</v>
      </c>
      <c r="N823" s="15">
        <v>0</v>
      </c>
      <c r="O823" s="16">
        <v>0</v>
      </c>
      <c r="P823" s="17">
        <v>137.66860000376747</v>
      </c>
      <c r="Q823" s="17">
        <v>0</v>
      </c>
      <c r="R823" s="13"/>
      <c r="S823" s="13" t="s">
        <v>310</v>
      </c>
      <c r="T823" s="13" t="s">
        <v>613</v>
      </c>
      <c r="U823" s="13" t="s">
        <v>444</v>
      </c>
      <c r="V823" s="13" t="s">
        <v>550</v>
      </c>
      <c r="W823" s="14">
        <v>0</v>
      </c>
    </row>
    <row r="824" spans="1:23" x14ac:dyDescent="0.2">
      <c r="A824"/>
      <c r="B824"/>
      <c r="C824"/>
      <c r="D824"/>
      <c r="E824"/>
      <c r="F824"/>
      <c r="G824"/>
      <c r="H824"/>
      <c r="I824"/>
      <c r="J824"/>
      <c r="K824" s="13" t="s">
        <v>572</v>
      </c>
      <c r="L824" s="13" t="s">
        <v>417</v>
      </c>
      <c r="M824" s="13" t="s">
        <v>414</v>
      </c>
      <c r="N824" s="15">
        <v>0</v>
      </c>
      <c r="O824" s="16">
        <v>0</v>
      </c>
      <c r="P824" s="17">
        <v>47.295200001461964</v>
      </c>
      <c r="Q824" s="17">
        <v>0</v>
      </c>
      <c r="R824" s="13"/>
      <c r="S824" s="13" t="s">
        <v>598</v>
      </c>
      <c r="T824" s="13" t="s">
        <v>404</v>
      </c>
      <c r="U824" s="13" t="s">
        <v>405</v>
      </c>
      <c r="V824" s="13" t="s">
        <v>549</v>
      </c>
      <c r="W824" s="14">
        <v>0.8</v>
      </c>
    </row>
    <row r="825" spans="1:23" x14ac:dyDescent="0.2">
      <c r="A825"/>
      <c r="B825"/>
      <c r="C825"/>
      <c r="D825"/>
      <c r="E825"/>
      <c r="F825"/>
      <c r="G825"/>
      <c r="H825"/>
      <c r="I825"/>
      <c r="J825"/>
      <c r="K825" s="13" t="s">
        <v>572</v>
      </c>
      <c r="L825" s="13" t="s">
        <v>609</v>
      </c>
      <c r="M825" s="13" t="s">
        <v>416</v>
      </c>
      <c r="N825" s="15">
        <v>0</v>
      </c>
      <c r="O825" s="16">
        <v>171.81311728059976</v>
      </c>
      <c r="P825" s="17">
        <v>0</v>
      </c>
      <c r="Q825" s="17">
        <v>0</v>
      </c>
      <c r="R825" s="13"/>
      <c r="S825" s="13" t="s">
        <v>598</v>
      </c>
      <c r="T825" s="13" t="s">
        <v>629</v>
      </c>
      <c r="U825" s="13" t="s">
        <v>630</v>
      </c>
      <c r="V825" s="13" t="s">
        <v>550</v>
      </c>
      <c r="W825" s="14">
        <v>0</v>
      </c>
    </row>
    <row r="826" spans="1:23" x14ac:dyDescent="0.2">
      <c r="A826"/>
      <c r="B826"/>
      <c r="C826"/>
      <c r="D826"/>
      <c r="E826"/>
      <c r="F826"/>
      <c r="G826"/>
      <c r="H826"/>
      <c r="I826"/>
      <c r="J826"/>
      <c r="K826" s="13" t="s">
        <v>572</v>
      </c>
      <c r="L826" s="13" t="s">
        <v>421</v>
      </c>
      <c r="M826" s="13" t="s">
        <v>443</v>
      </c>
      <c r="N826" s="15">
        <v>28</v>
      </c>
      <c r="O826" s="16">
        <v>0</v>
      </c>
      <c r="P826" s="17">
        <v>0</v>
      </c>
      <c r="Q826" s="17">
        <v>0</v>
      </c>
      <c r="R826" s="13"/>
      <c r="S826" s="13" t="s">
        <v>599</v>
      </c>
      <c r="T826" s="13" t="s">
        <v>406</v>
      </c>
      <c r="U826" s="13" t="s">
        <v>361</v>
      </c>
      <c r="V826" s="13" t="s">
        <v>549</v>
      </c>
      <c r="W826" s="14">
        <v>1.5</v>
      </c>
    </row>
    <row r="827" spans="1:23" x14ac:dyDescent="0.2">
      <c r="A827"/>
      <c r="B827"/>
      <c r="C827"/>
      <c r="D827"/>
      <c r="E827"/>
      <c r="F827"/>
      <c r="G827"/>
      <c r="H827"/>
      <c r="I827"/>
      <c r="J827"/>
      <c r="K827" s="13" t="s">
        <v>572</v>
      </c>
      <c r="L827" s="13" t="s">
        <v>383</v>
      </c>
      <c r="M827" s="13" t="s">
        <v>420</v>
      </c>
      <c r="N827" s="15">
        <v>1</v>
      </c>
      <c r="O827" s="16">
        <v>0</v>
      </c>
      <c r="P827" s="17">
        <v>0</v>
      </c>
      <c r="Q827" s="17">
        <v>0</v>
      </c>
      <c r="R827" s="13"/>
      <c r="S827" s="13" t="s">
        <v>312</v>
      </c>
      <c r="T827" s="13" t="s">
        <v>395</v>
      </c>
      <c r="U827" s="13" t="s">
        <v>602</v>
      </c>
      <c r="V827" s="13" t="s">
        <v>549</v>
      </c>
      <c r="W827" s="14">
        <v>0</v>
      </c>
    </row>
    <row r="828" spans="1:23" x14ac:dyDescent="0.2">
      <c r="A828"/>
      <c r="B828"/>
      <c r="C828"/>
      <c r="D828"/>
      <c r="E828"/>
      <c r="F828"/>
      <c r="G828"/>
      <c r="H828"/>
      <c r="I828"/>
      <c r="J828"/>
      <c r="K828" s="13" t="s">
        <v>572</v>
      </c>
      <c r="L828" s="13" t="s">
        <v>467</v>
      </c>
      <c r="M828" s="13" t="s">
        <v>422</v>
      </c>
      <c r="N828" s="15">
        <v>0</v>
      </c>
      <c r="O828" s="16">
        <v>18.908059699287207</v>
      </c>
      <c r="P828" s="17">
        <v>0</v>
      </c>
      <c r="Q828" s="17">
        <v>0</v>
      </c>
      <c r="R828" s="13"/>
      <c r="S828" s="13" t="s">
        <v>312</v>
      </c>
      <c r="T828" s="13" t="s">
        <v>609</v>
      </c>
      <c r="U828" s="13" t="s">
        <v>416</v>
      </c>
      <c r="V828" s="13" t="s">
        <v>549</v>
      </c>
      <c r="W828" s="14">
        <v>0</v>
      </c>
    </row>
    <row r="829" spans="1:23" x14ac:dyDescent="0.2">
      <c r="A829"/>
      <c r="B829"/>
      <c r="C829"/>
      <c r="D829"/>
      <c r="E829"/>
      <c r="F829"/>
      <c r="G829"/>
      <c r="H829"/>
      <c r="I829"/>
      <c r="J829"/>
      <c r="K829" s="13" t="s">
        <v>572</v>
      </c>
      <c r="L829" s="13" t="s">
        <v>614</v>
      </c>
      <c r="M829" s="13" t="s">
        <v>447</v>
      </c>
      <c r="N829" s="15">
        <v>13</v>
      </c>
      <c r="O829" s="16">
        <v>0</v>
      </c>
      <c r="P829" s="17">
        <v>0</v>
      </c>
      <c r="Q829" s="17">
        <v>0</v>
      </c>
      <c r="R829" s="13"/>
      <c r="S829" s="13" t="s">
        <v>312</v>
      </c>
      <c r="T829" s="13" t="s">
        <v>609</v>
      </c>
      <c r="U829" s="13" t="s">
        <v>416</v>
      </c>
      <c r="V829" s="13" t="s">
        <v>553</v>
      </c>
      <c r="W829" s="14">
        <v>0</v>
      </c>
    </row>
    <row r="830" spans="1:23" x14ac:dyDescent="0.2">
      <c r="A830"/>
      <c r="B830"/>
      <c r="C830"/>
      <c r="D830"/>
      <c r="E830"/>
      <c r="F830"/>
      <c r="G830"/>
      <c r="H830"/>
      <c r="I830"/>
      <c r="J830"/>
      <c r="K830" s="13" t="s">
        <v>55</v>
      </c>
      <c r="L830" s="13" t="s">
        <v>389</v>
      </c>
      <c r="M830" s="13" t="s">
        <v>388</v>
      </c>
      <c r="N830" s="15">
        <v>0</v>
      </c>
      <c r="O830" s="16">
        <v>0</v>
      </c>
      <c r="P830" s="17">
        <v>60.088749995480754</v>
      </c>
      <c r="Q830" s="17">
        <v>0</v>
      </c>
      <c r="R830" s="13"/>
      <c r="S830" s="13" t="s">
        <v>312</v>
      </c>
      <c r="T830" s="13" t="s">
        <v>609</v>
      </c>
      <c r="U830" s="13" t="s">
        <v>416</v>
      </c>
      <c r="V830" s="13" t="s">
        <v>550</v>
      </c>
      <c r="W830" s="14">
        <v>0</v>
      </c>
    </row>
    <row r="831" spans="1:23" x14ac:dyDescent="0.2">
      <c r="A831"/>
      <c r="B831"/>
      <c r="C831"/>
      <c r="D831"/>
      <c r="E831"/>
      <c r="F831"/>
      <c r="G831"/>
      <c r="H831"/>
      <c r="I831"/>
      <c r="J831"/>
      <c r="K831" s="13" t="s">
        <v>55</v>
      </c>
      <c r="L831" s="13" t="s">
        <v>542</v>
      </c>
      <c r="M831" s="13" t="s">
        <v>390</v>
      </c>
      <c r="N831" s="15">
        <v>0</v>
      </c>
      <c r="O831" s="16">
        <v>0</v>
      </c>
      <c r="P831" s="17">
        <v>21.028399995064504</v>
      </c>
      <c r="Q831" s="17">
        <v>0</v>
      </c>
      <c r="R831" s="13"/>
      <c r="S831" s="13" t="s">
        <v>312</v>
      </c>
      <c r="T831" s="13" t="s">
        <v>610</v>
      </c>
      <c r="U831" s="13" t="s">
        <v>418</v>
      </c>
      <c r="V831" s="13" t="s">
        <v>549</v>
      </c>
      <c r="W831" s="14">
        <v>0</v>
      </c>
    </row>
    <row r="832" spans="1:23" x14ac:dyDescent="0.2">
      <c r="A832"/>
      <c r="B832"/>
      <c r="C832"/>
      <c r="D832"/>
      <c r="E832"/>
      <c r="F832"/>
      <c r="G832"/>
      <c r="H832"/>
      <c r="I832"/>
      <c r="J832"/>
      <c r="K832" s="13" t="s">
        <v>55</v>
      </c>
      <c r="L832" s="13" t="s">
        <v>391</v>
      </c>
      <c r="M832" s="13" t="s">
        <v>358</v>
      </c>
      <c r="N832" s="15">
        <v>0</v>
      </c>
      <c r="O832" s="16">
        <v>0</v>
      </c>
      <c r="P832" s="17">
        <v>1742.3286500076638</v>
      </c>
      <c r="Q832" s="17">
        <v>0</v>
      </c>
      <c r="R832" s="13"/>
      <c r="S832" s="13" t="s">
        <v>312</v>
      </c>
      <c r="T832" s="13" t="s">
        <v>613</v>
      </c>
      <c r="U832" s="13" t="s">
        <v>444</v>
      </c>
      <c r="V832" s="13" t="s">
        <v>549</v>
      </c>
      <c r="W832" s="14">
        <v>0</v>
      </c>
    </row>
    <row r="833" spans="1:23" x14ac:dyDescent="0.2">
      <c r="A833"/>
      <c r="B833"/>
      <c r="C833"/>
      <c r="D833"/>
      <c r="E833"/>
      <c r="F833"/>
      <c r="G833"/>
      <c r="H833"/>
      <c r="I833"/>
      <c r="J833"/>
      <c r="K833" s="13" t="s">
        <v>55</v>
      </c>
      <c r="L833" s="13" t="s">
        <v>392</v>
      </c>
      <c r="M833" s="13" t="s">
        <v>437</v>
      </c>
      <c r="N833" s="15">
        <v>0</v>
      </c>
      <c r="O833" s="16">
        <v>0</v>
      </c>
      <c r="P833" s="17">
        <v>1982.1046499719887</v>
      </c>
      <c r="Q833" s="17">
        <v>0</v>
      </c>
      <c r="R833" s="13"/>
      <c r="S833" s="13" t="s">
        <v>312</v>
      </c>
      <c r="T833" s="13" t="s">
        <v>613</v>
      </c>
      <c r="U833" s="13" t="s">
        <v>444</v>
      </c>
      <c r="V833" s="13" t="s">
        <v>553</v>
      </c>
      <c r="W833" s="14">
        <v>0</v>
      </c>
    </row>
    <row r="834" spans="1:23" x14ac:dyDescent="0.2">
      <c r="A834"/>
      <c r="B834"/>
      <c r="C834"/>
      <c r="D834"/>
      <c r="E834"/>
      <c r="F834"/>
      <c r="G834"/>
      <c r="H834"/>
      <c r="I834"/>
      <c r="J834"/>
      <c r="K834" s="13" t="s">
        <v>55</v>
      </c>
      <c r="L834" s="13" t="s">
        <v>402</v>
      </c>
      <c r="M834" s="13" t="s">
        <v>403</v>
      </c>
      <c r="N834" s="15">
        <v>0</v>
      </c>
      <c r="O834" s="16">
        <v>0</v>
      </c>
      <c r="P834" s="17">
        <v>680.45754996592768</v>
      </c>
      <c r="Q834" s="17">
        <v>0</v>
      </c>
      <c r="R834" s="13"/>
      <c r="S834" s="13" t="s">
        <v>312</v>
      </c>
      <c r="T834" s="13" t="s">
        <v>613</v>
      </c>
      <c r="U834" s="13" t="s">
        <v>444</v>
      </c>
      <c r="V834" s="13" t="s">
        <v>550</v>
      </c>
      <c r="W834" s="14">
        <v>0</v>
      </c>
    </row>
    <row r="835" spans="1:23" x14ac:dyDescent="0.2">
      <c r="A835"/>
      <c r="B835"/>
      <c r="C835"/>
      <c r="D835"/>
      <c r="E835"/>
      <c r="F835"/>
      <c r="G835"/>
      <c r="H835"/>
      <c r="I835"/>
      <c r="J835"/>
      <c r="K835" s="13" t="s">
        <v>55</v>
      </c>
      <c r="L835" s="13" t="s">
        <v>462</v>
      </c>
      <c r="M835" s="13" t="s">
        <v>370</v>
      </c>
      <c r="N835" s="15">
        <v>0</v>
      </c>
      <c r="O835" s="16">
        <v>0</v>
      </c>
      <c r="P835" s="17">
        <v>6.9999998908024271E-4</v>
      </c>
      <c r="Q835" s="17">
        <v>0</v>
      </c>
      <c r="R835" s="13"/>
      <c r="S835" s="13" t="s">
        <v>315</v>
      </c>
      <c r="T835" s="13" t="s">
        <v>404</v>
      </c>
      <c r="U835" s="13" t="s">
        <v>405</v>
      </c>
      <c r="V835" s="13" t="s">
        <v>549</v>
      </c>
      <c r="W835" s="14">
        <v>1.5</v>
      </c>
    </row>
    <row r="836" spans="1:23" x14ac:dyDescent="0.2">
      <c r="A836"/>
      <c r="B836"/>
      <c r="C836"/>
      <c r="D836"/>
      <c r="E836"/>
      <c r="F836"/>
      <c r="G836"/>
      <c r="H836"/>
      <c r="I836"/>
      <c r="J836"/>
      <c r="K836" s="13" t="s">
        <v>55</v>
      </c>
      <c r="L836" s="13" t="s">
        <v>456</v>
      </c>
      <c r="M836" s="13" t="s">
        <v>457</v>
      </c>
      <c r="N836" s="15">
        <v>0</v>
      </c>
      <c r="O836" s="16">
        <v>0</v>
      </c>
      <c r="P836" s="17">
        <v>14102.431949770382</v>
      </c>
      <c r="Q836" s="17">
        <v>0</v>
      </c>
      <c r="R836" s="13"/>
      <c r="S836" s="13" t="s">
        <v>315</v>
      </c>
      <c r="T836" s="13" t="s">
        <v>404</v>
      </c>
      <c r="U836" s="13" t="s">
        <v>405</v>
      </c>
      <c r="V836" s="13" t="s">
        <v>553</v>
      </c>
      <c r="W836" s="14">
        <v>1.8</v>
      </c>
    </row>
    <row r="837" spans="1:23" x14ac:dyDescent="0.2">
      <c r="A837"/>
      <c r="B837"/>
      <c r="C837"/>
      <c r="D837"/>
      <c r="E837"/>
      <c r="F837"/>
      <c r="G837"/>
      <c r="H837"/>
      <c r="I837"/>
      <c r="J837"/>
      <c r="K837" s="13" t="s">
        <v>55</v>
      </c>
      <c r="L837" s="13" t="s">
        <v>451</v>
      </c>
      <c r="M837" s="13" t="s">
        <v>369</v>
      </c>
      <c r="N837" s="15">
        <v>0</v>
      </c>
      <c r="O837" s="16">
        <v>0</v>
      </c>
      <c r="P837" s="17">
        <v>18588.440649706496</v>
      </c>
      <c r="Q837" s="17">
        <v>0</v>
      </c>
      <c r="R837" s="13"/>
      <c r="S837" s="13" t="s">
        <v>315</v>
      </c>
      <c r="T837" s="13" t="s">
        <v>610</v>
      </c>
      <c r="U837" s="13" t="s">
        <v>418</v>
      </c>
      <c r="V837" s="13" t="s">
        <v>549</v>
      </c>
      <c r="W837" s="14">
        <v>0</v>
      </c>
    </row>
    <row r="838" spans="1:23" x14ac:dyDescent="0.2">
      <c r="A838"/>
      <c r="B838"/>
      <c r="C838"/>
      <c r="D838"/>
      <c r="E838"/>
      <c r="F838"/>
      <c r="G838"/>
      <c r="H838"/>
      <c r="I838"/>
      <c r="J838"/>
      <c r="K838" s="13" t="s">
        <v>55</v>
      </c>
      <c r="L838" s="13" t="s">
        <v>381</v>
      </c>
      <c r="M838" s="13" t="s">
        <v>382</v>
      </c>
      <c r="N838" s="15">
        <v>10</v>
      </c>
      <c r="O838" s="16">
        <v>0</v>
      </c>
      <c r="P838" s="17">
        <v>0</v>
      </c>
      <c r="Q838" s="17">
        <v>0</v>
      </c>
      <c r="R838" s="13"/>
      <c r="S838" s="13" t="s">
        <v>315</v>
      </c>
      <c r="T838" s="13" t="s">
        <v>613</v>
      </c>
      <c r="U838" s="13" t="s">
        <v>444</v>
      </c>
      <c r="V838" s="13" t="s">
        <v>549</v>
      </c>
      <c r="W838" s="14">
        <v>0</v>
      </c>
    </row>
    <row r="839" spans="1:23" x14ac:dyDescent="0.2">
      <c r="A839"/>
      <c r="B839"/>
      <c r="C839"/>
      <c r="D839"/>
      <c r="E839"/>
      <c r="F839"/>
      <c r="G839"/>
      <c r="H839"/>
      <c r="I839"/>
      <c r="J839"/>
      <c r="K839" s="13" t="s">
        <v>55</v>
      </c>
      <c r="L839" s="13" t="s">
        <v>609</v>
      </c>
      <c r="M839" s="13" t="s">
        <v>416</v>
      </c>
      <c r="N839" s="15">
        <v>0</v>
      </c>
      <c r="O839" s="16">
        <v>13.595632741142339</v>
      </c>
      <c r="P839" s="17">
        <v>0</v>
      </c>
      <c r="Q839" s="17">
        <v>0</v>
      </c>
      <c r="R839" s="13"/>
      <c r="S839" s="13" t="s">
        <v>317</v>
      </c>
      <c r="T839" s="13" t="s">
        <v>404</v>
      </c>
      <c r="U839" s="13" t="s">
        <v>405</v>
      </c>
      <c r="V839" s="13" t="s">
        <v>549</v>
      </c>
      <c r="W839" s="14">
        <v>1.8</v>
      </c>
    </row>
    <row r="840" spans="1:23" x14ac:dyDescent="0.2">
      <c r="A840"/>
      <c r="B840"/>
      <c r="C840"/>
      <c r="D840"/>
      <c r="E840"/>
      <c r="F840"/>
      <c r="G840"/>
      <c r="H840"/>
      <c r="I840"/>
      <c r="J840"/>
      <c r="K840" s="13" t="s">
        <v>55</v>
      </c>
      <c r="L840" s="13" t="s">
        <v>421</v>
      </c>
      <c r="M840" s="13" t="s">
        <v>443</v>
      </c>
      <c r="N840" s="15">
        <v>4</v>
      </c>
      <c r="O840" s="16">
        <v>0</v>
      </c>
      <c r="P840" s="17">
        <v>0</v>
      </c>
      <c r="Q840" s="17">
        <v>0</v>
      </c>
      <c r="R840" s="13"/>
      <c r="S840" s="13" t="s">
        <v>317</v>
      </c>
      <c r="T840" s="13" t="s">
        <v>610</v>
      </c>
      <c r="U840" s="13" t="s">
        <v>418</v>
      </c>
      <c r="V840" s="13" t="s">
        <v>549</v>
      </c>
      <c r="W840" s="14">
        <v>0</v>
      </c>
    </row>
    <row r="841" spans="1:23" x14ac:dyDescent="0.2">
      <c r="A841"/>
      <c r="B841"/>
      <c r="C841"/>
      <c r="D841"/>
      <c r="E841"/>
      <c r="F841"/>
      <c r="G841"/>
      <c r="H841"/>
      <c r="I841"/>
      <c r="J841"/>
      <c r="K841" s="13" t="s">
        <v>55</v>
      </c>
      <c r="L841" s="13" t="s">
        <v>614</v>
      </c>
      <c r="M841" s="13" t="s">
        <v>447</v>
      </c>
      <c r="N841" s="15">
        <v>5</v>
      </c>
      <c r="O841" s="16">
        <v>0</v>
      </c>
      <c r="P841" s="17">
        <v>0</v>
      </c>
      <c r="Q841" s="17">
        <v>0</v>
      </c>
      <c r="R841" s="13"/>
      <c r="S841" s="13" t="s">
        <v>319</v>
      </c>
      <c r="T841" s="13" t="s">
        <v>404</v>
      </c>
      <c r="U841" s="13" t="s">
        <v>405</v>
      </c>
      <c r="V841" s="13" t="s">
        <v>549</v>
      </c>
      <c r="W841" s="14">
        <v>1.8</v>
      </c>
    </row>
    <row r="842" spans="1:23" x14ac:dyDescent="0.2">
      <c r="A842"/>
      <c r="B842"/>
      <c r="C842"/>
      <c r="D842"/>
      <c r="E842"/>
      <c r="F842"/>
      <c r="G842"/>
      <c r="H842"/>
      <c r="I842"/>
      <c r="J842"/>
      <c r="K842" s="13" t="s">
        <v>55</v>
      </c>
      <c r="L842" s="13" t="s">
        <v>616</v>
      </c>
      <c r="M842" s="13" t="s">
        <v>485</v>
      </c>
      <c r="N842" s="15">
        <v>1</v>
      </c>
      <c r="O842" s="16">
        <v>0</v>
      </c>
      <c r="P842" s="17">
        <v>0</v>
      </c>
      <c r="Q842" s="17">
        <v>0</v>
      </c>
      <c r="R842" s="13"/>
      <c r="S842" s="13" t="s">
        <v>319</v>
      </c>
      <c r="T842" s="13" t="s">
        <v>404</v>
      </c>
      <c r="U842" s="13" t="s">
        <v>405</v>
      </c>
      <c r="V842" s="13" t="s">
        <v>553</v>
      </c>
      <c r="W842" s="14">
        <v>1.3</v>
      </c>
    </row>
    <row r="843" spans="1:23" x14ac:dyDescent="0.2">
      <c r="A843"/>
      <c r="B843"/>
      <c r="C843"/>
      <c r="D843"/>
      <c r="E843"/>
      <c r="F843"/>
      <c r="G843"/>
      <c r="H843"/>
      <c r="I843"/>
      <c r="J843"/>
      <c r="K843" s="13" t="s">
        <v>56</v>
      </c>
      <c r="L843" s="13" t="s">
        <v>401</v>
      </c>
      <c r="M843" s="13" t="s">
        <v>360</v>
      </c>
      <c r="N843" s="15">
        <v>0</v>
      </c>
      <c r="O843" s="16">
        <v>0</v>
      </c>
      <c r="P843" s="17">
        <v>7469.8946998172269</v>
      </c>
      <c r="Q843" s="17">
        <v>0</v>
      </c>
      <c r="R843" s="13"/>
      <c r="S843" s="13" t="s">
        <v>319</v>
      </c>
      <c r="T843" s="13" t="s">
        <v>613</v>
      </c>
      <c r="U843" s="13" t="s">
        <v>444</v>
      </c>
      <c r="V843" s="13" t="s">
        <v>549</v>
      </c>
      <c r="W843" s="14">
        <v>0</v>
      </c>
    </row>
    <row r="844" spans="1:23" x14ac:dyDescent="0.2">
      <c r="A844"/>
      <c r="B844"/>
      <c r="C844"/>
      <c r="D844"/>
      <c r="E844"/>
      <c r="F844"/>
      <c r="G844"/>
      <c r="H844"/>
      <c r="I844"/>
      <c r="J844"/>
      <c r="K844" s="13" t="s">
        <v>56</v>
      </c>
      <c r="L844" s="13" t="s">
        <v>462</v>
      </c>
      <c r="M844" s="13" t="s">
        <v>370</v>
      </c>
      <c r="N844" s="15">
        <v>0</v>
      </c>
      <c r="O844" s="16">
        <v>0</v>
      </c>
      <c r="P844" s="17">
        <v>57876.930749028223</v>
      </c>
      <c r="Q844" s="17">
        <v>0</v>
      </c>
      <c r="R844" s="13"/>
      <c r="S844" s="13" t="s">
        <v>321</v>
      </c>
      <c r="T844" s="13" t="s">
        <v>395</v>
      </c>
      <c r="U844" s="13" t="s">
        <v>602</v>
      </c>
      <c r="V844" s="13" t="s">
        <v>549</v>
      </c>
      <c r="W844" s="14">
        <v>0</v>
      </c>
    </row>
    <row r="845" spans="1:23" x14ac:dyDescent="0.2">
      <c r="A845"/>
      <c r="B845"/>
      <c r="C845"/>
      <c r="D845"/>
      <c r="E845"/>
      <c r="F845"/>
      <c r="G845"/>
      <c r="H845"/>
      <c r="I845"/>
      <c r="J845"/>
      <c r="K845" s="13" t="s">
        <v>56</v>
      </c>
      <c r="L845" s="13" t="s">
        <v>463</v>
      </c>
      <c r="M845" s="13" t="s">
        <v>372</v>
      </c>
      <c r="N845" s="15">
        <v>0</v>
      </c>
      <c r="O845" s="16">
        <v>0</v>
      </c>
      <c r="P845" s="17">
        <v>65346.825448845448</v>
      </c>
      <c r="Q845" s="17">
        <v>0</v>
      </c>
      <c r="R845" s="13"/>
      <c r="S845" s="13" t="s">
        <v>321</v>
      </c>
      <c r="T845" s="13" t="s">
        <v>404</v>
      </c>
      <c r="U845" s="13" t="s">
        <v>405</v>
      </c>
      <c r="V845" s="13" t="s">
        <v>549</v>
      </c>
      <c r="W845" s="14">
        <v>1.8</v>
      </c>
    </row>
    <row r="846" spans="1:23" x14ac:dyDescent="0.2">
      <c r="A846"/>
      <c r="B846"/>
      <c r="C846"/>
      <c r="D846"/>
      <c r="E846"/>
      <c r="F846"/>
      <c r="G846"/>
      <c r="H846"/>
      <c r="I846"/>
      <c r="J846"/>
      <c r="K846" s="13" t="s">
        <v>56</v>
      </c>
      <c r="L846" s="13" t="s">
        <v>381</v>
      </c>
      <c r="M846" s="13" t="s">
        <v>382</v>
      </c>
      <c r="N846" s="15">
        <v>134</v>
      </c>
      <c r="O846" s="16">
        <v>0</v>
      </c>
      <c r="P846" s="17">
        <v>0</v>
      </c>
      <c r="Q846" s="17">
        <v>0</v>
      </c>
      <c r="R846" s="13"/>
      <c r="S846" s="13" t="s">
        <v>321</v>
      </c>
      <c r="T846" s="13" t="s">
        <v>404</v>
      </c>
      <c r="U846" s="13" t="s">
        <v>405</v>
      </c>
      <c r="V846" s="13" t="s">
        <v>553</v>
      </c>
      <c r="W846" s="14">
        <v>1.5</v>
      </c>
    </row>
    <row r="847" spans="1:23" x14ac:dyDescent="0.2">
      <c r="A847"/>
      <c r="B847"/>
      <c r="C847"/>
      <c r="D847"/>
      <c r="E847"/>
      <c r="F847"/>
      <c r="G847"/>
      <c r="H847"/>
      <c r="I847"/>
      <c r="J847"/>
      <c r="K847" s="13" t="s">
        <v>56</v>
      </c>
      <c r="L847" s="13" t="s">
        <v>454</v>
      </c>
      <c r="M847" s="13" t="s">
        <v>455</v>
      </c>
      <c r="N847" s="15">
        <v>0</v>
      </c>
      <c r="O847" s="16">
        <v>0</v>
      </c>
      <c r="P847" s="17">
        <v>1567.1651000109282</v>
      </c>
      <c r="Q847" s="17">
        <v>0</v>
      </c>
      <c r="R847" s="13"/>
      <c r="S847" s="13" t="s">
        <v>321</v>
      </c>
      <c r="T847" s="13" t="s">
        <v>406</v>
      </c>
      <c r="U847" s="13" t="s">
        <v>361</v>
      </c>
      <c r="V847" s="13" t="s">
        <v>549</v>
      </c>
      <c r="W847" s="14">
        <v>0.8</v>
      </c>
    </row>
    <row r="848" spans="1:23" x14ac:dyDescent="0.2">
      <c r="A848"/>
      <c r="B848"/>
      <c r="C848"/>
      <c r="D848"/>
      <c r="E848"/>
      <c r="F848"/>
      <c r="G848"/>
      <c r="H848"/>
      <c r="I848"/>
      <c r="J848"/>
      <c r="K848" s="13" t="s">
        <v>57</v>
      </c>
      <c r="L848" s="13" t="s">
        <v>401</v>
      </c>
      <c r="M848" s="13" t="s">
        <v>360</v>
      </c>
      <c r="N848" s="15">
        <v>0</v>
      </c>
      <c r="O848" s="16">
        <v>0</v>
      </c>
      <c r="P848" s="17">
        <v>868.40409988371869</v>
      </c>
      <c r="Q848" s="17">
        <v>0</v>
      </c>
      <c r="R848" s="13"/>
      <c r="S848" s="13" t="s">
        <v>323</v>
      </c>
      <c r="T848" s="13" t="s">
        <v>395</v>
      </c>
      <c r="U848" s="13" t="s">
        <v>602</v>
      </c>
      <c r="V848" s="13" t="s">
        <v>549</v>
      </c>
      <c r="W848" s="14">
        <v>0</v>
      </c>
    </row>
    <row r="849" spans="1:23" x14ac:dyDescent="0.2">
      <c r="A849"/>
      <c r="B849"/>
      <c r="C849"/>
      <c r="D849"/>
      <c r="E849"/>
      <c r="F849"/>
      <c r="G849"/>
      <c r="H849"/>
      <c r="I849"/>
      <c r="J849"/>
      <c r="K849" s="13" t="s">
        <v>57</v>
      </c>
      <c r="L849" s="13" t="s">
        <v>402</v>
      </c>
      <c r="M849" s="13" t="s">
        <v>403</v>
      </c>
      <c r="N849" s="15">
        <v>0</v>
      </c>
      <c r="O849" s="16">
        <v>0</v>
      </c>
      <c r="P849" s="17">
        <v>12997.087399794858</v>
      </c>
      <c r="Q849" s="17">
        <v>0</v>
      </c>
      <c r="R849" s="13"/>
      <c r="S849" s="13" t="s">
        <v>323</v>
      </c>
      <c r="T849" s="13" t="s">
        <v>395</v>
      </c>
      <c r="U849" s="13" t="s">
        <v>602</v>
      </c>
      <c r="V849" s="13" t="s">
        <v>553</v>
      </c>
      <c r="W849" s="14">
        <v>0</v>
      </c>
    </row>
    <row r="850" spans="1:23" x14ac:dyDescent="0.2">
      <c r="A850"/>
      <c r="B850"/>
      <c r="C850"/>
      <c r="D850"/>
      <c r="E850"/>
      <c r="F850"/>
      <c r="G850"/>
      <c r="H850"/>
      <c r="I850"/>
      <c r="J850"/>
      <c r="K850" s="13" t="s">
        <v>57</v>
      </c>
      <c r="L850" s="13" t="s">
        <v>448</v>
      </c>
      <c r="M850" s="13" t="s">
        <v>366</v>
      </c>
      <c r="N850" s="15">
        <v>0</v>
      </c>
      <c r="O850" s="16">
        <v>0</v>
      </c>
      <c r="P850" s="17">
        <v>1851.5209500263325</v>
      </c>
      <c r="Q850" s="17">
        <v>0</v>
      </c>
      <c r="R850" s="13"/>
      <c r="S850" s="13" t="s">
        <v>323</v>
      </c>
      <c r="T850" s="13" t="s">
        <v>404</v>
      </c>
      <c r="U850" s="13" t="s">
        <v>405</v>
      </c>
      <c r="V850" s="13" t="s">
        <v>549</v>
      </c>
      <c r="W850" s="14">
        <v>1.2</v>
      </c>
    </row>
    <row r="851" spans="1:23" x14ac:dyDescent="0.2">
      <c r="A851"/>
      <c r="B851"/>
      <c r="C851"/>
      <c r="D851"/>
      <c r="E851"/>
      <c r="F851"/>
      <c r="G851"/>
      <c r="H851"/>
      <c r="I851"/>
      <c r="J851"/>
      <c r="K851" s="13" t="s">
        <v>57</v>
      </c>
      <c r="L851" s="13" t="s">
        <v>462</v>
      </c>
      <c r="M851" s="13" t="s">
        <v>370</v>
      </c>
      <c r="N851" s="15">
        <v>0</v>
      </c>
      <c r="O851" s="16">
        <v>0</v>
      </c>
      <c r="P851" s="17">
        <v>401.39514998298097</v>
      </c>
      <c r="Q851" s="17">
        <v>0</v>
      </c>
      <c r="R851" s="13"/>
      <c r="S851" s="13" t="s">
        <v>323</v>
      </c>
      <c r="T851" s="13" t="s">
        <v>404</v>
      </c>
      <c r="U851" s="13" t="s">
        <v>405</v>
      </c>
      <c r="V851" s="13" t="s">
        <v>553</v>
      </c>
      <c r="W851" s="14">
        <v>1.2</v>
      </c>
    </row>
    <row r="852" spans="1:23" x14ac:dyDescent="0.2">
      <c r="A852"/>
      <c r="B852"/>
      <c r="C852"/>
      <c r="D852"/>
      <c r="E852"/>
      <c r="F852"/>
      <c r="G852"/>
      <c r="H852"/>
      <c r="I852"/>
      <c r="J852"/>
      <c r="K852" s="13" t="s">
        <v>57</v>
      </c>
      <c r="L852" s="13" t="s">
        <v>482</v>
      </c>
      <c r="M852" s="13" t="s">
        <v>483</v>
      </c>
      <c r="N852" s="15">
        <v>0</v>
      </c>
      <c r="O852" s="16">
        <v>0</v>
      </c>
      <c r="P852" s="17">
        <v>252.7080023888584</v>
      </c>
      <c r="Q852" s="17">
        <v>0</v>
      </c>
      <c r="R852" s="13"/>
      <c r="S852" s="13" t="s">
        <v>323</v>
      </c>
      <c r="T852" s="13" t="s">
        <v>404</v>
      </c>
      <c r="U852" s="13" t="s">
        <v>405</v>
      </c>
      <c r="V852" s="13" t="s">
        <v>550</v>
      </c>
      <c r="W852" s="14">
        <v>1.6</v>
      </c>
    </row>
    <row r="853" spans="1:23" x14ac:dyDescent="0.2">
      <c r="A853"/>
      <c r="B853"/>
      <c r="C853"/>
      <c r="D853"/>
      <c r="E853"/>
      <c r="F853"/>
      <c r="G853"/>
      <c r="H853"/>
      <c r="I853"/>
      <c r="J853"/>
      <c r="K853" s="13" t="s">
        <v>57</v>
      </c>
      <c r="L853" s="13" t="s">
        <v>451</v>
      </c>
      <c r="M853" s="13" t="s">
        <v>369</v>
      </c>
      <c r="N853" s="15">
        <v>0</v>
      </c>
      <c r="O853" s="16">
        <v>0</v>
      </c>
      <c r="P853" s="17">
        <v>16371.115602076756</v>
      </c>
      <c r="Q853" s="17">
        <v>0</v>
      </c>
      <c r="R853" s="13"/>
      <c r="S853" s="13" t="s">
        <v>323</v>
      </c>
      <c r="T853" s="13" t="s">
        <v>404</v>
      </c>
      <c r="U853" s="13" t="s">
        <v>405</v>
      </c>
      <c r="V853" s="13" t="s">
        <v>550</v>
      </c>
      <c r="W853" s="14">
        <v>1</v>
      </c>
    </row>
    <row r="854" spans="1:23" x14ac:dyDescent="0.2">
      <c r="A854"/>
      <c r="B854"/>
      <c r="C854"/>
      <c r="D854"/>
      <c r="E854"/>
      <c r="F854"/>
      <c r="G854"/>
      <c r="H854"/>
      <c r="I854"/>
      <c r="J854"/>
      <c r="K854" s="13" t="s">
        <v>57</v>
      </c>
      <c r="L854" s="13" t="s">
        <v>381</v>
      </c>
      <c r="M854" s="13" t="s">
        <v>382</v>
      </c>
      <c r="N854" s="15">
        <v>22</v>
      </c>
      <c r="O854" s="16">
        <v>0</v>
      </c>
      <c r="P854" s="17">
        <v>0</v>
      </c>
      <c r="Q854" s="17">
        <v>0</v>
      </c>
      <c r="R854" s="13"/>
      <c r="S854" s="13" t="s">
        <v>323</v>
      </c>
      <c r="T854" s="13" t="s">
        <v>404</v>
      </c>
      <c r="U854" s="13" t="s">
        <v>405</v>
      </c>
      <c r="V854" s="13" t="s">
        <v>551</v>
      </c>
      <c r="W854" s="14">
        <v>1.2</v>
      </c>
    </row>
    <row r="855" spans="1:23" x14ac:dyDescent="0.2">
      <c r="A855"/>
      <c r="B855"/>
      <c r="C855"/>
      <c r="D855"/>
      <c r="E855"/>
      <c r="F855"/>
      <c r="G855"/>
      <c r="H855"/>
      <c r="I855"/>
      <c r="J855"/>
      <c r="K855" s="13" t="s">
        <v>58</v>
      </c>
      <c r="L855" s="13" t="s">
        <v>402</v>
      </c>
      <c r="M855" s="13" t="s">
        <v>403</v>
      </c>
      <c r="N855" s="15">
        <v>0</v>
      </c>
      <c r="O855" s="16">
        <v>0</v>
      </c>
      <c r="P855" s="17">
        <v>11838.05099808982</v>
      </c>
      <c r="Q855" s="17">
        <v>0</v>
      </c>
      <c r="R855" s="13"/>
      <c r="S855" s="13" t="s">
        <v>323</v>
      </c>
      <c r="T855" s="13" t="s">
        <v>404</v>
      </c>
      <c r="U855" s="13" t="s">
        <v>405</v>
      </c>
      <c r="V855" s="13" t="s">
        <v>551</v>
      </c>
      <c r="W855" s="14">
        <v>2</v>
      </c>
    </row>
    <row r="856" spans="1:23" x14ac:dyDescent="0.2">
      <c r="A856"/>
      <c r="B856"/>
      <c r="C856"/>
      <c r="D856"/>
      <c r="E856"/>
      <c r="F856"/>
      <c r="G856"/>
      <c r="H856"/>
      <c r="I856"/>
      <c r="J856"/>
      <c r="K856" s="13" t="s">
        <v>58</v>
      </c>
      <c r="L856" s="13" t="s">
        <v>451</v>
      </c>
      <c r="M856" s="13" t="s">
        <v>369</v>
      </c>
      <c r="N856" s="15">
        <v>0</v>
      </c>
      <c r="O856" s="16">
        <v>0</v>
      </c>
      <c r="P856" s="17">
        <v>11838.05099808982</v>
      </c>
      <c r="Q856" s="17">
        <v>0</v>
      </c>
      <c r="R856" s="13"/>
      <c r="S856" s="13" t="s">
        <v>323</v>
      </c>
      <c r="T856" s="13" t="s">
        <v>404</v>
      </c>
      <c r="U856" s="13" t="s">
        <v>405</v>
      </c>
      <c r="V856" s="13" t="s">
        <v>555</v>
      </c>
      <c r="W856" s="14">
        <v>1.6</v>
      </c>
    </row>
    <row r="857" spans="1:23" x14ac:dyDescent="0.2">
      <c r="A857"/>
      <c r="B857"/>
      <c r="C857"/>
      <c r="D857"/>
      <c r="E857"/>
      <c r="F857"/>
      <c r="G857"/>
      <c r="H857"/>
      <c r="I857"/>
      <c r="J857"/>
      <c r="K857" s="13" t="s">
        <v>58</v>
      </c>
      <c r="L857" s="13" t="s">
        <v>381</v>
      </c>
      <c r="M857" s="13" t="s">
        <v>382</v>
      </c>
      <c r="N857" s="15">
        <v>42</v>
      </c>
      <c r="O857" s="16">
        <v>0</v>
      </c>
      <c r="P857" s="17">
        <v>0</v>
      </c>
      <c r="Q857" s="17">
        <v>0</v>
      </c>
      <c r="R857" s="13"/>
      <c r="S857" s="13" t="s">
        <v>323</v>
      </c>
      <c r="T857" s="13" t="s">
        <v>404</v>
      </c>
      <c r="U857" s="13" t="s">
        <v>405</v>
      </c>
      <c r="V857" s="13" t="s">
        <v>557</v>
      </c>
      <c r="W857" s="14">
        <v>1.6</v>
      </c>
    </row>
    <row r="858" spans="1:23" x14ac:dyDescent="0.2">
      <c r="A858"/>
      <c r="B858"/>
      <c r="C858"/>
      <c r="D858"/>
      <c r="E858"/>
      <c r="F858"/>
      <c r="G858"/>
      <c r="H858"/>
      <c r="I858"/>
      <c r="J858"/>
      <c r="K858" s="13" t="s">
        <v>59</v>
      </c>
      <c r="L858" s="13" t="s">
        <v>402</v>
      </c>
      <c r="M858" s="13" t="s">
        <v>403</v>
      </c>
      <c r="N858" s="15">
        <v>0</v>
      </c>
      <c r="O858" s="16">
        <v>0</v>
      </c>
      <c r="P858" s="17">
        <v>1833.4215999574287</v>
      </c>
      <c r="Q858" s="17">
        <v>0</v>
      </c>
      <c r="R858" s="13"/>
      <c r="S858" s="13" t="s">
        <v>323</v>
      </c>
      <c r="T858" s="13" t="s">
        <v>404</v>
      </c>
      <c r="U858" s="13" t="s">
        <v>405</v>
      </c>
      <c r="V858" s="13" t="s">
        <v>558</v>
      </c>
      <c r="W858" s="14">
        <v>0.6</v>
      </c>
    </row>
    <row r="859" spans="1:23" x14ac:dyDescent="0.2">
      <c r="A859"/>
      <c r="B859"/>
      <c r="C859"/>
      <c r="D859"/>
      <c r="E859"/>
      <c r="F859"/>
      <c r="G859"/>
      <c r="H859"/>
      <c r="I859"/>
      <c r="J859"/>
      <c r="K859" s="13" t="s">
        <v>59</v>
      </c>
      <c r="L859" s="13" t="s">
        <v>629</v>
      </c>
      <c r="M859" s="13" t="s">
        <v>630</v>
      </c>
      <c r="N859" s="15">
        <v>0</v>
      </c>
      <c r="O859" s="16">
        <v>0</v>
      </c>
      <c r="P859" s="17">
        <v>318.74590003538958</v>
      </c>
      <c r="Q859" s="17">
        <v>499.87411879082504</v>
      </c>
      <c r="R859" s="13"/>
      <c r="S859" s="13" t="s">
        <v>323</v>
      </c>
      <c r="T859" s="13" t="s">
        <v>406</v>
      </c>
      <c r="U859" s="13" t="s">
        <v>361</v>
      </c>
      <c r="V859" s="13" t="s">
        <v>549</v>
      </c>
      <c r="W859" s="14">
        <v>1.2</v>
      </c>
    </row>
    <row r="860" spans="1:23" x14ac:dyDescent="0.2">
      <c r="A860"/>
      <c r="B860"/>
      <c r="C860"/>
      <c r="D860"/>
      <c r="E860"/>
      <c r="F860"/>
      <c r="G860"/>
      <c r="H860"/>
      <c r="I860"/>
      <c r="J860"/>
      <c r="K860" s="13" t="s">
        <v>59</v>
      </c>
      <c r="L860" s="13" t="s">
        <v>451</v>
      </c>
      <c r="M860" s="13" t="s">
        <v>369</v>
      </c>
      <c r="N860" s="15">
        <v>0</v>
      </c>
      <c r="O860" s="16">
        <v>0</v>
      </c>
      <c r="P860" s="17">
        <v>2152.1674999928182</v>
      </c>
      <c r="Q860" s="17">
        <v>0</v>
      </c>
      <c r="R860" s="13"/>
      <c r="S860" s="13" t="s">
        <v>323</v>
      </c>
      <c r="T860" s="13" t="s">
        <v>406</v>
      </c>
      <c r="U860" s="13" t="s">
        <v>361</v>
      </c>
      <c r="V860" s="13" t="s">
        <v>552</v>
      </c>
      <c r="W860" s="14">
        <v>1.2</v>
      </c>
    </row>
    <row r="861" spans="1:23" x14ac:dyDescent="0.2">
      <c r="A861"/>
      <c r="B861"/>
      <c r="C861"/>
      <c r="D861"/>
      <c r="E861"/>
      <c r="F861"/>
      <c r="G861"/>
      <c r="H861"/>
      <c r="I861"/>
      <c r="J861"/>
      <c r="K861" s="13" t="s">
        <v>59</v>
      </c>
      <c r="L861" s="13" t="s">
        <v>446</v>
      </c>
      <c r="M861" s="13" t="s">
        <v>371</v>
      </c>
      <c r="N861" s="15">
        <v>3</v>
      </c>
      <c r="O861" s="16">
        <v>0</v>
      </c>
      <c r="P861" s="17">
        <v>0</v>
      </c>
      <c r="Q861" s="17">
        <v>0</v>
      </c>
      <c r="R861" s="13"/>
      <c r="S861" s="13" t="s">
        <v>323</v>
      </c>
      <c r="T861" s="13" t="s">
        <v>609</v>
      </c>
      <c r="U861" s="13" t="s">
        <v>416</v>
      </c>
      <c r="V861" s="13" t="s">
        <v>549</v>
      </c>
      <c r="W861" s="14">
        <v>0</v>
      </c>
    </row>
    <row r="862" spans="1:23" x14ac:dyDescent="0.2">
      <c r="A862"/>
      <c r="B862"/>
      <c r="C862"/>
      <c r="D862"/>
      <c r="E862"/>
      <c r="F862"/>
      <c r="G862"/>
      <c r="H862"/>
      <c r="I862"/>
      <c r="J862"/>
      <c r="K862" s="13" t="s">
        <v>60</v>
      </c>
      <c r="L862" s="13" t="s">
        <v>389</v>
      </c>
      <c r="M862" s="13" t="s">
        <v>388</v>
      </c>
      <c r="N862" s="15">
        <v>0</v>
      </c>
      <c r="O862" s="16">
        <v>0</v>
      </c>
      <c r="P862" s="17">
        <v>62.434199996146333</v>
      </c>
      <c r="Q862" s="17">
        <v>0</v>
      </c>
      <c r="R862" s="13"/>
      <c r="S862" s="13" t="s">
        <v>323</v>
      </c>
      <c r="T862" s="13" t="s">
        <v>467</v>
      </c>
      <c r="U862" s="13" t="s">
        <v>422</v>
      </c>
      <c r="V862" s="13" t="s">
        <v>549</v>
      </c>
      <c r="W862" s="14">
        <v>0</v>
      </c>
    </row>
    <row r="863" spans="1:23" x14ac:dyDescent="0.2">
      <c r="A863"/>
      <c r="B863"/>
      <c r="C863"/>
      <c r="D863"/>
      <c r="E863"/>
      <c r="F863"/>
      <c r="G863"/>
      <c r="H863"/>
      <c r="I863"/>
      <c r="J863"/>
      <c r="K863" s="13" t="s">
        <v>60</v>
      </c>
      <c r="L863" s="13" t="s">
        <v>391</v>
      </c>
      <c r="M863" s="13" t="s">
        <v>358</v>
      </c>
      <c r="N863" s="15">
        <v>0</v>
      </c>
      <c r="O863" s="16">
        <v>0</v>
      </c>
      <c r="P863" s="17">
        <v>919.6749195255768</v>
      </c>
      <c r="Q863" s="17">
        <v>0</v>
      </c>
      <c r="R863" s="13"/>
      <c r="S863" s="13" t="s">
        <v>323</v>
      </c>
      <c r="T863" s="13" t="s">
        <v>528</v>
      </c>
      <c r="U863" s="13" t="s">
        <v>384</v>
      </c>
      <c r="V863" s="13" t="s">
        <v>549</v>
      </c>
      <c r="W863" s="14">
        <v>0</v>
      </c>
    </row>
    <row r="864" spans="1:23" x14ac:dyDescent="0.2">
      <c r="A864"/>
      <c r="B864"/>
      <c r="C864"/>
      <c r="D864"/>
      <c r="E864"/>
      <c r="F864"/>
      <c r="G864"/>
      <c r="H864"/>
      <c r="I864"/>
      <c r="J864"/>
      <c r="K864" s="13" t="s">
        <v>60</v>
      </c>
      <c r="L864" s="13" t="s">
        <v>512</v>
      </c>
      <c r="M864" s="13" t="s">
        <v>466</v>
      </c>
      <c r="N864" s="15">
        <v>0</v>
      </c>
      <c r="O864" s="16">
        <v>0</v>
      </c>
      <c r="P864" s="17">
        <v>70.662200001802134</v>
      </c>
      <c r="Q864" s="17">
        <v>0</v>
      </c>
      <c r="R864" s="13"/>
      <c r="S864" s="13" t="s">
        <v>323</v>
      </c>
      <c r="T864" s="13" t="s">
        <v>528</v>
      </c>
      <c r="U864" s="13" t="s">
        <v>384</v>
      </c>
      <c r="V864" s="13" t="s">
        <v>553</v>
      </c>
      <c r="W864" s="14">
        <v>0</v>
      </c>
    </row>
    <row r="865" spans="1:23" x14ac:dyDescent="0.2">
      <c r="A865"/>
      <c r="B865"/>
      <c r="C865"/>
      <c r="D865"/>
      <c r="E865"/>
      <c r="F865"/>
      <c r="G865"/>
      <c r="H865"/>
      <c r="I865"/>
      <c r="J865"/>
      <c r="K865" s="13" t="s">
        <v>60</v>
      </c>
      <c r="L865" s="13" t="s">
        <v>401</v>
      </c>
      <c r="M865" s="13" t="s">
        <v>360</v>
      </c>
      <c r="N865" s="15">
        <v>0</v>
      </c>
      <c r="O865" s="16">
        <v>0</v>
      </c>
      <c r="P865" s="17">
        <v>2129.3280499956722</v>
      </c>
      <c r="Q865" s="17">
        <v>0</v>
      </c>
      <c r="R865" s="13"/>
      <c r="S865" s="13" t="s">
        <v>323</v>
      </c>
      <c r="T865" s="13" t="s">
        <v>613</v>
      </c>
      <c r="U865" s="13" t="s">
        <v>444</v>
      </c>
      <c r="V865" s="13" t="s">
        <v>549</v>
      </c>
      <c r="W865" s="14">
        <v>0</v>
      </c>
    </row>
    <row r="866" spans="1:23" x14ac:dyDescent="0.2">
      <c r="A866"/>
      <c r="B866"/>
      <c r="C866"/>
      <c r="D866"/>
      <c r="E866"/>
      <c r="F866"/>
      <c r="G866"/>
      <c r="H866"/>
      <c r="I866"/>
      <c r="J866"/>
      <c r="K866" s="13" t="s">
        <v>60</v>
      </c>
      <c r="L866" s="13" t="s">
        <v>402</v>
      </c>
      <c r="M866" s="13" t="s">
        <v>403</v>
      </c>
      <c r="N866" s="15">
        <v>0</v>
      </c>
      <c r="O866" s="16">
        <v>0</v>
      </c>
      <c r="P866" s="17">
        <v>2476.3573528182505</v>
      </c>
      <c r="Q866" s="17">
        <v>0</v>
      </c>
      <c r="R866" s="13"/>
      <c r="S866" s="13" t="s">
        <v>323</v>
      </c>
      <c r="T866" s="13" t="s">
        <v>613</v>
      </c>
      <c r="U866" s="13" t="s">
        <v>444</v>
      </c>
      <c r="V866" s="13" t="s">
        <v>553</v>
      </c>
      <c r="W866" s="14">
        <v>0</v>
      </c>
    </row>
    <row r="867" spans="1:23" x14ac:dyDescent="0.2">
      <c r="A867"/>
      <c r="B867"/>
      <c r="C867"/>
      <c r="D867"/>
      <c r="E867"/>
      <c r="F867"/>
      <c r="G867"/>
      <c r="H867"/>
      <c r="I867"/>
      <c r="J867"/>
      <c r="K867" s="13" t="s">
        <v>60</v>
      </c>
      <c r="L867" s="13" t="s">
        <v>448</v>
      </c>
      <c r="M867" s="13" t="s">
        <v>366</v>
      </c>
      <c r="N867" s="15">
        <v>0</v>
      </c>
      <c r="O867" s="16">
        <v>0</v>
      </c>
      <c r="P867" s="17">
        <v>9601.873509063571</v>
      </c>
      <c r="Q867" s="17">
        <v>0</v>
      </c>
      <c r="R867" s="13"/>
      <c r="S867" s="13" t="s">
        <v>601</v>
      </c>
      <c r="T867" s="13" t="s">
        <v>395</v>
      </c>
      <c r="U867" s="13" t="s">
        <v>602</v>
      </c>
      <c r="V867" s="13" t="s">
        <v>549</v>
      </c>
      <c r="W867" s="14">
        <v>0</v>
      </c>
    </row>
    <row r="868" spans="1:23" x14ac:dyDescent="0.2">
      <c r="A868"/>
      <c r="B868"/>
      <c r="C868"/>
      <c r="D868"/>
      <c r="E868"/>
      <c r="F868"/>
      <c r="G868"/>
      <c r="H868"/>
      <c r="I868"/>
      <c r="J868"/>
      <c r="K868" s="13" t="s">
        <v>60</v>
      </c>
      <c r="L868" s="13" t="s">
        <v>462</v>
      </c>
      <c r="M868" s="13" t="s">
        <v>370</v>
      </c>
      <c r="N868" s="15">
        <v>0</v>
      </c>
      <c r="O868" s="16">
        <v>0</v>
      </c>
      <c r="P868" s="17">
        <v>725.70814997994989</v>
      </c>
      <c r="Q868" s="17">
        <v>0</v>
      </c>
      <c r="R868" s="13"/>
      <c r="S868" s="13" t="s">
        <v>601</v>
      </c>
      <c r="T868" s="13" t="s">
        <v>404</v>
      </c>
      <c r="U868" s="13" t="s">
        <v>405</v>
      </c>
      <c r="V868" s="13" t="s">
        <v>549</v>
      </c>
      <c r="W868" s="14">
        <v>1</v>
      </c>
    </row>
    <row r="869" spans="1:23" x14ac:dyDescent="0.2">
      <c r="A869"/>
      <c r="B869"/>
      <c r="C869"/>
      <c r="D869"/>
      <c r="E869"/>
      <c r="F869"/>
      <c r="G869"/>
      <c r="H869"/>
      <c r="I869"/>
      <c r="J869"/>
      <c r="K869" s="13" t="s">
        <v>60</v>
      </c>
      <c r="L869" s="13" t="s">
        <v>451</v>
      </c>
      <c r="M869" s="13" t="s">
        <v>369</v>
      </c>
      <c r="N869" s="15">
        <v>0</v>
      </c>
      <c r="O869" s="16">
        <v>0</v>
      </c>
      <c r="P869" s="17">
        <v>15986.038381380969</v>
      </c>
      <c r="Q869" s="17">
        <v>0</v>
      </c>
      <c r="R869" s="13"/>
      <c r="S869" s="13" t="s">
        <v>601</v>
      </c>
      <c r="T869" s="13" t="s">
        <v>404</v>
      </c>
      <c r="U869" s="13" t="s">
        <v>405</v>
      </c>
      <c r="V869" s="13" t="s">
        <v>553</v>
      </c>
      <c r="W869" s="14">
        <v>1.2</v>
      </c>
    </row>
    <row r="870" spans="1:23" x14ac:dyDescent="0.2">
      <c r="A870"/>
      <c r="B870"/>
      <c r="C870"/>
      <c r="D870"/>
      <c r="E870"/>
      <c r="F870"/>
      <c r="G870"/>
      <c r="H870"/>
      <c r="I870"/>
      <c r="J870"/>
      <c r="K870" s="13" t="s">
        <v>60</v>
      </c>
      <c r="L870" s="13" t="s">
        <v>381</v>
      </c>
      <c r="M870" s="13" t="s">
        <v>382</v>
      </c>
      <c r="N870" s="15">
        <v>41</v>
      </c>
      <c r="O870" s="16">
        <v>0</v>
      </c>
      <c r="P870" s="17">
        <v>0</v>
      </c>
      <c r="Q870" s="17">
        <v>0</v>
      </c>
      <c r="R870" s="13"/>
      <c r="S870" s="13" t="s">
        <v>601</v>
      </c>
      <c r="T870" s="13" t="s">
        <v>609</v>
      </c>
      <c r="U870" s="13" t="s">
        <v>416</v>
      </c>
      <c r="V870" s="13" t="s">
        <v>549</v>
      </c>
      <c r="W870" s="14">
        <v>0</v>
      </c>
    </row>
    <row r="871" spans="1:23" x14ac:dyDescent="0.2">
      <c r="A871"/>
      <c r="B871"/>
      <c r="C871"/>
      <c r="D871"/>
      <c r="E871"/>
      <c r="F871"/>
      <c r="G871"/>
      <c r="H871"/>
      <c r="I871"/>
      <c r="J871"/>
      <c r="K871" s="13" t="s">
        <v>60</v>
      </c>
      <c r="L871" s="13" t="s">
        <v>409</v>
      </c>
      <c r="M871" s="13" t="s">
        <v>410</v>
      </c>
      <c r="N871" s="15">
        <v>58</v>
      </c>
      <c r="O871" s="16">
        <v>0</v>
      </c>
      <c r="P871" s="17">
        <v>0</v>
      </c>
      <c r="Q871" s="17">
        <v>0</v>
      </c>
      <c r="R871" s="13"/>
      <c r="S871" s="13" t="s">
        <v>326</v>
      </c>
      <c r="T871" s="13" t="s">
        <v>395</v>
      </c>
      <c r="U871" s="13" t="s">
        <v>602</v>
      </c>
      <c r="V871" s="13" t="s">
        <v>549</v>
      </c>
      <c r="W871" s="14">
        <v>0</v>
      </c>
    </row>
    <row r="872" spans="1:23" x14ac:dyDescent="0.2">
      <c r="A872"/>
      <c r="B872"/>
      <c r="C872"/>
      <c r="D872"/>
      <c r="E872"/>
      <c r="F872"/>
      <c r="G872"/>
      <c r="H872"/>
      <c r="I872"/>
      <c r="J872"/>
      <c r="K872" s="13" t="s">
        <v>60</v>
      </c>
      <c r="L872" s="13" t="s">
        <v>608</v>
      </c>
      <c r="M872" s="13" t="s">
        <v>432</v>
      </c>
      <c r="N872" s="15">
        <v>15</v>
      </c>
      <c r="O872" s="16">
        <v>0</v>
      </c>
      <c r="P872" s="17">
        <v>0</v>
      </c>
      <c r="Q872" s="17">
        <v>0</v>
      </c>
      <c r="R872" s="13"/>
      <c r="S872" s="13" t="s">
        <v>326</v>
      </c>
      <c r="T872" s="13" t="s">
        <v>395</v>
      </c>
      <c r="U872" s="13" t="s">
        <v>602</v>
      </c>
      <c r="V872" s="13" t="s">
        <v>553</v>
      </c>
      <c r="W872" s="14">
        <v>0</v>
      </c>
    </row>
    <row r="873" spans="1:23" x14ac:dyDescent="0.2">
      <c r="A873"/>
      <c r="B873"/>
      <c r="C873"/>
      <c r="D873"/>
      <c r="E873"/>
      <c r="F873"/>
      <c r="G873"/>
      <c r="H873"/>
      <c r="I873"/>
      <c r="J873"/>
      <c r="K873" s="13" t="s">
        <v>60</v>
      </c>
      <c r="L873" s="13" t="s">
        <v>421</v>
      </c>
      <c r="M873" s="13" t="s">
        <v>443</v>
      </c>
      <c r="N873" s="15">
        <v>4</v>
      </c>
      <c r="O873" s="16">
        <v>0</v>
      </c>
      <c r="P873" s="17">
        <v>0</v>
      </c>
      <c r="Q873" s="17">
        <v>0</v>
      </c>
      <c r="R873" s="13"/>
      <c r="S873" s="13" t="s">
        <v>326</v>
      </c>
      <c r="T873" s="13" t="s">
        <v>404</v>
      </c>
      <c r="U873" s="13" t="s">
        <v>405</v>
      </c>
      <c r="V873" s="13" t="s">
        <v>549</v>
      </c>
      <c r="W873" s="14">
        <v>1</v>
      </c>
    </row>
    <row r="874" spans="1:23" x14ac:dyDescent="0.2">
      <c r="A874"/>
      <c r="B874"/>
      <c r="C874"/>
      <c r="D874"/>
      <c r="E874"/>
      <c r="F874"/>
      <c r="G874"/>
      <c r="H874"/>
      <c r="I874"/>
      <c r="J874"/>
      <c r="K874" s="13" t="s">
        <v>60</v>
      </c>
      <c r="L874" s="13" t="s">
        <v>383</v>
      </c>
      <c r="M874" s="13" t="s">
        <v>420</v>
      </c>
      <c r="N874" s="15">
        <v>1</v>
      </c>
      <c r="O874" s="16">
        <v>0</v>
      </c>
      <c r="P874" s="17">
        <v>0</v>
      </c>
      <c r="Q874" s="17">
        <v>0</v>
      </c>
      <c r="R874" s="13"/>
      <c r="S874" s="13" t="s">
        <v>326</v>
      </c>
      <c r="T874" s="13" t="s">
        <v>404</v>
      </c>
      <c r="U874" s="13" t="s">
        <v>405</v>
      </c>
      <c r="V874" s="13" t="s">
        <v>550</v>
      </c>
      <c r="W874" s="14">
        <v>1.8</v>
      </c>
    </row>
    <row r="875" spans="1:23" x14ac:dyDescent="0.2">
      <c r="A875"/>
      <c r="B875"/>
      <c r="C875"/>
      <c r="D875"/>
      <c r="E875"/>
      <c r="F875"/>
      <c r="G875"/>
      <c r="H875"/>
      <c r="I875"/>
      <c r="J875"/>
      <c r="K875" s="13" t="s">
        <v>60</v>
      </c>
      <c r="L875" s="13" t="s">
        <v>446</v>
      </c>
      <c r="M875" s="13" t="s">
        <v>371</v>
      </c>
      <c r="N875" s="15">
        <v>2</v>
      </c>
      <c r="O875" s="16">
        <v>0</v>
      </c>
      <c r="P875" s="17">
        <v>0</v>
      </c>
      <c r="Q875" s="17">
        <v>0</v>
      </c>
      <c r="R875" s="13"/>
      <c r="S875" s="13" t="s">
        <v>326</v>
      </c>
      <c r="T875" s="13" t="s">
        <v>404</v>
      </c>
      <c r="U875" s="13" t="s">
        <v>405</v>
      </c>
      <c r="V875" s="13" t="s">
        <v>551</v>
      </c>
      <c r="W875" s="14">
        <v>2</v>
      </c>
    </row>
    <row r="876" spans="1:23" x14ac:dyDescent="0.2">
      <c r="A876"/>
      <c r="B876"/>
      <c r="C876"/>
      <c r="D876"/>
      <c r="E876"/>
      <c r="F876"/>
      <c r="G876"/>
      <c r="H876"/>
      <c r="I876"/>
      <c r="J876"/>
      <c r="K876" s="13" t="s">
        <v>61</v>
      </c>
      <c r="L876" s="13" t="s">
        <v>401</v>
      </c>
      <c r="M876" s="13" t="s">
        <v>360</v>
      </c>
      <c r="N876" s="15">
        <v>0</v>
      </c>
      <c r="O876" s="16">
        <v>0</v>
      </c>
      <c r="P876" s="17">
        <v>483.46829999180295</v>
      </c>
      <c r="Q876" s="17">
        <v>0</v>
      </c>
      <c r="R876" s="13"/>
      <c r="S876" s="13" t="s">
        <v>326</v>
      </c>
      <c r="T876" s="13" t="s">
        <v>404</v>
      </c>
      <c r="U876" s="13" t="s">
        <v>405</v>
      </c>
      <c r="V876" s="13" t="s">
        <v>552</v>
      </c>
      <c r="W876" s="14">
        <v>2.5</v>
      </c>
    </row>
    <row r="877" spans="1:23" x14ac:dyDescent="0.2">
      <c r="A877"/>
      <c r="B877"/>
      <c r="C877"/>
      <c r="D877"/>
      <c r="E877"/>
      <c r="F877"/>
      <c r="G877"/>
      <c r="H877"/>
      <c r="I877"/>
      <c r="J877"/>
      <c r="K877" s="13" t="s">
        <v>61</v>
      </c>
      <c r="L877" s="13" t="s">
        <v>402</v>
      </c>
      <c r="M877" s="13" t="s">
        <v>403</v>
      </c>
      <c r="N877" s="15">
        <v>0</v>
      </c>
      <c r="O877" s="16">
        <v>0</v>
      </c>
      <c r="P877" s="17">
        <v>1071.7575999858707</v>
      </c>
      <c r="Q877" s="17">
        <v>0</v>
      </c>
      <c r="R877" s="13"/>
      <c r="S877" s="13" t="s">
        <v>326</v>
      </c>
      <c r="T877" s="13" t="s">
        <v>609</v>
      </c>
      <c r="U877" s="13" t="s">
        <v>416</v>
      </c>
      <c r="V877" s="13" t="s">
        <v>549</v>
      </c>
      <c r="W877" s="14">
        <v>0</v>
      </c>
    </row>
    <row r="878" spans="1:23" x14ac:dyDescent="0.2">
      <c r="A878"/>
      <c r="B878"/>
      <c r="C878"/>
      <c r="D878"/>
      <c r="E878"/>
      <c r="F878"/>
      <c r="G878"/>
      <c r="H878"/>
      <c r="I878"/>
      <c r="J878"/>
      <c r="K878" s="13" t="s">
        <v>61</v>
      </c>
      <c r="L878" s="13" t="s">
        <v>451</v>
      </c>
      <c r="M878" s="13" t="s">
        <v>369</v>
      </c>
      <c r="N878" s="15">
        <v>0</v>
      </c>
      <c r="O878" s="16">
        <v>0</v>
      </c>
      <c r="P878" s="17">
        <v>1555.2258999776736</v>
      </c>
      <c r="Q878" s="17">
        <v>0</v>
      </c>
      <c r="R878" s="13"/>
      <c r="S878" s="13" t="s">
        <v>326</v>
      </c>
      <c r="T878" s="13" t="s">
        <v>613</v>
      </c>
      <c r="U878" s="13" t="s">
        <v>444</v>
      </c>
      <c r="V878" s="13" t="s">
        <v>549</v>
      </c>
      <c r="W878" s="14">
        <v>0</v>
      </c>
    </row>
    <row r="879" spans="1:23" x14ac:dyDescent="0.2">
      <c r="A879"/>
      <c r="B879"/>
      <c r="C879"/>
      <c r="D879"/>
      <c r="E879"/>
      <c r="F879"/>
      <c r="G879"/>
      <c r="H879"/>
      <c r="I879"/>
      <c r="J879"/>
      <c r="K879" s="13" t="s">
        <v>62</v>
      </c>
      <c r="L879" s="13" t="s">
        <v>435</v>
      </c>
      <c r="M879" s="13" t="s">
        <v>364</v>
      </c>
      <c r="N879" s="15">
        <v>0</v>
      </c>
      <c r="O879" s="16">
        <v>0</v>
      </c>
      <c r="P879" s="17">
        <v>41.072399977613145</v>
      </c>
      <c r="Q879" s="17">
        <v>0</v>
      </c>
      <c r="R879" s="13"/>
      <c r="S879" s="13" t="s">
        <v>326</v>
      </c>
      <c r="T879" s="13" t="s">
        <v>613</v>
      </c>
      <c r="U879" s="13" t="s">
        <v>444</v>
      </c>
      <c r="V879" s="13" t="s">
        <v>553</v>
      </c>
      <c r="W879" s="14">
        <v>0</v>
      </c>
    </row>
    <row r="880" spans="1:23" x14ac:dyDescent="0.2">
      <c r="A880"/>
      <c r="B880"/>
      <c r="C880"/>
      <c r="D880"/>
      <c r="E880"/>
      <c r="F880"/>
      <c r="G880"/>
      <c r="H880"/>
      <c r="I880"/>
      <c r="J880"/>
      <c r="K880" s="13" t="s">
        <v>62</v>
      </c>
      <c r="L880" s="13" t="s">
        <v>391</v>
      </c>
      <c r="M880" s="13" t="s">
        <v>358</v>
      </c>
      <c r="N880" s="15">
        <v>0</v>
      </c>
      <c r="O880" s="16">
        <v>0</v>
      </c>
      <c r="P880" s="17">
        <v>2020.4804061983866</v>
      </c>
      <c r="Q880" s="17">
        <v>0</v>
      </c>
      <c r="R880" s="13"/>
      <c r="S880" s="13" t="s">
        <v>326</v>
      </c>
      <c r="T880" s="13" t="s">
        <v>611</v>
      </c>
      <c r="U880" s="13" t="s">
        <v>423</v>
      </c>
      <c r="V880" s="13" t="s">
        <v>549</v>
      </c>
      <c r="W880" s="14">
        <v>0</v>
      </c>
    </row>
    <row r="881" spans="1:23" x14ac:dyDescent="0.2">
      <c r="A881"/>
      <c r="B881"/>
      <c r="C881"/>
      <c r="D881"/>
      <c r="E881"/>
      <c r="F881"/>
      <c r="G881"/>
      <c r="H881"/>
      <c r="I881"/>
      <c r="J881"/>
      <c r="K881" s="13" t="s">
        <v>62</v>
      </c>
      <c r="L881" s="13" t="s">
        <v>401</v>
      </c>
      <c r="M881" s="13" t="s">
        <v>360</v>
      </c>
      <c r="N881" s="15">
        <v>0</v>
      </c>
      <c r="O881" s="16">
        <v>0</v>
      </c>
      <c r="P881" s="17">
        <v>20682.332749632933</v>
      </c>
      <c r="Q881" s="17">
        <v>0</v>
      </c>
      <c r="R881" s="13"/>
      <c r="S881" s="13" t="s">
        <v>328</v>
      </c>
      <c r="T881" s="13" t="s">
        <v>395</v>
      </c>
      <c r="U881" s="13" t="s">
        <v>602</v>
      </c>
      <c r="V881" s="13" t="s">
        <v>553</v>
      </c>
      <c r="W881" s="14">
        <v>0</v>
      </c>
    </row>
    <row r="882" spans="1:23" x14ac:dyDescent="0.2">
      <c r="A882"/>
      <c r="B882"/>
      <c r="C882"/>
      <c r="D882"/>
      <c r="E882"/>
      <c r="F882"/>
      <c r="G882"/>
      <c r="H882"/>
      <c r="I882"/>
      <c r="J882"/>
      <c r="K882" s="13" t="s">
        <v>62</v>
      </c>
      <c r="L882" s="13" t="s">
        <v>402</v>
      </c>
      <c r="M882" s="13" t="s">
        <v>403</v>
      </c>
      <c r="N882" s="15">
        <v>0</v>
      </c>
      <c r="O882" s="16">
        <v>0</v>
      </c>
      <c r="P882" s="17">
        <v>1853.5335135594901</v>
      </c>
      <c r="Q882" s="17">
        <v>0</v>
      </c>
      <c r="R882" s="13"/>
      <c r="S882" s="13" t="s">
        <v>328</v>
      </c>
      <c r="T882" s="13" t="s">
        <v>404</v>
      </c>
      <c r="U882" s="13" t="s">
        <v>405</v>
      </c>
      <c r="V882" s="13" t="s">
        <v>559</v>
      </c>
      <c r="W882" s="14">
        <v>1.8</v>
      </c>
    </row>
    <row r="883" spans="1:23" x14ac:dyDescent="0.2">
      <c r="A883"/>
      <c r="B883"/>
      <c r="C883"/>
      <c r="D883"/>
      <c r="E883"/>
      <c r="F883"/>
      <c r="G883"/>
      <c r="H883"/>
      <c r="I883"/>
      <c r="J883"/>
      <c r="K883" s="13" t="s">
        <v>62</v>
      </c>
      <c r="L883" s="13" t="s">
        <v>462</v>
      </c>
      <c r="M883" s="13" t="s">
        <v>370</v>
      </c>
      <c r="N883" s="15">
        <v>0</v>
      </c>
      <c r="O883" s="16">
        <v>0</v>
      </c>
      <c r="P883" s="17">
        <v>16167.189049844692</v>
      </c>
      <c r="Q883" s="17">
        <v>0</v>
      </c>
      <c r="R883" s="13"/>
      <c r="S883" s="13" t="s">
        <v>328</v>
      </c>
      <c r="T883" s="13" t="s">
        <v>404</v>
      </c>
      <c r="U883" s="13" t="s">
        <v>405</v>
      </c>
      <c r="V883" s="13" t="s">
        <v>549</v>
      </c>
      <c r="W883" s="14">
        <v>1</v>
      </c>
    </row>
    <row r="884" spans="1:23" x14ac:dyDescent="0.2">
      <c r="A884"/>
      <c r="B884"/>
      <c r="C884"/>
      <c r="D884"/>
      <c r="E884"/>
      <c r="F884"/>
      <c r="G884"/>
      <c r="H884"/>
      <c r="I884"/>
      <c r="J884"/>
      <c r="K884" s="13" t="s">
        <v>62</v>
      </c>
      <c r="L884" s="13" t="s">
        <v>456</v>
      </c>
      <c r="M884" s="13" t="s">
        <v>457</v>
      </c>
      <c r="N884" s="15">
        <v>0</v>
      </c>
      <c r="O884" s="16">
        <v>0</v>
      </c>
      <c r="P884" s="17">
        <v>23703.340449670202</v>
      </c>
      <c r="Q884" s="17">
        <v>0</v>
      </c>
      <c r="R884" s="13"/>
      <c r="S884" s="13" t="s">
        <v>328</v>
      </c>
      <c r="T884" s="13" t="s">
        <v>404</v>
      </c>
      <c r="U884" s="13" t="s">
        <v>405</v>
      </c>
      <c r="V884" s="13" t="s">
        <v>553</v>
      </c>
      <c r="W884" s="14">
        <v>2</v>
      </c>
    </row>
    <row r="885" spans="1:23" x14ac:dyDescent="0.2">
      <c r="A885"/>
      <c r="B885"/>
      <c r="C885"/>
      <c r="D885"/>
      <c r="E885"/>
      <c r="F885"/>
      <c r="G885"/>
      <c r="H885"/>
      <c r="I885"/>
      <c r="J885"/>
      <c r="K885" s="13" t="s">
        <v>62</v>
      </c>
      <c r="L885" s="13" t="s">
        <v>463</v>
      </c>
      <c r="M885" s="13" t="s">
        <v>372</v>
      </c>
      <c r="N885" s="15">
        <v>0</v>
      </c>
      <c r="O885" s="16">
        <v>0</v>
      </c>
      <c r="P885" s="17">
        <v>64445.70731890708</v>
      </c>
      <c r="Q885" s="17">
        <v>0</v>
      </c>
      <c r="R885" s="13"/>
      <c r="S885" s="13" t="s">
        <v>328</v>
      </c>
      <c r="T885" s="13" t="s">
        <v>404</v>
      </c>
      <c r="U885" s="13" t="s">
        <v>405</v>
      </c>
      <c r="V885" s="13" t="s">
        <v>550</v>
      </c>
      <c r="W885" s="14">
        <v>1</v>
      </c>
    </row>
    <row r="886" spans="1:23" x14ac:dyDescent="0.2">
      <c r="A886"/>
      <c r="B886"/>
      <c r="C886"/>
      <c r="D886"/>
      <c r="E886"/>
      <c r="F886"/>
      <c r="G886"/>
      <c r="H886"/>
      <c r="I886"/>
      <c r="J886"/>
      <c r="K886" s="13" t="s">
        <v>62</v>
      </c>
      <c r="L886" s="13" t="s">
        <v>381</v>
      </c>
      <c r="M886" s="13" t="s">
        <v>382</v>
      </c>
      <c r="N886" s="15">
        <v>18</v>
      </c>
      <c r="O886" s="16">
        <v>0</v>
      </c>
      <c r="P886" s="17">
        <v>0</v>
      </c>
      <c r="Q886" s="17">
        <v>0</v>
      </c>
      <c r="R886" s="13"/>
      <c r="S886" s="13" t="s">
        <v>328</v>
      </c>
      <c r="T886" s="13" t="s">
        <v>404</v>
      </c>
      <c r="U886" s="13" t="s">
        <v>405</v>
      </c>
      <c r="V886" s="13" t="s">
        <v>551</v>
      </c>
      <c r="W886" s="14">
        <v>1.3</v>
      </c>
    </row>
    <row r="887" spans="1:23" x14ac:dyDescent="0.2">
      <c r="A887"/>
      <c r="B887"/>
      <c r="C887"/>
      <c r="D887"/>
      <c r="E887"/>
      <c r="F887"/>
      <c r="G887"/>
      <c r="H887"/>
      <c r="I887"/>
      <c r="J887"/>
      <c r="K887" s="13" t="s">
        <v>62</v>
      </c>
      <c r="L887" s="13" t="s">
        <v>411</v>
      </c>
      <c r="M887" s="13" t="s">
        <v>362</v>
      </c>
      <c r="N887" s="15">
        <v>0</v>
      </c>
      <c r="O887" s="16">
        <v>0</v>
      </c>
      <c r="P887" s="17">
        <v>18.831150001392139</v>
      </c>
      <c r="Q887" s="17">
        <v>0</v>
      </c>
      <c r="R887" s="13"/>
      <c r="S887" s="13" t="s">
        <v>328</v>
      </c>
      <c r="T887" s="13" t="s">
        <v>406</v>
      </c>
      <c r="U887" s="13" t="s">
        <v>361</v>
      </c>
      <c r="V887" s="13" t="s">
        <v>560</v>
      </c>
      <c r="W887" s="14">
        <v>0</v>
      </c>
    </row>
    <row r="888" spans="1:23" x14ac:dyDescent="0.2">
      <c r="A888"/>
      <c r="B888"/>
      <c r="C888"/>
      <c r="D888"/>
      <c r="E888"/>
      <c r="F888"/>
      <c r="G888"/>
      <c r="H888"/>
      <c r="I888"/>
      <c r="J888"/>
      <c r="K888" s="13" t="s">
        <v>62</v>
      </c>
      <c r="L888" s="13" t="s">
        <v>606</v>
      </c>
      <c r="M888" s="13" t="s">
        <v>430</v>
      </c>
      <c r="N888" s="15">
        <v>9</v>
      </c>
      <c r="O888" s="16">
        <v>0</v>
      </c>
      <c r="P888" s="17">
        <v>0</v>
      </c>
      <c r="Q888" s="17">
        <v>0</v>
      </c>
      <c r="R888" s="13"/>
      <c r="S888" s="13" t="s">
        <v>328</v>
      </c>
      <c r="T888" s="13" t="s">
        <v>406</v>
      </c>
      <c r="U888" s="13" t="s">
        <v>361</v>
      </c>
      <c r="V888" s="13" t="s">
        <v>553</v>
      </c>
      <c r="W888" s="14">
        <v>1</v>
      </c>
    </row>
    <row r="889" spans="1:23" x14ac:dyDescent="0.2">
      <c r="A889"/>
      <c r="B889"/>
      <c r="C889"/>
      <c r="D889"/>
      <c r="E889"/>
      <c r="F889"/>
      <c r="G889"/>
      <c r="H889"/>
      <c r="I889"/>
      <c r="J889"/>
      <c r="K889" s="13" t="s">
        <v>62</v>
      </c>
      <c r="L889" s="13" t="s">
        <v>464</v>
      </c>
      <c r="M889" s="13" t="s">
        <v>373</v>
      </c>
      <c r="N889" s="15">
        <v>0</v>
      </c>
      <c r="O889" s="16">
        <v>406.31794115258225</v>
      </c>
      <c r="P889" s="17">
        <v>0</v>
      </c>
      <c r="Q889" s="17">
        <v>0</v>
      </c>
      <c r="R889" s="13"/>
      <c r="S889" s="13" t="s">
        <v>328</v>
      </c>
      <c r="T889" s="13" t="s">
        <v>609</v>
      </c>
      <c r="U889" s="13" t="s">
        <v>416</v>
      </c>
      <c r="V889" s="13" t="s">
        <v>549</v>
      </c>
      <c r="W889" s="14">
        <v>0</v>
      </c>
    </row>
    <row r="890" spans="1:23" x14ac:dyDescent="0.2">
      <c r="A890"/>
      <c r="B890"/>
      <c r="C890"/>
      <c r="D890"/>
      <c r="E890"/>
      <c r="F890"/>
      <c r="G890"/>
      <c r="H890"/>
      <c r="I890"/>
      <c r="J890"/>
      <c r="K890" s="13" t="s">
        <v>63</v>
      </c>
      <c r="L890" s="13" t="s">
        <v>481</v>
      </c>
      <c r="M890" s="13" t="s">
        <v>374</v>
      </c>
      <c r="N890" s="15">
        <v>0</v>
      </c>
      <c r="O890" s="16">
        <v>0</v>
      </c>
      <c r="P890" s="17">
        <v>74.896000011409413</v>
      </c>
      <c r="Q890" s="17">
        <v>0</v>
      </c>
      <c r="R890" s="13"/>
      <c r="S890" s="13" t="s">
        <v>328</v>
      </c>
      <c r="T890" s="13" t="s">
        <v>610</v>
      </c>
      <c r="U890" s="13" t="s">
        <v>418</v>
      </c>
      <c r="V890" s="13" t="s">
        <v>549</v>
      </c>
      <c r="W890" s="14">
        <v>0</v>
      </c>
    </row>
    <row r="891" spans="1:23" x14ac:dyDescent="0.2">
      <c r="A891"/>
      <c r="B891"/>
      <c r="C891"/>
      <c r="D891"/>
      <c r="E891"/>
      <c r="F891"/>
      <c r="G891"/>
      <c r="H891"/>
      <c r="I891"/>
      <c r="J891"/>
      <c r="K891" s="13" t="s">
        <v>63</v>
      </c>
      <c r="L891" s="13" t="s">
        <v>387</v>
      </c>
      <c r="M891" s="13" t="s">
        <v>386</v>
      </c>
      <c r="N891" s="15">
        <v>0</v>
      </c>
      <c r="O891" s="16">
        <v>0</v>
      </c>
      <c r="P891" s="17">
        <v>201.79509999554563</v>
      </c>
      <c r="Q891" s="17">
        <v>0</v>
      </c>
      <c r="R891" s="13"/>
      <c r="S891" s="13" t="s">
        <v>328</v>
      </c>
      <c r="T891" s="13" t="s">
        <v>622</v>
      </c>
      <c r="U891" s="13" t="s">
        <v>524</v>
      </c>
      <c r="V891" s="13" t="s">
        <v>549</v>
      </c>
      <c r="W891" s="14">
        <v>0</v>
      </c>
    </row>
    <row r="892" spans="1:23" x14ac:dyDescent="0.2">
      <c r="A892"/>
      <c r="B892"/>
      <c r="C892"/>
      <c r="D892"/>
      <c r="E892"/>
      <c r="F892"/>
      <c r="G892"/>
      <c r="H892"/>
      <c r="I892"/>
      <c r="J892"/>
      <c r="K892" s="13" t="s">
        <v>63</v>
      </c>
      <c r="L892" s="13" t="s">
        <v>399</v>
      </c>
      <c r="M892" s="13" t="s">
        <v>400</v>
      </c>
      <c r="N892" s="15">
        <v>0</v>
      </c>
      <c r="O892" s="16">
        <v>0</v>
      </c>
      <c r="P892" s="17">
        <v>8.3702499993817181</v>
      </c>
      <c r="Q892" s="17">
        <v>0</v>
      </c>
      <c r="R892" s="13"/>
      <c r="S892" s="13" t="s">
        <v>328</v>
      </c>
      <c r="T892" s="13" t="s">
        <v>528</v>
      </c>
      <c r="U892" s="13" t="s">
        <v>384</v>
      </c>
      <c r="V892" s="13" t="s">
        <v>549</v>
      </c>
      <c r="W892" s="14">
        <v>0</v>
      </c>
    </row>
    <row r="893" spans="1:23" x14ac:dyDescent="0.2">
      <c r="A893"/>
      <c r="B893"/>
      <c r="C893"/>
      <c r="D893"/>
      <c r="E893"/>
      <c r="F893"/>
      <c r="G893"/>
      <c r="H893"/>
      <c r="I893"/>
      <c r="J893"/>
      <c r="K893" s="13" t="s">
        <v>63</v>
      </c>
      <c r="L893" s="13" t="s">
        <v>401</v>
      </c>
      <c r="M893" s="13" t="s">
        <v>360</v>
      </c>
      <c r="N893" s="15">
        <v>0</v>
      </c>
      <c r="O893" s="16">
        <v>0</v>
      </c>
      <c r="P893" s="17">
        <v>64.521950001136346</v>
      </c>
      <c r="Q893" s="17">
        <v>0</v>
      </c>
      <c r="R893" s="13"/>
      <c r="S893" s="13" t="s">
        <v>328</v>
      </c>
      <c r="T893" s="13" t="s">
        <v>613</v>
      </c>
      <c r="U893" s="13" t="s">
        <v>444</v>
      </c>
      <c r="V893" s="13" t="s">
        <v>549</v>
      </c>
      <c r="W893" s="14">
        <v>0</v>
      </c>
    </row>
    <row r="894" spans="1:23" x14ac:dyDescent="0.2">
      <c r="A894"/>
      <c r="B894"/>
      <c r="C894"/>
      <c r="D894"/>
      <c r="E894"/>
      <c r="F894"/>
      <c r="G894"/>
      <c r="H894"/>
      <c r="I894"/>
      <c r="J894"/>
      <c r="K894" s="13" t="s">
        <v>63</v>
      </c>
      <c r="L894" s="13" t="s">
        <v>402</v>
      </c>
      <c r="M894" s="13" t="s">
        <v>403</v>
      </c>
      <c r="N894" s="15">
        <v>0</v>
      </c>
      <c r="O894" s="16">
        <v>0</v>
      </c>
      <c r="P894" s="17">
        <v>620.74289657183328</v>
      </c>
      <c r="Q894" s="17">
        <v>0</v>
      </c>
      <c r="R894" s="13"/>
      <c r="S894" s="13" t="s">
        <v>328</v>
      </c>
      <c r="T894" s="13" t="s">
        <v>613</v>
      </c>
      <c r="U894" s="13" t="s">
        <v>444</v>
      </c>
      <c r="V894" s="13" t="s">
        <v>553</v>
      </c>
      <c r="W894" s="14">
        <v>0</v>
      </c>
    </row>
    <row r="895" spans="1:23" x14ac:dyDescent="0.2">
      <c r="A895"/>
      <c r="B895"/>
      <c r="C895"/>
      <c r="D895"/>
      <c r="E895"/>
      <c r="F895"/>
      <c r="G895"/>
      <c r="H895"/>
      <c r="I895"/>
      <c r="J895"/>
      <c r="K895" s="13" t="s">
        <v>63</v>
      </c>
      <c r="L895" s="13" t="s">
        <v>451</v>
      </c>
      <c r="M895" s="13" t="s">
        <v>369</v>
      </c>
      <c r="N895" s="15">
        <v>0</v>
      </c>
      <c r="O895" s="16">
        <v>0</v>
      </c>
      <c r="P895" s="17">
        <v>895.43019656789693</v>
      </c>
      <c r="Q895" s="17">
        <v>0</v>
      </c>
      <c r="R895" s="13"/>
      <c r="S895" s="13" t="s">
        <v>330</v>
      </c>
      <c r="T895" s="13" t="s">
        <v>404</v>
      </c>
      <c r="U895" s="13" t="s">
        <v>405</v>
      </c>
      <c r="V895" s="13" t="s">
        <v>549</v>
      </c>
      <c r="W895" s="14">
        <v>1</v>
      </c>
    </row>
    <row r="896" spans="1:23" x14ac:dyDescent="0.2">
      <c r="A896"/>
      <c r="B896"/>
      <c r="C896"/>
      <c r="D896"/>
      <c r="E896"/>
      <c r="F896"/>
      <c r="G896"/>
      <c r="H896"/>
      <c r="I896"/>
      <c r="J896"/>
      <c r="K896" s="13" t="s">
        <v>63</v>
      </c>
      <c r="L896" s="13" t="s">
        <v>381</v>
      </c>
      <c r="M896" s="13" t="s">
        <v>382</v>
      </c>
      <c r="N896" s="15">
        <v>5</v>
      </c>
      <c r="O896" s="16">
        <v>0</v>
      </c>
      <c r="P896" s="17">
        <v>0</v>
      </c>
      <c r="Q896" s="17">
        <v>0</v>
      </c>
      <c r="R896" s="13"/>
      <c r="S896" s="13" t="s">
        <v>330</v>
      </c>
      <c r="T896" s="13" t="s">
        <v>404</v>
      </c>
      <c r="U896" s="13" t="s">
        <v>405</v>
      </c>
      <c r="V896" s="13" t="s">
        <v>553</v>
      </c>
      <c r="W896" s="14">
        <v>1.5</v>
      </c>
    </row>
    <row r="897" spans="1:23" x14ac:dyDescent="0.2">
      <c r="A897"/>
      <c r="B897"/>
      <c r="C897"/>
      <c r="D897"/>
      <c r="E897"/>
      <c r="F897"/>
      <c r="G897"/>
      <c r="H897"/>
      <c r="I897"/>
      <c r="J897"/>
      <c r="K897" s="13" t="s">
        <v>63</v>
      </c>
      <c r="L897" s="13" t="s">
        <v>411</v>
      </c>
      <c r="M897" s="13" t="s">
        <v>362</v>
      </c>
      <c r="N897" s="15">
        <v>1</v>
      </c>
      <c r="O897" s="16">
        <v>0</v>
      </c>
      <c r="P897" s="17">
        <v>0</v>
      </c>
      <c r="Q897" s="17">
        <v>0</v>
      </c>
      <c r="R897" s="13"/>
      <c r="S897" s="13" t="s">
        <v>330</v>
      </c>
      <c r="T897" s="13" t="s">
        <v>404</v>
      </c>
      <c r="U897" s="13" t="s">
        <v>405</v>
      </c>
      <c r="V897" s="13" t="s">
        <v>550</v>
      </c>
      <c r="W897" s="14">
        <v>1.5</v>
      </c>
    </row>
    <row r="898" spans="1:23" x14ac:dyDescent="0.2">
      <c r="A898"/>
      <c r="B898"/>
      <c r="C898"/>
      <c r="D898"/>
      <c r="E898"/>
      <c r="F898"/>
      <c r="G898"/>
      <c r="H898"/>
      <c r="I898"/>
      <c r="J898"/>
      <c r="K898" s="13" t="s">
        <v>63</v>
      </c>
      <c r="L898" s="13" t="s">
        <v>413</v>
      </c>
      <c r="M898" s="13" t="s">
        <v>428</v>
      </c>
      <c r="N898" s="15">
        <v>1</v>
      </c>
      <c r="O898" s="16">
        <v>0</v>
      </c>
      <c r="P898" s="17">
        <v>0</v>
      </c>
      <c r="Q898" s="17">
        <v>0</v>
      </c>
      <c r="R898" s="13"/>
      <c r="S898" s="13" t="s">
        <v>332</v>
      </c>
      <c r="T898" s="13" t="s">
        <v>395</v>
      </c>
      <c r="U898" s="13" t="s">
        <v>602</v>
      </c>
      <c r="V898" s="13" t="s">
        <v>549</v>
      </c>
      <c r="W898" s="14">
        <v>0</v>
      </c>
    </row>
    <row r="899" spans="1:23" x14ac:dyDescent="0.2">
      <c r="A899"/>
      <c r="B899"/>
      <c r="C899"/>
      <c r="D899"/>
      <c r="E899"/>
      <c r="F899"/>
      <c r="G899"/>
      <c r="H899"/>
      <c r="I899"/>
      <c r="J899"/>
      <c r="K899" s="13" t="s">
        <v>63</v>
      </c>
      <c r="L899" s="13" t="s">
        <v>608</v>
      </c>
      <c r="M899" s="13" t="s">
        <v>432</v>
      </c>
      <c r="N899" s="15">
        <v>2</v>
      </c>
      <c r="O899" s="16">
        <v>0</v>
      </c>
      <c r="P899" s="17">
        <v>0</v>
      </c>
      <c r="Q899" s="17">
        <v>0</v>
      </c>
      <c r="R899" s="13"/>
      <c r="S899" s="13" t="s">
        <v>332</v>
      </c>
      <c r="T899" s="13" t="s">
        <v>404</v>
      </c>
      <c r="U899" s="13" t="s">
        <v>405</v>
      </c>
      <c r="V899" s="13" t="s">
        <v>549</v>
      </c>
      <c r="W899" s="14">
        <v>1.2</v>
      </c>
    </row>
    <row r="900" spans="1:23" x14ac:dyDescent="0.2">
      <c r="A900"/>
      <c r="B900"/>
      <c r="C900"/>
      <c r="D900"/>
      <c r="E900"/>
      <c r="F900"/>
      <c r="G900"/>
      <c r="H900"/>
      <c r="I900"/>
      <c r="J900"/>
      <c r="K900" s="13" t="s">
        <v>63</v>
      </c>
      <c r="L900" s="13" t="s">
        <v>615</v>
      </c>
      <c r="M900" s="13" t="s">
        <v>449</v>
      </c>
      <c r="N900" s="15">
        <v>1</v>
      </c>
      <c r="O900" s="16">
        <v>0</v>
      </c>
      <c r="P900" s="17">
        <v>0</v>
      </c>
      <c r="Q900" s="17">
        <v>0</v>
      </c>
      <c r="R900" s="13"/>
      <c r="S900" s="13" t="s">
        <v>332</v>
      </c>
      <c r="T900" s="13" t="s">
        <v>404</v>
      </c>
      <c r="U900" s="13" t="s">
        <v>405</v>
      </c>
      <c r="V900" s="13" t="s">
        <v>549</v>
      </c>
      <c r="W900" s="14">
        <v>1</v>
      </c>
    </row>
    <row r="901" spans="1:23" x14ac:dyDescent="0.2">
      <c r="A901"/>
      <c r="B901"/>
      <c r="C901"/>
      <c r="D901"/>
      <c r="E901"/>
      <c r="F901"/>
      <c r="G901"/>
      <c r="H901"/>
      <c r="I901"/>
      <c r="J901"/>
      <c r="K901" s="13" t="s">
        <v>63</v>
      </c>
      <c r="L901" s="13" t="s">
        <v>609</v>
      </c>
      <c r="M901" s="13" t="s">
        <v>416</v>
      </c>
      <c r="N901" s="15">
        <v>0</v>
      </c>
      <c r="O901" s="16">
        <v>153.82250957075954</v>
      </c>
      <c r="P901" s="17">
        <v>0</v>
      </c>
      <c r="Q901" s="17">
        <v>0</v>
      </c>
      <c r="R901" s="13"/>
      <c r="S901" s="13" t="s">
        <v>332</v>
      </c>
      <c r="T901" s="13" t="s">
        <v>404</v>
      </c>
      <c r="U901" s="13" t="s">
        <v>405</v>
      </c>
      <c r="V901" s="13" t="s">
        <v>553</v>
      </c>
      <c r="W901" s="14">
        <v>1</v>
      </c>
    </row>
    <row r="902" spans="1:23" x14ac:dyDescent="0.2">
      <c r="A902"/>
      <c r="B902"/>
      <c r="C902"/>
      <c r="D902"/>
      <c r="E902"/>
      <c r="F902"/>
      <c r="G902"/>
      <c r="H902"/>
      <c r="I902"/>
      <c r="J902"/>
      <c r="K902" s="13" t="s">
        <v>63</v>
      </c>
      <c r="L902" s="13" t="s">
        <v>528</v>
      </c>
      <c r="M902" s="13" t="s">
        <v>384</v>
      </c>
      <c r="N902" s="15">
        <v>0</v>
      </c>
      <c r="O902" s="16">
        <v>32.584681728382755</v>
      </c>
      <c r="P902" s="17">
        <v>0</v>
      </c>
      <c r="Q902" s="17">
        <v>0</v>
      </c>
      <c r="R902" s="13"/>
      <c r="S902" s="13" t="s">
        <v>332</v>
      </c>
      <c r="T902" s="13" t="s">
        <v>404</v>
      </c>
      <c r="U902" s="13" t="s">
        <v>405</v>
      </c>
      <c r="V902" s="13" t="s">
        <v>553</v>
      </c>
      <c r="W902" s="14">
        <v>1.2</v>
      </c>
    </row>
    <row r="903" spans="1:23" x14ac:dyDescent="0.2">
      <c r="A903"/>
      <c r="B903"/>
      <c r="C903"/>
      <c r="D903"/>
      <c r="E903"/>
      <c r="F903"/>
      <c r="G903"/>
      <c r="H903"/>
      <c r="I903"/>
      <c r="J903"/>
      <c r="K903" s="13" t="s">
        <v>63</v>
      </c>
      <c r="L903" s="13" t="s">
        <v>454</v>
      </c>
      <c r="M903" s="13" t="s">
        <v>455</v>
      </c>
      <c r="N903" s="15">
        <v>0</v>
      </c>
      <c r="O903" s="16">
        <v>0</v>
      </c>
      <c r="P903" s="17">
        <v>1635.7758999684136</v>
      </c>
      <c r="Q903" s="17">
        <v>0</v>
      </c>
      <c r="R903" s="13"/>
      <c r="S903" s="13" t="s">
        <v>332</v>
      </c>
      <c r="T903" s="13" t="s">
        <v>404</v>
      </c>
      <c r="U903" s="13" t="s">
        <v>405</v>
      </c>
      <c r="V903" s="13" t="s">
        <v>553</v>
      </c>
      <c r="W903" s="14">
        <v>0</v>
      </c>
    </row>
    <row r="904" spans="1:23" x14ac:dyDescent="0.2">
      <c r="A904"/>
      <c r="B904"/>
      <c r="C904"/>
      <c r="D904"/>
      <c r="E904"/>
      <c r="F904"/>
      <c r="G904"/>
      <c r="H904"/>
      <c r="I904"/>
      <c r="J904"/>
      <c r="K904" s="13" t="s">
        <v>65</v>
      </c>
      <c r="L904" s="13" t="s">
        <v>401</v>
      </c>
      <c r="M904" s="13" t="s">
        <v>360</v>
      </c>
      <c r="N904" s="15">
        <v>0</v>
      </c>
      <c r="O904" s="16">
        <v>0</v>
      </c>
      <c r="P904" s="17">
        <v>1091.2527500451049</v>
      </c>
      <c r="Q904" s="17">
        <v>0</v>
      </c>
      <c r="R904" s="13"/>
      <c r="S904" s="13" t="s">
        <v>332</v>
      </c>
      <c r="T904" s="13" t="s">
        <v>406</v>
      </c>
      <c r="U904" s="13" t="s">
        <v>361</v>
      </c>
      <c r="V904" s="13" t="s">
        <v>549</v>
      </c>
      <c r="W904" s="14">
        <v>1.2</v>
      </c>
    </row>
    <row r="905" spans="1:23" x14ac:dyDescent="0.2">
      <c r="A905"/>
      <c r="B905"/>
      <c r="C905"/>
      <c r="D905"/>
      <c r="E905"/>
      <c r="F905"/>
      <c r="G905"/>
      <c r="H905"/>
      <c r="I905"/>
      <c r="J905"/>
      <c r="K905" s="13" t="s">
        <v>65</v>
      </c>
      <c r="L905" s="13" t="s">
        <v>448</v>
      </c>
      <c r="M905" s="13" t="s">
        <v>366</v>
      </c>
      <c r="N905" s="15">
        <v>0</v>
      </c>
      <c r="O905" s="16">
        <v>0</v>
      </c>
      <c r="P905" s="17">
        <v>2137.3287498969398</v>
      </c>
      <c r="Q905" s="17">
        <v>0</v>
      </c>
      <c r="R905" s="13"/>
      <c r="S905" s="13" t="s">
        <v>332</v>
      </c>
      <c r="T905" s="13" t="s">
        <v>406</v>
      </c>
      <c r="U905" s="13" t="s">
        <v>361</v>
      </c>
      <c r="V905" s="13" t="s">
        <v>550</v>
      </c>
      <c r="W905" s="14">
        <v>1.5</v>
      </c>
    </row>
    <row r="906" spans="1:23" x14ac:dyDescent="0.2">
      <c r="A906"/>
      <c r="B906"/>
      <c r="C906"/>
      <c r="D906"/>
      <c r="E906"/>
      <c r="F906"/>
      <c r="G906"/>
      <c r="H906"/>
      <c r="I906"/>
      <c r="J906"/>
      <c r="K906" s="13" t="s">
        <v>65</v>
      </c>
      <c r="L906" s="13" t="s">
        <v>462</v>
      </c>
      <c r="M906" s="13" t="s">
        <v>370</v>
      </c>
      <c r="N906" s="15">
        <v>0</v>
      </c>
      <c r="O906" s="16">
        <v>0</v>
      </c>
      <c r="P906" s="17">
        <v>1014.4258000678391</v>
      </c>
      <c r="Q906" s="17">
        <v>0</v>
      </c>
      <c r="R906" s="13"/>
      <c r="S906" s="13" t="s">
        <v>332</v>
      </c>
      <c r="T906" s="13" t="s">
        <v>419</v>
      </c>
      <c r="U906" s="13" t="s">
        <v>442</v>
      </c>
      <c r="V906" s="13" t="s">
        <v>549</v>
      </c>
      <c r="W906" s="14">
        <v>0</v>
      </c>
    </row>
    <row r="907" spans="1:23" x14ac:dyDescent="0.2">
      <c r="A907"/>
      <c r="B907"/>
      <c r="C907"/>
      <c r="D907"/>
      <c r="E907"/>
      <c r="F907"/>
      <c r="G907"/>
      <c r="H907"/>
      <c r="I907"/>
      <c r="J907"/>
      <c r="K907" s="13" t="s">
        <v>65</v>
      </c>
      <c r="L907" s="13" t="s">
        <v>463</v>
      </c>
      <c r="M907" s="13" t="s">
        <v>372</v>
      </c>
      <c r="N907" s="15">
        <v>0</v>
      </c>
      <c r="O907" s="16">
        <v>0</v>
      </c>
      <c r="P907" s="17">
        <v>4243.0073000098837</v>
      </c>
      <c r="Q907" s="17">
        <v>0</v>
      </c>
      <c r="R907" s="13"/>
      <c r="S907" s="13" t="s">
        <v>332</v>
      </c>
      <c r="T907" s="13" t="s">
        <v>609</v>
      </c>
      <c r="U907" s="13" t="s">
        <v>416</v>
      </c>
      <c r="V907" s="13" t="s">
        <v>549</v>
      </c>
      <c r="W907" s="14">
        <v>0</v>
      </c>
    </row>
    <row r="908" spans="1:23" x14ac:dyDescent="0.2">
      <c r="A908"/>
      <c r="B908"/>
      <c r="C908"/>
      <c r="D908"/>
      <c r="E908"/>
      <c r="F908"/>
      <c r="G908"/>
      <c r="H908"/>
      <c r="I908"/>
      <c r="J908"/>
      <c r="K908" s="13" t="s">
        <v>65</v>
      </c>
      <c r="L908" s="13" t="s">
        <v>528</v>
      </c>
      <c r="M908" s="13" t="s">
        <v>384</v>
      </c>
      <c r="N908" s="15">
        <v>0</v>
      </c>
      <c r="O908" s="16">
        <v>205.46417129141503</v>
      </c>
      <c r="P908" s="17">
        <v>0</v>
      </c>
      <c r="Q908" s="17">
        <v>0</v>
      </c>
      <c r="R908" s="13"/>
      <c r="S908" s="13" t="s">
        <v>332</v>
      </c>
      <c r="T908" s="13" t="s">
        <v>622</v>
      </c>
      <c r="U908" s="13" t="s">
        <v>524</v>
      </c>
      <c r="V908" s="13" t="s">
        <v>549</v>
      </c>
      <c r="W908" s="14">
        <v>0</v>
      </c>
    </row>
    <row r="909" spans="1:23" x14ac:dyDescent="0.2">
      <c r="A909"/>
      <c r="B909"/>
      <c r="C909"/>
      <c r="D909"/>
      <c r="E909"/>
      <c r="F909"/>
      <c r="G909"/>
      <c r="H909"/>
      <c r="I909"/>
      <c r="J909"/>
      <c r="K909" s="13" t="s">
        <v>65</v>
      </c>
      <c r="L909" s="13" t="s">
        <v>454</v>
      </c>
      <c r="M909" s="13" t="s">
        <v>455</v>
      </c>
      <c r="N909" s="15">
        <v>0</v>
      </c>
      <c r="O909" s="16">
        <v>0</v>
      </c>
      <c r="P909" s="17">
        <v>2932.6270999468948</v>
      </c>
      <c r="Q909" s="17">
        <v>0</v>
      </c>
      <c r="R909" s="13"/>
      <c r="S909" s="13" t="s">
        <v>332</v>
      </c>
      <c r="T909" s="13" t="s">
        <v>613</v>
      </c>
      <c r="U909" s="13" t="s">
        <v>444</v>
      </c>
      <c r="V909" s="13" t="s">
        <v>549</v>
      </c>
      <c r="W909" s="14">
        <v>1.7</v>
      </c>
    </row>
    <row r="910" spans="1:23" x14ac:dyDescent="0.2">
      <c r="A910"/>
      <c r="B910"/>
      <c r="C910"/>
      <c r="D910"/>
      <c r="E910"/>
      <c r="F910"/>
      <c r="G910"/>
      <c r="H910"/>
      <c r="I910"/>
      <c r="J910"/>
      <c r="K910" s="13" t="s">
        <v>66</v>
      </c>
      <c r="L910" s="13" t="s">
        <v>387</v>
      </c>
      <c r="M910" s="13" t="s">
        <v>386</v>
      </c>
      <c r="N910" s="15">
        <v>0</v>
      </c>
      <c r="O910" s="16">
        <v>0</v>
      </c>
      <c r="P910" s="17">
        <v>194.92150000125588</v>
      </c>
      <c r="Q910" s="17">
        <v>0</v>
      </c>
      <c r="R910" s="13"/>
      <c r="S910" s="13" t="s">
        <v>332</v>
      </c>
      <c r="T910" s="13" t="s">
        <v>613</v>
      </c>
      <c r="U910" s="13" t="s">
        <v>444</v>
      </c>
      <c r="V910" s="13" t="s">
        <v>549</v>
      </c>
      <c r="W910" s="14">
        <v>0</v>
      </c>
    </row>
    <row r="911" spans="1:23" x14ac:dyDescent="0.2">
      <c r="A911"/>
      <c r="B911"/>
      <c r="C911"/>
      <c r="D911"/>
      <c r="E911"/>
      <c r="F911"/>
      <c r="G911"/>
      <c r="H911"/>
      <c r="I911"/>
      <c r="J911"/>
      <c r="K911" s="13" t="s">
        <v>66</v>
      </c>
      <c r="L911" s="13" t="s">
        <v>399</v>
      </c>
      <c r="M911" s="13" t="s">
        <v>400</v>
      </c>
      <c r="N911" s="15">
        <v>0</v>
      </c>
      <c r="O911" s="16">
        <v>0</v>
      </c>
      <c r="P911" s="17">
        <v>17.163749999526772</v>
      </c>
      <c r="Q911" s="17">
        <v>0</v>
      </c>
      <c r="R911" s="13"/>
      <c r="S911" s="13" t="s">
        <v>332</v>
      </c>
      <c r="T911" s="13" t="s">
        <v>613</v>
      </c>
      <c r="U911" s="13" t="s">
        <v>444</v>
      </c>
      <c r="V911" s="13" t="s">
        <v>553</v>
      </c>
      <c r="W911" s="14">
        <v>0</v>
      </c>
    </row>
    <row r="912" spans="1:23" x14ac:dyDescent="0.2">
      <c r="A912"/>
      <c r="B912"/>
      <c r="C912"/>
      <c r="D912"/>
      <c r="E912"/>
      <c r="F912"/>
      <c r="G912"/>
      <c r="H912"/>
      <c r="I912"/>
      <c r="J912"/>
      <c r="K912" s="13" t="s">
        <v>66</v>
      </c>
      <c r="L912" s="13" t="s">
        <v>402</v>
      </c>
      <c r="M912" s="13" t="s">
        <v>403</v>
      </c>
      <c r="N912" s="15">
        <v>0</v>
      </c>
      <c r="O912" s="16">
        <v>0</v>
      </c>
      <c r="P912" s="17">
        <v>1328.6490999809578</v>
      </c>
      <c r="Q912" s="17">
        <v>0</v>
      </c>
      <c r="R912" s="13"/>
      <c r="S912" s="13" t="s">
        <v>332</v>
      </c>
      <c r="T912" s="13" t="s">
        <v>611</v>
      </c>
      <c r="U912" s="13" t="s">
        <v>423</v>
      </c>
      <c r="V912" s="13" t="s">
        <v>549</v>
      </c>
      <c r="W912" s="14">
        <v>0</v>
      </c>
    </row>
    <row r="913" spans="1:23" x14ac:dyDescent="0.2">
      <c r="A913"/>
      <c r="B913"/>
      <c r="C913"/>
      <c r="D913"/>
      <c r="E913"/>
      <c r="F913"/>
      <c r="G913"/>
      <c r="H913"/>
      <c r="I913"/>
      <c r="J913"/>
      <c r="K913" s="13" t="s">
        <v>66</v>
      </c>
      <c r="L913" s="13" t="s">
        <v>451</v>
      </c>
      <c r="M913" s="13" t="s">
        <v>369</v>
      </c>
      <c r="N913" s="15">
        <v>0</v>
      </c>
      <c r="O913" s="16">
        <v>0</v>
      </c>
      <c r="P913" s="17">
        <v>1540.7343499817405</v>
      </c>
      <c r="Q913" s="17">
        <v>0</v>
      </c>
      <c r="R913" s="13"/>
      <c r="S913" s="13" t="s">
        <v>334</v>
      </c>
      <c r="T913" s="13" t="s">
        <v>404</v>
      </c>
      <c r="U913" s="13" t="s">
        <v>405</v>
      </c>
      <c r="V913" s="13" t="s">
        <v>549</v>
      </c>
      <c r="W913" s="14">
        <v>1</v>
      </c>
    </row>
    <row r="914" spans="1:23" x14ac:dyDescent="0.2">
      <c r="A914"/>
      <c r="B914"/>
      <c r="C914"/>
      <c r="D914"/>
      <c r="E914"/>
      <c r="F914"/>
      <c r="G914"/>
      <c r="H914"/>
      <c r="I914"/>
      <c r="J914"/>
      <c r="K914" s="13" t="s">
        <v>66</v>
      </c>
      <c r="L914" s="13" t="s">
        <v>381</v>
      </c>
      <c r="M914" s="13" t="s">
        <v>382</v>
      </c>
      <c r="N914" s="15">
        <v>2</v>
      </c>
      <c r="O914" s="16">
        <v>0</v>
      </c>
      <c r="P914" s="17">
        <v>0</v>
      </c>
      <c r="Q914" s="17">
        <v>0</v>
      </c>
      <c r="R914" s="13"/>
      <c r="S914" s="13" t="s">
        <v>334</v>
      </c>
      <c r="T914" s="13" t="s">
        <v>404</v>
      </c>
      <c r="U914" s="13" t="s">
        <v>405</v>
      </c>
      <c r="V914" s="13" t="s">
        <v>553</v>
      </c>
      <c r="W914" s="14">
        <v>0.8</v>
      </c>
    </row>
    <row r="915" spans="1:23" x14ac:dyDescent="0.2">
      <c r="A915"/>
      <c r="B915"/>
      <c r="C915"/>
      <c r="D915"/>
      <c r="E915"/>
      <c r="F915"/>
      <c r="G915"/>
      <c r="H915"/>
      <c r="I915"/>
      <c r="J915"/>
      <c r="K915" s="13" t="s">
        <v>66</v>
      </c>
      <c r="L915" s="13" t="s">
        <v>411</v>
      </c>
      <c r="M915" s="13" t="s">
        <v>362</v>
      </c>
      <c r="N915" s="15">
        <v>4</v>
      </c>
      <c r="O915" s="16">
        <v>0</v>
      </c>
      <c r="P915" s="17">
        <v>0</v>
      </c>
      <c r="Q915" s="17">
        <v>0</v>
      </c>
      <c r="R915" s="13"/>
      <c r="S915" s="13" t="s">
        <v>334</v>
      </c>
      <c r="T915" s="13" t="s">
        <v>404</v>
      </c>
      <c r="U915" s="13" t="s">
        <v>405</v>
      </c>
      <c r="V915" s="13" t="s">
        <v>553</v>
      </c>
      <c r="W915" s="14">
        <v>1</v>
      </c>
    </row>
    <row r="916" spans="1:23" x14ac:dyDescent="0.2">
      <c r="A916"/>
      <c r="B916"/>
      <c r="C916"/>
      <c r="D916"/>
      <c r="E916"/>
      <c r="F916"/>
      <c r="G916"/>
      <c r="H916"/>
      <c r="I916"/>
      <c r="J916"/>
      <c r="K916" s="13" t="s">
        <v>66</v>
      </c>
      <c r="L916" s="13" t="s">
        <v>413</v>
      </c>
      <c r="M916" s="13" t="s">
        <v>428</v>
      </c>
      <c r="N916" s="15">
        <v>1</v>
      </c>
      <c r="O916" s="16">
        <v>0</v>
      </c>
      <c r="P916" s="17">
        <v>0</v>
      </c>
      <c r="Q916" s="17">
        <v>0</v>
      </c>
      <c r="R916" s="13"/>
      <c r="S916" s="13" t="s">
        <v>334</v>
      </c>
      <c r="T916" s="13" t="s">
        <v>404</v>
      </c>
      <c r="U916" s="13" t="s">
        <v>405</v>
      </c>
      <c r="V916" s="13" t="s">
        <v>550</v>
      </c>
      <c r="W916" s="14">
        <v>1.5</v>
      </c>
    </row>
    <row r="917" spans="1:23" x14ac:dyDescent="0.2">
      <c r="A917"/>
      <c r="B917"/>
      <c r="C917"/>
      <c r="D917"/>
      <c r="E917"/>
      <c r="F917"/>
      <c r="G917"/>
      <c r="H917"/>
      <c r="I917"/>
      <c r="J917"/>
      <c r="K917" s="13" t="s">
        <v>66</v>
      </c>
      <c r="L917" s="13" t="s">
        <v>475</v>
      </c>
      <c r="M917" s="13" t="s">
        <v>470</v>
      </c>
      <c r="N917" s="15">
        <v>1</v>
      </c>
      <c r="O917" s="16">
        <v>0</v>
      </c>
      <c r="P917" s="17">
        <v>0</v>
      </c>
      <c r="Q917" s="17">
        <v>0</v>
      </c>
      <c r="R917" s="13"/>
      <c r="S917" s="13" t="s">
        <v>334</v>
      </c>
      <c r="T917" s="13" t="s">
        <v>404</v>
      </c>
      <c r="U917" s="13" t="s">
        <v>405</v>
      </c>
      <c r="V917" s="13" t="s">
        <v>551</v>
      </c>
      <c r="W917" s="14">
        <v>0.8</v>
      </c>
    </row>
    <row r="918" spans="1:23" x14ac:dyDescent="0.2">
      <c r="A918"/>
      <c r="B918"/>
      <c r="C918"/>
      <c r="D918"/>
      <c r="E918"/>
      <c r="F918"/>
      <c r="G918"/>
      <c r="H918"/>
      <c r="I918"/>
      <c r="J918"/>
      <c r="K918" s="13" t="s">
        <v>66</v>
      </c>
      <c r="L918" s="13" t="s">
        <v>606</v>
      </c>
      <c r="M918" s="13" t="s">
        <v>430</v>
      </c>
      <c r="N918" s="15">
        <v>1</v>
      </c>
      <c r="O918" s="16">
        <v>0</v>
      </c>
      <c r="P918" s="17">
        <v>0</v>
      </c>
      <c r="Q918" s="17">
        <v>0</v>
      </c>
      <c r="R918" s="13"/>
      <c r="S918" s="13" t="s">
        <v>334</v>
      </c>
      <c r="T918" s="13" t="s">
        <v>404</v>
      </c>
      <c r="U918" s="13" t="s">
        <v>405</v>
      </c>
      <c r="V918" s="13" t="s">
        <v>552</v>
      </c>
      <c r="W918" s="14">
        <v>1.2</v>
      </c>
    </row>
    <row r="919" spans="1:23" x14ac:dyDescent="0.2">
      <c r="A919"/>
      <c r="B919"/>
      <c r="C919"/>
      <c r="D919"/>
      <c r="E919"/>
      <c r="F919"/>
      <c r="G919"/>
      <c r="H919"/>
      <c r="I919"/>
      <c r="J919"/>
      <c r="K919" s="13" t="s">
        <v>66</v>
      </c>
      <c r="L919" s="13" t="s">
        <v>608</v>
      </c>
      <c r="M919" s="13" t="s">
        <v>432</v>
      </c>
      <c r="N919" s="15">
        <v>37</v>
      </c>
      <c r="O919" s="16">
        <v>0</v>
      </c>
      <c r="P919" s="17">
        <v>0</v>
      </c>
      <c r="Q919" s="17">
        <v>0</v>
      </c>
      <c r="R919" s="13"/>
      <c r="S919" s="13" t="s">
        <v>334</v>
      </c>
      <c r="T919" s="13" t="s">
        <v>406</v>
      </c>
      <c r="U919" s="13" t="s">
        <v>361</v>
      </c>
      <c r="V919" s="13" t="s">
        <v>549</v>
      </c>
      <c r="W919" s="14">
        <v>1.6</v>
      </c>
    </row>
    <row r="920" spans="1:23" x14ac:dyDescent="0.2">
      <c r="A920"/>
      <c r="B920"/>
      <c r="C920"/>
      <c r="D920"/>
      <c r="E920"/>
      <c r="F920"/>
      <c r="G920"/>
      <c r="H920"/>
      <c r="I920"/>
      <c r="J920"/>
      <c r="K920" s="13" t="s">
        <v>66</v>
      </c>
      <c r="L920" s="13" t="s">
        <v>615</v>
      </c>
      <c r="M920" s="13" t="s">
        <v>449</v>
      </c>
      <c r="N920" s="15">
        <v>1</v>
      </c>
      <c r="O920" s="16">
        <v>0</v>
      </c>
      <c r="P920" s="17">
        <v>0</v>
      </c>
      <c r="Q920" s="17">
        <v>0</v>
      </c>
      <c r="R920" s="13"/>
      <c r="S920" s="13" t="s">
        <v>334</v>
      </c>
      <c r="T920" s="13" t="s">
        <v>609</v>
      </c>
      <c r="U920" s="13" t="s">
        <v>416</v>
      </c>
      <c r="V920" s="13" t="s">
        <v>549</v>
      </c>
      <c r="W920" s="14">
        <v>0</v>
      </c>
    </row>
    <row r="921" spans="1:23" x14ac:dyDescent="0.2">
      <c r="A921"/>
      <c r="B921"/>
      <c r="C921"/>
      <c r="D921"/>
      <c r="E921"/>
      <c r="F921"/>
      <c r="G921"/>
      <c r="H921"/>
      <c r="I921"/>
      <c r="J921"/>
      <c r="K921" s="13" t="s">
        <v>66</v>
      </c>
      <c r="L921" s="13" t="s">
        <v>419</v>
      </c>
      <c r="M921" s="13" t="s">
        <v>442</v>
      </c>
      <c r="N921" s="15">
        <v>0</v>
      </c>
      <c r="O921" s="16">
        <v>102.0154108242845</v>
      </c>
      <c r="P921" s="17">
        <v>0</v>
      </c>
      <c r="Q921" s="17">
        <v>0</v>
      </c>
      <c r="R921" s="13"/>
      <c r="S921" s="13" t="s">
        <v>334</v>
      </c>
      <c r="T921" s="13" t="s">
        <v>610</v>
      </c>
      <c r="U921" s="13" t="s">
        <v>418</v>
      </c>
      <c r="V921" s="13" t="s">
        <v>549</v>
      </c>
      <c r="W921" s="14">
        <v>0</v>
      </c>
    </row>
    <row r="922" spans="1:23" x14ac:dyDescent="0.2">
      <c r="A922"/>
      <c r="B922"/>
      <c r="C922"/>
      <c r="D922"/>
      <c r="E922"/>
      <c r="F922"/>
      <c r="G922"/>
      <c r="H922"/>
      <c r="I922"/>
      <c r="J922"/>
      <c r="K922" s="13" t="s">
        <v>66</v>
      </c>
      <c r="L922" s="13" t="s">
        <v>421</v>
      </c>
      <c r="M922" s="13" t="s">
        <v>443</v>
      </c>
      <c r="N922" s="15">
        <v>2</v>
      </c>
      <c r="O922" s="16">
        <v>0</v>
      </c>
      <c r="P922" s="17">
        <v>0</v>
      </c>
      <c r="Q922" s="17">
        <v>0</v>
      </c>
      <c r="R922" s="13"/>
      <c r="S922" s="13" t="s">
        <v>334</v>
      </c>
      <c r="T922" s="13" t="s">
        <v>467</v>
      </c>
      <c r="U922" s="13" t="s">
        <v>422</v>
      </c>
      <c r="V922" s="13" t="s">
        <v>549</v>
      </c>
      <c r="W922" s="14">
        <v>0</v>
      </c>
    </row>
    <row r="923" spans="1:23" x14ac:dyDescent="0.2">
      <c r="A923"/>
      <c r="B923"/>
      <c r="C923"/>
      <c r="D923"/>
      <c r="E923"/>
      <c r="F923"/>
      <c r="G923"/>
      <c r="H923"/>
      <c r="I923"/>
      <c r="J923"/>
      <c r="K923" s="13" t="s">
        <v>66</v>
      </c>
      <c r="L923" s="13" t="s">
        <v>383</v>
      </c>
      <c r="M923" s="13" t="s">
        <v>420</v>
      </c>
      <c r="N923" s="15">
        <v>1</v>
      </c>
      <c r="O923" s="16">
        <v>0</v>
      </c>
      <c r="P923" s="17">
        <v>0</v>
      </c>
      <c r="Q923" s="17">
        <v>0</v>
      </c>
      <c r="R923" s="13"/>
      <c r="S923" s="13" t="s">
        <v>334</v>
      </c>
      <c r="T923" s="13" t="s">
        <v>528</v>
      </c>
      <c r="U923" s="13" t="s">
        <v>384</v>
      </c>
      <c r="V923" s="13" t="s">
        <v>549</v>
      </c>
      <c r="W923" s="14">
        <v>0</v>
      </c>
    </row>
    <row r="924" spans="1:23" x14ac:dyDescent="0.2">
      <c r="A924"/>
      <c r="B924"/>
      <c r="C924"/>
      <c r="D924"/>
      <c r="E924"/>
      <c r="F924"/>
      <c r="G924"/>
      <c r="H924"/>
      <c r="I924"/>
      <c r="J924"/>
      <c r="K924" s="13" t="s">
        <v>66</v>
      </c>
      <c r="L924" s="13" t="s">
        <v>614</v>
      </c>
      <c r="M924" s="13" t="s">
        <v>447</v>
      </c>
      <c r="N924" s="15">
        <v>2</v>
      </c>
      <c r="O924" s="16">
        <v>0</v>
      </c>
      <c r="P924" s="17">
        <v>0</v>
      </c>
      <c r="Q924" s="17">
        <v>0</v>
      </c>
      <c r="R924" s="13"/>
      <c r="S924" s="13" t="s">
        <v>334</v>
      </c>
      <c r="T924" s="13" t="s">
        <v>613</v>
      </c>
      <c r="U924" s="13" t="s">
        <v>444</v>
      </c>
      <c r="V924" s="13" t="s">
        <v>549</v>
      </c>
      <c r="W924" s="14">
        <v>0</v>
      </c>
    </row>
    <row r="925" spans="1:23" x14ac:dyDescent="0.2">
      <c r="A925"/>
      <c r="B925"/>
      <c r="C925"/>
      <c r="D925"/>
      <c r="E925"/>
      <c r="F925"/>
      <c r="G925"/>
      <c r="H925"/>
      <c r="I925"/>
      <c r="J925"/>
      <c r="K925" s="13" t="s">
        <v>66</v>
      </c>
      <c r="L925" s="13" t="s">
        <v>458</v>
      </c>
      <c r="M925" s="13" t="s">
        <v>459</v>
      </c>
      <c r="N925" s="15">
        <v>0</v>
      </c>
      <c r="O925" s="16">
        <v>0</v>
      </c>
      <c r="P925" s="17">
        <v>764.32429998649957</v>
      </c>
      <c r="Q925" s="17">
        <v>0</v>
      </c>
      <c r="R925" s="13"/>
      <c r="S925" s="13" t="s">
        <v>334</v>
      </c>
      <c r="T925" s="13" t="s">
        <v>613</v>
      </c>
      <c r="U925" s="13" t="s">
        <v>444</v>
      </c>
      <c r="V925" s="13" t="s">
        <v>553</v>
      </c>
      <c r="W925" s="14">
        <v>0</v>
      </c>
    </row>
    <row r="926" spans="1:23" x14ac:dyDescent="0.2">
      <c r="A926"/>
      <c r="B926"/>
      <c r="C926"/>
      <c r="D926"/>
      <c r="E926"/>
      <c r="F926"/>
      <c r="G926"/>
      <c r="H926"/>
      <c r="I926"/>
      <c r="J926"/>
      <c r="K926" s="13" t="s">
        <v>67</v>
      </c>
      <c r="L926" s="13" t="s">
        <v>387</v>
      </c>
      <c r="M926" s="13" t="s">
        <v>386</v>
      </c>
      <c r="N926" s="15">
        <v>0</v>
      </c>
      <c r="O926" s="16">
        <v>0</v>
      </c>
      <c r="P926" s="17">
        <v>328.94519997336675</v>
      </c>
      <c r="Q926" s="17">
        <v>0</v>
      </c>
      <c r="R926" s="13"/>
      <c r="S926" s="13" t="s">
        <v>334</v>
      </c>
      <c r="T926" s="13" t="s">
        <v>613</v>
      </c>
      <c r="U926" s="13" t="s">
        <v>444</v>
      </c>
      <c r="V926" s="13" t="s">
        <v>550</v>
      </c>
      <c r="W926" s="14">
        <v>0</v>
      </c>
    </row>
    <row r="927" spans="1:23" x14ac:dyDescent="0.2">
      <c r="A927"/>
      <c r="B927"/>
      <c r="C927"/>
      <c r="D927"/>
      <c r="E927"/>
      <c r="F927"/>
      <c r="G927"/>
      <c r="H927"/>
      <c r="I927"/>
      <c r="J927"/>
      <c r="K927" s="13" t="s">
        <v>67</v>
      </c>
      <c r="L927" s="13" t="s">
        <v>401</v>
      </c>
      <c r="M927" s="13" t="s">
        <v>360</v>
      </c>
      <c r="N927" s="15">
        <v>0</v>
      </c>
      <c r="O927" s="16">
        <v>0</v>
      </c>
      <c r="P927" s="17">
        <v>58.751650006110218</v>
      </c>
      <c r="Q927" s="17">
        <v>0</v>
      </c>
      <c r="R927" s="13"/>
      <c r="S927" s="13" t="s">
        <v>336</v>
      </c>
      <c r="T927" s="13" t="s">
        <v>404</v>
      </c>
      <c r="U927" s="13" t="s">
        <v>405</v>
      </c>
      <c r="V927" s="13" t="s">
        <v>549</v>
      </c>
      <c r="W927" s="14">
        <v>1</v>
      </c>
    </row>
    <row r="928" spans="1:23" x14ac:dyDescent="0.2">
      <c r="A928"/>
      <c r="B928"/>
      <c r="C928"/>
      <c r="D928"/>
      <c r="E928"/>
      <c r="F928"/>
      <c r="G928"/>
      <c r="H928"/>
      <c r="I928"/>
      <c r="J928"/>
      <c r="K928" s="13" t="s">
        <v>67</v>
      </c>
      <c r="L928" s="13" t="s">
        <v>402</v>
      </c>
      <c r="M928" s="13" t="s">
        <v>403</v>
      </c>
      <c r="N928" s="15">
        <v>0</v>
      </c>
      <c r="O928" s="16">
        <v>0</v>
      </c>
      <c r="P928" s="17">
        <v>1400.8341000015484</v>
      </c>
      <c r="Q928" s="17">
        <v>0</v>
      </c>
      <c r="R928" s="13"/>
      <c r="S928" s="13" t="s">
        <v>336</v>
      </c>
      <c r="T928" s="13" t="s">
        <v>406</v>
      </c>
      <c r="U928" s="13" t="s">
        <v>361</v>
      </c>
      <c r="V928" s="13" t="s">
        <v>549</v>
      </c>
      <c r="W928" s="14">
        <v>1</v>
      </c>
    </row>
    <row r="929" spans="1:23" x14ac:dyDescent="0.2">
      <c r="A929"/>
      <c r="B929"/>
      <c r="C929"/>
      <c r="D929"/>
      <c r="E929"/>
      <c r="F929"/>
      <c r="G929"/>
      <c r="H929"/>
      <c r="I929"/>
      <c r="J929"/>
      <c r="K929" s="13" t="s">
        <v>67</v>
      </c>
      <c r="L929" s="13" t="s">
        <v>451</v>
      </c>
      <c r="M929" s="13" t="s">
        <v>369</v>
      </c>
      <c r="N929" s="15">
        <v>0</v>
      </c>
      <c r="O929" s="16">
        <v>0</v>
      </c>
      <c r="P929" s="17">
        <v>1788.5309499810255</v>
      </c>
      <c r="Q929" s="17">
        <v>0</v>
      </c>
      <c r="R929" s="13"/>
      <c r="S929" s="13" t="s">
        <v>336</v>
      </c>
      <c r="T929" s="13" t="s">
        <v>419</v>
      </c>
      <c r="U929" s="13" t="s">
        <v>442</v>
      </c>
      <c r="V929" s="13" t="s">
        <v>549</v>
      </c>
      <c r="W929" s="14">
        <v>0</v>
      </c>
    </row>
    <row r="930" spans="1:23" x14ac:dyDescent="0.2">
      <c r="A930"/>
      <c r="B930"/>
      <c r="C930"/>
      <c r="D930"/>
      <c r="E930"/>
      <c r="F930"/>
      <c r="G930"/>
      <c r="H930"/>
      <c r="I930"/>
      <c r="J930"/>
      <c r="K930" s="13" t="s">
        <v>67</v>
      </c>
      <c r="L930" s="13" t="s">
        <v>381</v>
      </c>
      <c r="M930" s="13" t="s">
        <v>382</v>
      </c>
      <c r="N930" s="15">
        <v>9</v>
      </c>
      <c r="O930" s="16">
        <v>0</v>
      </c>
      <c r="P930" s="17">
        <v>0</v>
      </c>
      <c r="Q930" s="17">
        <v>0</v>
      </c>
      <c r="R930" s="13"/>
      <c r="S930" s="13" t="s">
        <v>336</v>
      </c>
      <c r="T930" s="13" t="s">
        <v>609</v>
      </c>
      <c r="U930" s="13" t="s">
        <v>416</v>
      </c>
      <c r="V930" s="13" t="s">
        <v>549</v>
      </c>
      <c r="W930" s="14">
        <v>0</v>
      </c>
    </row>
    <row r="931" spans="1:23" x14ac:dyDescent="0.2">
      <c r="A931"/>
      <c r="B931"/>
      <c r="C931"/>
      <c r="D931"/>
      <c r="E931"/>
      <c r="F931"/>
      <c r="G931"/>
      <c r="H931"/>
      <c r="I931"/>
      <c r="J931"/>
      <c r="K931" s="13" t="s">
        <v>67</v>
      </c>
      <c r="L931" s="13" t="s">
        <v>411</v>
      </c>
      <c r="M931" s="13" t="s">
        <v>362</v>
      </c>
      <c r="N931" s="15">
        <v>1</v>
      </c>
      <c r="O931" s="16">
        <v>0</v>
      </c>
      <c r="P931" s="17">
        <v>0</v>
      </c>
      <c r="Q931" s="17">
        <v>0</v>
      </c>
      <c r="R931" s="13"/>
      <c r="S931" s="13" t="s">
        <v>338</v>
      </c>
      <c r="T931" s="13" t="s">
        <v>404</v>
      </c>
      <c r="U931" s="13" t="s">
        <v>405</v>
      </c>
      <c r="V931" s="13" t="s">
        <v>549</v>
      </c>
      <c r="W931" s="14">
        <v>0</v>
      </c>
    </row>
    <row r="932" spans="1:23" x14ac:dyDescent="0.2">
      <c r="A932"/>
      <c r="B932"/>
      <c r="C932"/>
      <c r="D932"/>
      <c r="E932"/>
      <c r="F932"/>
      <c r="G932"/>
      <c r="H932"/>
      <c r="I932"/>
      <c r="J932"/>
      <c r="K932" s="13" t="s">
        <v>67</v>
      </c>
      <c r="L932" s="13" t="s">
        <v>413</v>
      </c>
      <c r="M932" s="13" t="s">
        <v>428</v>
      </c>
      <c r="N932" s="15">
        <v>1</v>
      </c>
      <c r="O932" s="16">
        <v>0</v>
      </c>
      <c r="P932" s="17">
        <v>0</v>
      </c>
      <c r="Q932" s="17">
        <v>0</v>
      </c>
      <c r="R932" s="13"/>
      <c r="S932" s="13" t="s">
        <v>338</v>
      </c>
      <c r="T932" s="13" t="s">
        <v>609</v>
      </c>
      <c r="U932" s="13" t="s">
        <v>416</v>
      </c>
      <c r="V932" s="13" t="s">
        <v>549</v>
      </c>
      <c r="W932" s="14">
        <v>0</v>
      </c>
    </row>
    <row r="933" spans="1:23" x14ac:dyDescent="0.2">
      <c r="A933"/>
      <c r="B933"/>
      <c r="C933"/>
      <c r="D933"/>
      <c r="E933"/>
      <c r="F933"/>
      <c r="G933"/>
      <c r="H933"/>
      <c r="I933"/>
      <c r="J933"/>
      <c r="K933" s="13" t="s">
        <v>67</v>
      </c>
      <c r="L933" s="13" t="s">
        <v>609</v>
      </c>
      <c r="M933" s="13" t="s">
        <v>416</v>
      </c>
      <c r="N933" s="15">
        <v>0</v>
      </c>
      <c r="O933" s="16">
        <v>113.75439204893723</v>
      </c>
      <c r="P933" s="17">
        <v>0</v>
      </c>
      <c r="Q933" s="17">
        <v>0</v>
      </c>
      <c r="R933" s="13"/>
      <c r="S933" s="13" t="s">
        <v>340</v>
      </c>
      <c r="T933" s="13" t="s">
        <v>404</v>
      </c>
      <c r="U933" s="13" t="s">
        <v>405</v>
      </c>
      <c r="V933" s="13" t="s">
        <v>549</v>
      </c>
      <c r="W933" s="14">
        <v>2.2000000000000002</v>
      </c>
    </row>
    <row r="934" spans="1:23" x14ac:dyDescent="0.2">
      <c r="A934"/>
      <c r="B934"/>
      <c r="C934"/>
      <c r="D934"/>
      <c r="E934"/>
      <c r="F934"/>
      <c r="G934"/>
      <c r="H934"/>
      <c r="I934"/>
      <c r="J934"/>
      <c r="K934" s="13" t="s">
        <v>67</v>
      </c>
      <c r="L934" s="13" t="s">
        <v>421</v>
      </c>
      <c r="M934" s="13" t="s">
        <v>443</v>
      </c>
      <c r="N934" s="15">
        <v>1</v>
      </c>
      <c r="O934" s="16">
        <v>0</v>
      </c>
      <c r="P934" s="17">
        <v>0</v>
      </c>
      <c r="Q934" s="17">
        <v>0</v>
      </c>
      <c r="R934" s="13"/>
      <c r="S934" s="13" t="s">
        <v>340</v>
      </c>
      <c r="T934" s="13" t="s">
        <v>404</v>
      </c>
      <c r="U934" s="13" t="s">
        <v>405</v>
      </c>
      <c r="V934" s="13" t="s">
        <v>553</v>
      </c>
      <c r="W934" s="14">
        <v>1.4</v>
      </c>
    </row>
    <row r="935" spans="1:23" x14ac:dyDescent="0.2">
      <c r="A935"/>
      <c r="B935"/>
      <c r="C935"/>
      <c r="D935"/>
      <c r="E935"/>
      <c r="F935"/>
      <c r="G935"/>
      <c r="H935"/>
      <c r="I935"/>
      <c r="J935"/>
      <c r="K935" s="13" t="s">
        <v>67</v>
      </c>
      <c r="L935" s="13" t="s">
        <v>383</v>
      </c>
      <c r="M935" s="13" t="s">
        <v>420</v>
      </c>
      <c r="N935" s="15">
        <v>2</v>
      </c>
      <c r="O935" s="16">
        <v>0</v>
      </c>
      <c r="P935" s="17">
        <v>0</v>
      </c>
      <c r="Q935" s="17">
        <v>0</v>
      </c>
      <c r="R935" s="13"/>
      <c r="S935" s="13" t="s">
        <v>340</v>
      </c>
      <c r="T935" s="13" t="s">
        <v>406</v>
      </c>
      <c r="U935" s="13" t="s">
        <v>361</v>
      </c>
      <c r="V935" s="13" t="s">
        <v>549</v>
      </c>
      <c r="W935" s="14">
        <v>2</v>
      </c>
    </row>
    <row r="936" spans="1:23" x14ac:dyDescent="0.2">
      <c r="A936"/>
      <c r="B936"/>
      <c r="C936"/>
      <c r="D936"/>
      <c r="E936"/>
      <c r="F936"/>
      <c r="G936"/>
      <c r="H936"/>
      <c r="I936"/>
      <c r="J936"/>
      <c r="K936" s="13" t="s">
        <v>67</v>
      </c>
      <c r="L936" s="13" t="s">
        <v>528</v>
      </c>
      <c r="M936" s="13" t="s">
        <v>384</v>
      </c>
      <c r="N936" s="15">
        <v>0</v>
      </c>
      <c r="O936" s="16">
        <v>56.46270643729143</v>
      </c>
      <c r="P936" s="17">
        <v>0</v>
      </c>
      <c r="Q936" s="17">
        <v>0</v>
      </c>
      <c r="R936" s="13"/>
      <c r="S936" s="13" t="s">
        <v>340</v>
      </c>
      <c r="T936" s="13" t="s">
        <v>419</v>
      </c>
      <c r="U936" s="13" t="s">
        <v>442</v>
      </c>
      <c r="V936" s="13" t="s">
        <v>549</v>
      </c>
      <c r="W936" s="14">
        <v>0</v>
      </c>
    </row>
    <row r="937" spans="1:23" x14ac:dyDescent="0.2">
      <c r="A937"/>
      <c r="B937"/>
      <c r="C937"/>
      <c r="D937"/>
      <c r="E937"/>
      <c r="F937"/>
      <c r="G937"/>
      <c r="H937"/>
      <c r="I937"/>
      <c r="J937"/>
      <c r="K937" s="13" t="s">
        <v>67</v>
      </c>
      <c r="L937" s="13" t="s">
        <v>458</v>
      </c>
      <c r="M937" s="13" t="s">
        <v>459</v>
      </c>
      <c r="N937" s="15">
        <v>0</v>
      </c>
      <c r="O937" s="16">
        <v>0</v>
      </c>
      <c r="P937" s="17">
        <v>915.94989997949074</v>
      </c>
      <c r="Q937" s="17">
        <v>0</v>
      </c>
      <c r="R937" s="13"/>
      <c r="S937" s="13" t="s">
        <v>340</v>
      </c>
      <c r="T937" s="13" t="s">
        <v>613</v>
      </c>
      <c r="U937" s="13" t="s">
        <v>444</v>
      </c>
      <c r="V937" s="13" t="s">
        <v>549</v>
      </c>
      <c r="W937" s="14">
        <v>0</v>
      </c>
    </row>
    <row r="938" spans="1:23" x14ac:dyDescent="0.2">
      <c r="A938"/>
      <c r="B938"/>
      <c r="C938"/>
      <c r="D938"/>
      <c r="E938"/>
      <c r="F938"/>
      <c r="G938"/>
      <c r="H938"/>
      <c r="I938"/>
      <c r="J938"/>
      <c r="K938" s="13" t="s">
        <v>68</v>
      </c>
      <c r="L938" s="13" t="s">
        <v>435</v>
      </c>
      <c r="M938" s="13" t="s">
        <v>364</v>
      </c>
      <c r="N938" s="15">
        <v>0</v>
      </c>
      <c r="O938" s="16">
        <v>0</v>
      </c>
      <c r="P938" s="17">
        <v>4.3209499996053751</v>
      </c>
      <c r="Q938" s="17">
        <v>0</v>
      </c>
      <c r="R938" s="13"/>
      <c r="S938" s="13" t="s">
        <v>340</v>
      </c>
      <c r="T938" s="13" t="s">
        <v>613</v>
      </c>
      <c r="U938" s="13" t="s">
        <v>444</v>
      </c>
      <c r="V938" s="13" t="s">
        <v>553</v>
      </c>
      <c r="W938" s="14">
        <v>0</v>
      </c>
    </row>
    <row r="939" spans="1:23" x14ac:dyDescent="0.2">
      <c r="A939"/>
      <c r="B939"/>
      <c r="C939"/>
      <c r="D939"/>
      <c r="E939"/>
      <c r="F939"/>
      <c r="G939"/>
      <c r="H939"/>
      <c r="I939"/>
      <c r="J939"/>
      <c r="K939" s="13" t="s">
        <v>68</v>
      </c>
      <c r="L939" s="13" t="s">
        <v>389</v>
      </c>
      <c r="M939" s="13" t="s">
        <v>388</v>
      </c>
      <c r="N939" s="15">
        <v>0</v>
      </c>
      <c r="O939" s="16">
        <v>0</v>
      </c>
      <c r="P939" s="17">
        <v>36.769199996653313</v>
      </c>
      <c r="Q939" s="17">
        <v>0</v>
      </c>
      <c r="R939" s="13"/>
      <c r="S939" s="13" t="s">
        <v>342</v>
      </c>
      <c r="T939" s="13" t="s">
        <v>528</v>
      </c>
      <c r="U939" s="13" t="s">
        <v>384</v>
      </c>
      <c r="V939" s="13" t="s">
        <v>549</v>
      </c>
      <c r="W939" s="14">
        <v>0</v>
      </c>
    </row>
    <row r="940" spans="1:23" x14ac:dyDescent="0.2">
      <c r="A940"/>
      <c r="B940"/>
      <c r="C940"/>
      <c r="D940"/>
      <c r="E940"/>
      <c r="F940"/>
      <c r="G940"/>
      <c r="H940"/>
      <c r="I940"/>
      <c r="J940"/>
      <c r="K940" s="13" t="s">
        <v>68</v>
      </c>
      <c r="L940" s="13" t="s">
        <v>519</v>
      </c>
      <c r="M940" s="13" t="s">
        <v>478</v>
      </c>
      <c r="N940" s="15">
        <v>0</v>
      </c>
      <c r="O940" s="16">
        <v>0</v>
      </c>
      <c r="P940" s="17">
        <v>27.191699998589883</v>
      </c>
      <c r="Q940" s="17">
        <v>0</v>
      </c>
      <c r="R940" s="13"/>
      <c r="S940" s="13" t="s">
        <v>342</v>
      </c>
      <c r="T940" s="13" t="s">
        <v>528</v>
      </c>
      <c r="U940" s="13" t="s">
        <v>384</v>
      </c>
      <c r="V940" s="13" t="s">
        <v>553</v>
      </c>
      <c r="W940" s="14">
        <v>0</v>
      </c>
    </row>
    <row r="941" spans="1:23" x14ac:dyDescent="0.2">
      <c r="A941"/>
      <c r="B941"/>
      <c r="C941"/>
      <c r="D941"/>
      <c r="E941"/>
      <c r="F941"/>
      <c r="G941"/>
      <c r="H941"/>
      <c r="I941"/>
      <c r="J941"/>
      <c r="K941" s="13" t="s">
        <v>68</v>
      </c>
      <c r="L941" s="13" t="s">
        <v>397</v>
      </c>
      <c r="M941" s="13" t="s">
        <v>398</v>
      </c>
      <c r="N941" s="15">
        <v>0</v>
      </c>
      <c r="O941" s="16">
        <v>0</v>
      </c>
      <c r="P941" s="17">
        <v>10.249700001194446</v>
      </c>
      <c r="Q941" s="17">
        <v>0</v>
      </c>
      <c r="R941" s="13"/>
      <c r="S941" s="13" t="s">
        <v>342</v>
      </c>
      <c r="T941" s="13" t="s">
        <v>613</v>
      </c>
      <c r="U941" s="13" t="s">
        <v>444</v>
      </c>
      <c r="V941" s="13" t="s">
        <v>549</v>
      </c>
      <c r="W941" s="14">
        <v>0</v>
      </c>
    </row>
    <row r="942" spans="1:23" x14ac:dyDescent="0.2">
      <c r="A942"/>
      <c r="B942"/>
      <c r="C942"/>
      <c r="D942"/>
      <c r="E942"/>
      <c r="F942"/>
      <c r="G942"/>
      <c r="H942"/>
      <c r="I942"/>
      <c r="J942"/>
      <c r="K942" s="13" t="s">
        <v>68</v>
      </c>
      <c r="L942" s="13" t="s">
        <v>401</v>
      </c>
      <c r="M942" s="13" t="s">
        <v>360</v>
      </c>
      <c r="N942" s="15">
        <v>0</v>
      </c>
      <c r="O942" s="16">
        <v>0</v>
      </c>
      <c r="P942" s="17">
        <v>382.868899975918</v>
      </c>
      <c r="Q942" s="17">
        <v>0</v>
      </c>
      <c r="R942" s="13"/>
      <c r="S942" s="13" t="s">
        <v>342</v>
      </c>
      <c r="T942" s="13" t="s">
        <v>611</v>
      </c>
      <c r="U942" s="13" t="s">
        <v>423</v>
      </c>
      <c r="V942" s="13" t="s">
        <v>549</v>
      </c>
      <c r="W942" s="14">
        <v>0</v>
      </c>
    </row>
    <row r="943" spans="1:23" x14ac:dyDescent="0.2">
      <c r="A943"/>
      <c r="B943"/>
      <c r="C943"/>
      <c r="D943"/>
      <c r="E943"/>
      <c r="F943"/>
      <c r="G943"/>
      <c r="H943"/>
      <c r="I943"/>
      <c r="J943"/>
      <c r="K943" s="13" t="s">
        <v>68</v>
      </c>
      <c r="L943" s="13" t="s">
        <v>402</v>
      </c>
      <c r="M943" s="13" t="s">
        <v>403</v>
      </c>
      <c r="N943" s="15">
        <v>0</v>
      </c>
      <c r="O943" s="16">
        <v>0</v>
      </c>
      <c r="P943" s="17">
        <v>2133.6375973203412</v>
      </c>
      <c r="Q943" s="17">
        <v>0</v>
      </c>
      <c r="R943" s="13"/>
      <c r="S943" s="13" t="s">
        <v>349</v>
      </c>
      <c r="T943" s="13" t="s">
        <v>404</v>
      </c>
      <c r="U943" s="13" t="s">
        <v>405</v>
      </c>
      <c r="V943" s="13" t="s">
        <v>561</v>
      </c>
      <c r="W943" s="14">
        <v>1.5</v>
      </c>
    </row>
    <row r="944" spans="1:23" x14ac:dyDescent="0.2">
      <c r="A944"/>
      <c r="B944"/>
      <c r="C944"/>
      <c r="D944"/>
      <c r="E944"/>
      <c r="F944"/>
      <c r="G944"/>
      <c r="H944"/>
      <c r="I944"/>
      <c r="J944"/>
      <c r="K944" s="13" t="s">
        <v>68</v>
      </c>
      <c r="L944" s="13" t="s">
        <v>451</v>
      </c>
      <c r="M944" s="13" t="s">
        <v>369</v>
      </c>
      <c r="N944" s="15">
        <v>0</v>
      </c>
      <c r="O944" s="16">
        <v>0</v>
      </c>
      <c r="P944" s="17">
        <v>2590.717097292697</v>
      </c>
      <c r="Q944" s="17">
        <v>0</v>
      </c>
      <c r="R944" s="13"/>
      <c r="S944" s="13" t="s">
        <v>349</v>
      </c>
      <c r="T944" s="13" t="s">
        <v>404</v>
      </c>
      <c r="U944" s="13" t="s">
        <v>405</v>
      </c>
      <c r="V944" s="13" t="s">
        <v>559</v>
      </c>
      <c r="W944" s="14">
        <v>1.8</v>
      </c>
    </row>
    <row r="945" spans="1:23" x14ac:dyDescent="0.2">
      <c r="A945"/>
      <c r="B945"/>
      <c r="C945"/>
      <c r="D945"/>
      <c r="E945"/>
      <c r="F945"/>
      <c r="G945"/>
      <c r="H945"/>
      <c r="I945"/>
      <c r="J945"/>
      <c r="K945" s="13" t="s">
        <v>68</v>
      </c>
      <c r="L945" s="13" t="s">
        <v>381</v>
      </c>
      <c r="M945" s="13" t="s">
        <v>382</v>
      </c>
      <c r="N945" s="15">
        <v>8</v>
      </c>
      <c r="O945" s="16">
        <v>0</v>
      </c>
      <c r="P945" s="17">
        <v>0</v>
      </c>
      <c r="Q945" s="17">
        <v>0</v>
      </c>
      <c r="R945" s="13"/>
      <c r="S945" s="13" t="s">
        <v>349</v>
      </c>
      <c r="T945" s="13" t="s">
        <v>404</v>
      </c>
      <c r="U945" s="13" t="s">
        <v>405</v>
      </c>
      <c r="V945" s="13" t="s">
        <v>549</v>
      </c>
      <c r="W945" s="14">
        <v>2</v>
      </c>
    </row>
    <row r="946" spans="1:23" x14ac:dyDescent="0.2">
      <c r="A946"/>
      <c r="B946"/>
      <c r="C946"/>
      <c r="D946"/>
      <c r="E946"/>
      <c r="F946"/>
      <c r="G946"/>
      <c r="H946"/>
      <c r="I946"/>
      <c r="J946"/>
      <c r="K946" s="13" t="s">
        <v>68</v>
      </c>
      <c r="L946" s="13" t="s">
        <v>411</v>
      </c>
      <c r="M946" s="13" t="s">
        <v>362</v>
      </c>
      <c r="N946" s="15">
        <v>4</v>
      </c>
      <c r="O946" s="16">
        <v>0</v>
      </c>
      <c r="P946" s="17">
        <v>0</v>
      </c>
      <c r="Q946" s="17">
        <v>0</v>
      </c>
      <c r="R946" s="13"/>
      <c r="S946" s="13" t="s">
        <v>349</v>
      </c>
      <c r="T946" s="13" t="s">
        <v>404</v>
      </c>
      <c r="U946" s="13" t="s">
        <v>405</v>
      </c>
      <c r="V946" s="13" t="s">
        <v>553</v>
      </c>
      <c r="W946" s="14">
        <v>1.8</v>
      </c>
    </row>
    <row r="947" spans="1:23" x14ac:dyDescent="0.2">
      <c r="A947"/>
      <c r="B947"/>
      <c r="C947"/>
      <c r="D947"/>
      <c r="E947"/>
      <c r="F947"/>
      <c r="G947"/>
      <c r="H947"/>
      <c r="I947"/>
      <c r="J947"/>
      <c r="K947" s="13" t="s">
        <v>68</v>
      </c>
      <c r="L947" s="13" t="s">
        <v>413</v>
      </c>
      <c r="M947" s="13" t="s">
        <v>428</v>
      </c>
      <c r="N947" s="15">
        <v>2</v>
      </c>
      <c r="O947" s="16">
        <v>0</v>
      </c>
      <c r="P947" s="17">
        <v>0</v>
      </c>
      <c r="Q947" s="17">
        <v>0</v>
      </c>
      <c r="R947" s="13"/>
      <c r="S947" s="13" t="s">
        <v>349</v>
      </c>
      <c r="T947" s="13" t="s">
        <v>404</v>
      </c>
      <c r="U947" s="13" t="s">
        <v>405</v>
      </c>
      <c r="V947" s="13" t="s">
        <v>550</v>
      </c>
      <c r="W947" s="14">
        <v>1</v>
      </c>
    </row>
    <row r="948" spans="1:23" x14ac:dyDescent="0.2">
      <c r="A948"/>
      <c r="B948"/>
      <c r="C948"/>
      <c r="D948"/>
      <c r="E948"/>
      <c r="F948"/>
      <c r="G948"/>
      <c r="H948"/>
      <c r="I948"/>
      <c r="J948"/>
      <c r="K948" s="13" t="s">
        <v>68</v>
      </c>
      <c r="L948" s="13" t="s">
        <v>619</v>
      </c>
      <c r="M948" s="13" t="s">
        <v>508</v>
      </c>
      <c r="N948" s="15">
        <v>1</v>
      </c>
      <c r="O948" s="16">
        <v>0</v>
      </c>
      <c r="P948" s="17">
        <v>0</v>
      </c>
      <c r="Q948" s="17">
        <v>0</v>
      </c>
      <c r="R948" s="13"/>
      <c r="S948" s="13" t="s">
        <v>349</v>
      </c>
      <c r="T948" s="13" t="s">
        <v>528</v>
      </c>
      <c r="U948" s="13" t="s">
        <v>384</v>
      </c>
      <c r="V948" s="13" t="s">
        <v>549</v>
      </c>
      <c r="W948" s="14">
        <v>0</v>
      </c>
    </row>
    <row r="949" spans="1:23" x14ac:dyDescent="0.2">
      <c r="A949"/>
      <c r="B949"/>
      <c r="C949"/>
      <c r="D949"/>
      <c r="E949"/>
      <c r="F949"/>
      <c r="G949"/>
      <c r="H949"/>
      <c r="I949"/>
      <c r="J949"/>
      <c r="K949" s="13" t="s">
        <v>68</v>
      </c>
      <c r="L949" s="13" t="s">
        <v>607</v>
      </c>
      <c r="M949" s="13" t="s">
        <v>431</v>
      </c>
      <c r="N949" s="15">
        <v>2</v>
      </c>
      <c r="O949" s="16">
        <v>0</v>
      </c>
      <c r="P949" s="17">
        <v>0</v>
      </c>
      <c r="Q949" s="17">
        <v>0</v>
      </c>
      <c r="R949" s="13"/>
      <c r="S949" s="13" t="s">
        <v>349</v>
      </c>
      <c r="T949" s="13" t="s">
        <v>528</v>
      </c>
      <c r="U949" s="13" t="s">
        <v>384</v>
      </c>
      <c r="V949" s="13" t="s">
        <v>553</v>
      </c>
      <c r="W949" s="14">
        <v>0</v>
      </c>
    </row>
    <row r="950" spans="1:23" x14ac:dyDescent="0.2">
      <c r="A950"/>
      <c r="B950"/>
      <c r="C950"/>
      <c r="D950"/>
      <c r="E950"/>
      <c r="F950"/>
      <c r="G950"/>
      <c r="H950"/>
      <c r="I950"/>
      <c r="J950"/>
      <c r="K950" s="13" t="s">
        <v>68</v>
      </c>
      <c r="L950" s="13" t="s">
        <v>419</v>
      </c>
      <c r="M950" s="13" t="s">
        <v>442</v>
      </c>
      <c r="N950" s="15">
        <v>0</v>
      </c>
      <c r="O950" s="16">
        <v>41.237533554989461</v>
      </c>
      <c r="P950" s="17">
        <v>0</v>
      </c>
      <c r="Q950" s="17">
        <v>0</v>
      </c>
      <c r="R950" s="13"/>
      <c r="S950" s="13" t="s">
        <v>349</v>
      </c>
      <c r="T950" s="13" t="s">
        <v>613</v>
      </c>
      <c r="U950" s="13" t="s">
        <v>444</v>
      </c>
      <c r="V950" s="13" t="s">
        <v>549</v>
      </c>
      <c r="W950" s="14">
        <v>0</v>
      </c>
    </row>
    <row r="951" spans="1:23" x14ac:dyDescent="0.2">
      <c r="A951"/>
      <c r="B951"/>
      <c r="C951"/>
      <c r="D951"/>
      <c r="E951"/>
      <c r="F951"/>
      <c r="G951"/>
      <c r="H951"/>
      <c r="I951"/>
      <c r="J951"/>
      <c r="K951" s="13" t="s">
        <v>68</v>
      </c>
      <c r="L951" s="13" t="s">
        <v>421</v>
      </c>
      <c r="M951" s="13" t="s">
        <v>443</v>
      </c>
      <c r="N951" s="15">
        <v>1</v>
      </c>
      <c r="O951" s="16">
        <v>0</v>
      </c>
      <c r="P951" s="17">
        <v>0</v>
      </c>
      <c r="Q951" s="17">
        <v>0</v>
      </c>
      <c r="R951" s="13"/>
      <c r="S951" s="13" t="s">
        <v>351</v>
      </c>
      <c r="T951" s="13" t="s">
        <v>404</v>
      </c>
      <c r="U951" s="13" t="s">
        <v>405</v>
      </c>
      <c r="V951" s="13" t="s">
        <v>549</v>
      </c>
      <c r="W951" s="14">
        <v>1.8</v>
      </c>
    </row>
    <row r="952" spans="1:23" x14ac:dyDescent="0.2">
      <c r="A952"/>
      <c r="B952"/>
      <c r="C952"/>
      <c r="D952"/>
      <c r="E952"/>
      <c r="F952"/>
      <c r="G952"/>
      <c r="H952"/>
      <c r="I952"/>
      <c r="J952"/>
      <c r="K952" s="13" t="s">
        <v>68</v>
      </c>
      <c r="L952" s="13" t="s">
        <v>383</v>
      </c>
      <c r="M952" s="13" t="s">
        <v>420</v>
      </c>
      <c r="N952" s="15">
        <v>2</v>
      </c>
      <c r="O952" s="16">
        <v>0</v>
      </c>
      <c r="P952" s="17">
        <v>0</v>
      </c>
      <c r="Q952" s="17">
        <v>0</v>
      </c>
      <c r="R952" s="13"/>
      <c r="S952" s="2" t="s">
        <v>351</v>
      </c>
      <c r="T952" s="2" t="s">
        <v>406</v>
      </c>
      <c r="U952" s="2" t="s">
        <v>361</v>
      </c>
      <c r="V952" s="2" t="s">
        <v>549</v>
      </c>
      <c r="W952" s="39">
        <v>1.2</v>
      </c>
    </row>
    <row r="953" spans="1:23" x14ac:dyDescent="0.2">
      <c r="A953"/>
      <c r="B953"/>
      <c r="C953"/>
      <c r="D953"/>
      <c r="E953"/>
      <c r="F953"/>
      <c r="G953"/>
      <c r="H953"/>
      <c r="I953"/>
      <c r="J953"/>
      <c r="K953" s="13" t="s">
        <v>68</v>
      </c>
      <c r="L953" s="13" t="s">
        <v>614</v>
      </c>
      <c r="M953" s="13" t="s">
        <v>447</v>
      </c>
      <c r="N953" s="15">
        <v>1</v>
      </c>
      <c r="O953" s="16">
        <v>0</v>
      </c>
      <c r="P953" s="17">
        <v>0</v>
      </c>
      <c r="Q953" s="17">
        <v>0</v>
      </c>
      <c r="R953" s="13"/>
      <c r="S953" s="13"/>
      <c r="T953" s="13"/>
      <c r="U953" s="13"/>
      <c r="V953" s="13"/>
      <c r="W953" s="13"/>
    </row>
    <row r="954" spans="1:23" x14ac:dyDescent="0.2">
      <c r="A954"/>
      <c r="B954"/>
      <c r="C954"/>
      <c r="D954"/>
      <c r="E954"/>
      <c r="F954"/>
      <c r="G954"/>
      <c r="H954"/>
      <c r="I954"/>
      <c r="J954"/>
      <c r="K954" s="13" t="s">
        <v>68</v>
      </c>
      <c r="L954" s="13" t="s">
        <v>458</v>
      </c>
      <c r="M954" s="13" t="s">
        <v>459</v>
      </c>
      <c r="N954" s="15">
        <v>0</v>
      </c>
      <c r="O954" s="16">
        <v>0</v>
      </c>
      <c r="P954" s="17">
        <v>1298.9986000005831</v>
      </c>
      <c r="Q954" s="17">
        <v>0</v>
      </c>
      <c r="R954" s="13"/>
      <c r="S954" s="13"/>
      <c r="T954" s="13"/>
      <c r="U954" s="13"/>
      <c r="V954" s="13"/>
      <c r="W954" s="13"/>
    </row>
    <row r="955" spans="1:23" x14ac:dyDescent="0.2">
      <c r="A955"/>
      <c r="B955"/>
      <c r="C955"/>
      <c r="D955"/>
      <c r="E955"/>
      <c r="F955"/>
      <c r="G955"/>
      <c r="H955"/>
      <c r="I955"/>
      <c r="J955"/>
      <c r="K955" s="13" t="s">
        <v>69</v>
      </c>
      <c r="L955" s="13" t="s">
        <v>391</v>
      </c>
      <c r="M955" s="13" t="s">
        <v>358</v>
      </c>
      <c r="N955" s="15">
        <v>0</v>
      </c>
      <c r="O955" s="16">
        <v>0</v>
      </c>
      <c r="P955" s="17">
        <v>28.769749997106029</v>
      </c>
      <c r="Q955" s="17">
        <v>0</v>
      </c>
      <c r="R955" s="13"/>
      <c r="S955" s="13"/>
      <c r="T955" s="13"/>
      <c r="U955" s="13"/>
      <c r="V955" s="13"/>
      <c r="W955" s="13"/>
    </row>
    <row r="956" spans="1:23" x14ac:dyDescent="0.2">
      <c r="A956"/>
      <c r="B956"/>
      <c r="C956"/>
      <c r="D956"/>
      <c r="E956"/>
      <c r="F956"/>
      <c r="G956"/>
      <c r="H956"/>
      <c r="I956"/>
      <c r="J956"/>
      <c r="K956" s="13" t="s">
        <v>69</v>
      </c>
      <c r="L956" s="13" t="s">
        <v>401</v>
      </c>
      <c r="M956" s="13" t="s">
        <v>360</v>
      </c>
      <c r="N956" s="15">
        <v>0</v>
      </c>
      <c r="O956" s="16">
        <v>0</v>
      </c>
      <c r="P956" s="17">
        <v>301.84719999350114</v>
      </c>
      <c r="Q956" s="17">
        <v>0</v>
      </c>
      <c r="R956" s="13"/>
      <c r="S956" s="13"/>
      <c r="T956" s="13"/>
      <c r="U956" s="13"/>
      <c r="V956" s="13"/>
      <c r="W956" s="13"/>
    </row>
    <row r="957" spans="1:23" x14ac:dyDescent="0.2">
      <c r="A957"/>
      <c r="B957"/>
      <c r="C957"/>
      <c r="D957"/>
      <c r="E957"/>
      <c r="F957"/>
      <c r="G957"/>
      <c r="H957"/>
      <c r="I957"/>
      <c r="J957"/>
      <c r="K957" s="13" t="s">
        <v>69</v>
      </c>
      <c r="L957" s="13" t="s">
        <v>402</v>
      </c>
      <c r="M957" s="13" t="s">
        <v>403</v>
      </c>
      <c r="N957" s="15">
        <v>0</v>
      </c>
      <c r="O957" s="16">
        <v>0</v>
      </c>
      <c r="P957" s="17">
        <v>1440.8170499736002</v>
      </c>
      <c r="Q957" s="17">
        <v>0</v>
      </c>
      <c r="R957" s="13"/>
      <c r="S957" s="13"/>
      <c r="T957" s="13"/>
      <c r="U957" s="13"/>
      <c r="V957" s="13"/>
      <c r="W957" s="13"/>
    </row>
    <row r="958" spans="1:23" x14ac:dyDescent="0.2">
      <c r="A958"/>
      <c r="B958"/>
      <c r="C958"/>
      <c r="D958"/>
      <c r="E958"/>
      <c r="F958"/>
      <c r="G958"/>
      <c r="H958"/>
      <c r="I958"/>
      <c r="J958"/>
      <c r="K958" s="13" t="s">
        <v>69</v>
      </c>
      <c r="L958" s="13" t="s">
        <v>451</v>
      </c>
      <c r="M958" s="13" t="s">
        <v>369</v>
      </c>
      <c r="N958" s="15">
        <v>0</v>
      </c>
      <c r="O958" s="16">
        <v>0</v>
      </c>
      <c r="P958" s="17">
        <v>1771.4339999642073</v>
      </c>
      <c r="Q958" s="17">
        <v>0</v>
      </c>
      <c r="R958" s="13"/>
      <c r="S958" s="13"/>
      <c r="T958" s="13"/>
      <c r="U958" s="13"/>
      <c r="V958" s="13"/>
      <c r="W958" s="13"/>
    </row>
    <row r="959" spans="1:23" x14ac:dyDescent="0.2">
      <c r="A959"/>
      <c r="B959"/>
      <c r="C959"/>
      <c r="D959"/>
      <c r="E959"/>
      <c r="F959"/>
      <c r="G959"/>
      <c r="H959"/>
      <c r="I959"/>
      <c r="J959"/>
      <c r="K959" s="13" t="s">
        <v>69</v>
      </c>
      <c r="L959" s="13" t="s">
        <v>381</v>
      </c>
      <c r="M959" s="13" t="s">
        <v>382</v>
      </c>
      <c r="N959" s="15">
        <v>3</v>
      </c>
      <c r="O959" s="16">
        <v>0</v>
      </c>
      <c r="P959" s="17">
        <v>0</v>
      </c>
      <c r="Q959" s="17">
        <v>0</v>
      </c>
      <c r="R959" s="13"/>
      <c r="S959" s="13"/>
      <c r="T959" s="13"/>
      <c r="U959" s="13"/>
      <c r="V959" s="13"/>
      <c r="W959" s="13"/>
    </row>
    <row r="960" spans="1:23" x14ac:dyDescent="0.2">
      <c r="A960"/>
      <c r="B960"/>
      <c r="C960"/>
      <c r="D960"/>
      <c r="E960"/>
      <c r="F960"/>
      <c r="G960"/>
      <c r="H960"/>
      <c r="I960"/>
      <c r="J960"/>
      <c r="K960" s="13" t="s">
        <v>69</v>
      </c>
      <c r="L960" s="13" t="s">
        <v>411</v>
      </c>
      <c r="M960" s="13" t="s">
        <v>362</v>
      </c>
      <c r="N960" s="15">
        <v>1</v>
      </c>
      <c r="O960" s="16">
        <v>0</v>
      </c>
      <c r="P960" s="17">
        <v>0</v>
      </c>
      <c r="Q960" s="17">
        <v>0</v>
      </c>
      <c r="R960" s="13"/>
      <c r="S960" s="13"/>
      <c r="T960" s="13"/>
      <c r="U960" s="13"/>
      <c r="V960" s="13"/>
      <c r="W960" s="13"/>
    </row>
    <row r="961" spans="1:23" x14ac:dyDescent="0.2">
      <c r="A961"/>
      <c r="B961"/>
      <c r="C961"/>
      <c r="D961"/>
      <c r="E961"/>
      <c r="F961"/>
      <c r="G961"/>
      <c r="H961"/>
      <c r="I961"/>
      <c r="J961"/>
      <c r="K961" s="13" t="s">
        <v>69</v>
      </c>
      <c r="L961" s="13" t="s">
        <v>608</v>
      </c>
      <c r="M961" s="13" t="s">
        <v>432</v>
      </c>
      <c r="N961" s="15">
        <v>28</v>
      </c>
      <c r="O961" s="16">
        <v>0</v>
      </c>
      <c r="P961" s="17">
        <v>0</v>
      </c>
      <c r="Q961" s="17">
        <v>0</v>
      </c>
      <c r="R961" s="13"/>
      <c r="S961" s="13"/>
      <c r="T961" s="13"/>
      <c r="U961" s="13"/>
      <c r="V961" s="13"/>
      <c r="W961" s="13"/>
    </row>
    <row r="962" spans="1:23" x14ac:dyDescent="0.2">
      <c r="A962"/>
      <c r="B962"/>
      <c r="C962"/>
      <c r="D962"/>
      <c r="E962"/>
      <c r="F962"/>
      <c r="G962"/>
      <c r="H962"/>
      <c r="I962"/>
      <c r="J962"/>
      <c r="K962" s="13" t="s">
        <v>70</v>
      </c>
      <c r="L962" s="13" t="s">
        <v>401</v>
      </c>
      <c r="M962" s="13" t="s">
        <v>360</v>
      </c>
      <c r="N962" s="15">
        <v>0</v>
      </c>
      <c r="O962" s="16">
        <v>0</v>
      </c>
      <c r="P962" s="17">
        <v>64.252750001845058</v>
      </c>
      <c r="Q962" s="17">
        <v>0</v>
      </c>
      <c r="R962" s="13"/>
      <c r="S962" s="13"/>
      <c r="T962" s="13"/>
      <c r="U962" s="13"/>
      <c r="V962" s="13"/>
      <c r="W962" s="13"/>
    </row>
    <row r="963" spans="1:23" x14ac:dyDescent="0.2">
      <c r="A963"/>
      <c r="B963"/>
      <c r="C963"/>
      <c r="D963"/>
      <c r="E963"/>
      <c r="F963"/>
      <c r="G963"/>
      <c r="H963"/>
      <c r="I963"/>
      <c r="J963"/>
      <c r="K963" s="13" t="s">
        <v>70</v>
      </c>
      <c r="L963" s="13" t="s">
        <v>402</v>
      </c>
      <c r="M963" s="13" t="s">
        <v>403</v>
      </c>
      <c r="N963" s="15">
        <v>0</v>
      </c>
      <c r="O963" s="16">
        <v>0</v>
      </c>
      <c r="P963" s="17">
        <v>406.53374999862746</v>
      </c>
      <c r="Q963" s="17">
        <v>0</v>
      </c>
      <c r="R963" s="13"/>
      <c r="S963" s="13"/>
      <c r="T963" s="13"/>
      <c r="U963" s="13"/>
      <c r="V963" s="13"/>
      <c r="W963" s="13"/>
    </row>
    <row r="964" spans="1:23" x14ac:dyDescent="0.2">
      <c r="A964"/>
      <c r="B964"/>
      <c r="C964"/>
      <c r="D964"/>
      <c r="E964"/>
      <c r="F964"/>
      <c r="G964"/>
      <c r="H964"/>
      <c r="I964"/>
      <c r="J964"/>
      <c r="K964" s="13" t="s">
        <v>70</v>
      </c>
      <c r="L964" s="13" t="s">
        <v>462</v>
      </c>
      <c r="M964" s="13" t="s">
        <v>370</v>
      </c>
      <c r="N964" s="15">
        <v>0</v>
      </c>
      <c r="O964" s="16">
        <v>0</v>
      </c>
      <c r="P964" s="17">
        <v>28.926949998938433</v>
      </c>
      <c r="Q964" s="17">
        <v>0</v>
      </c>
      <c r="R964" s="13"/>
      <c r="S964" s="13"/>
      <c r="T964" s="13"/>
      <c r="U964" s="13"/>
      <c r="V964" s="13"/>
      <c r="W964" s="13"/>
    </row>
    <row r="965" spans="1:23" x14ac:dyDescent="0.2">
      <c r="A965"/>
      <c r="B965"/>
      <c r="C965"/>
      <c r="D965"/>
      <c r="E965"/>
      <c r="F965"/>
      <c r="G965"/>
      <c r="H965"/>
      <c r="I965"/>
      <c r="J965"/>
      <c r="K965" s="13" t="s">
        <v>70</v>
      </c>
      <c r="L965" s="13" t="s">
        <v>451</v>
      </c>
      <c r="M965" s="13" t="s">
        <v>369</v>
      </c>
      <c r="N965" s="15">
        <v>0</v>
      </c>
      <c r="O965" s="16">
        <v>0</v>
      </c>
      <c r="P965" s="17">
        <v>499.71344999941095</v>
      </c>
      <c r="Q965" s="17">
        <v>0</v>
      </c>
      <c r="R965" s="13"/>
      <c r="S965" s="13"/>
      <c r="T965" s="13"/>
      <c r="U965" s="13"/>
      <c r="V965" s="13"/>
      <c r="W965" s="13"/>
    </row>
    <row r="966" spans="1:23" x14ac:dyDescent="0.2">
      <c r="A966"/>
      <c r="B966"/>
      <c r="C966"/>
      <c r="D966"/>
      <c r="E966"/>
      <c r="F966"/>
      <c r="G966"/>
      <c r="H966"/>
      <c r="I966"/>
      <c r="J966"/>
      <c r="K966" s="13" t="s">
        <v>70</v>
      </c>
      <c r="L966" s="13" t="s">
        <v>411</v>
      </c>
      <c r="M966" s="13" t="s">
        <v>362</v>
      </c>
      <c r="N966" s="15">
        <v>1</v>
      </c>
      <c r="O966" s="16">
        <v>0</v>
      </c>
      <c r="P966" s="17">
        <v>0</v>
      </c>
      <c r="Q966" s="17">
        <v>0</v>
      </c>
      <c r="R966" s="13"/>
      <c r="S966" s="13"/>
      <c r="T966" s="13"/>
      <c r="U966" s="13"/>
      <c r="V966" s="13"/>
      <c r="W966" s="13"/>
    </row>
    <row r="967" spans="1:23" x14ac:dyDescent="0.2">
      <c r="A967"/>
      <c r="B967"/>
      <c r="C967"/>
      <c r="D967"/>
      <c r="E967"/>
      <c r="F967"/>
      <c r="G967"/>
      <c r="H967"/>
      <c r="I967"/>
      <c r="J967"/>
      <c r="K967" s="13" t="s">
        <v>70</v>
      </c>
      <c r="L967" s="13" t="s">
        <v>454</v>
      </c>
      <c r="M967" s="13" t="s">
        <v>455</v>
      </c>
      <c r="N967" s="15">
        <v>0</v>
      </c>
      <c r="O967" s="16">
        <v>0</v>
      </c>
      <c r="P967" s="17">
        <v>81.898500001196851</v>
      </c>
      <c r="Q967" s="17">
        <v>0</v>
      </c>
      <c r="R967" s="13"/>
      <c r="S967" s="13"/>
      <c r="T967" s="13"/>
      <c r="U967" s="13"/>
      <c r="V967" s="13"/>
      <c r="W967" s="13"/>
    </row>
    <row r="968" spans="1:23" x14ac:dyDescent="0.2">
      <c r="A968"/>
      <c r="B968"/>
      <c r="C968"/>
      <c r="D968"/>
      <c r="E968"/>
      <c r="F968"/>
      <c r="G968"/>
      <c r="H968"/>
      <c r="I968"/>
      <c r="J968"/>
      <c r="K968" s="13" t="s">
        <v>71</v>
      </c>
      <c r="L968" s="13" t="s">
        <v>389</v>
      </c>
      <c r="M968" s="13" t="s">
        <v>388</v>
      </c>
      <c r="N968" s="15">
        <v>0</v>
      </c>
      <c r="O968" s="16">
        <v>0</v>
      </c>
      <c r="P968" s="17">
        <v>4.9435499991521237</v>
      </c>
      <c r="Q968" s="17">
        <v>0</v>
      </c>
      <c r="R968" s="13"/>
      <c r="S968" s="13"/>
      <c r="T968" s="13"/>
      <c r="U968" s="13"/>
      <c r="V968" s="13"/>
      <c r="W968" s="13"/>
    </row>
    <row r="969" spans="1:23" x14ac:dyDescent="0.2">
      <c r="A969"/>
      <c r="B969"/>
      <c r="C969"/>
      <c r="D969"/>
      <c r="E969"/>
      <c r="F969"/>
      <c r="G969"/>
      <c r="H969"/>
      <c r="I969"/>
      <c r="J969"/>
      <c r="K969" s="13" t="s">
        <v>71</v>
      </c>
      <c r="L969" s="13" t="s">
        <v>402</v>
      </c>
      <c r="M969" s="13" t="s">
        <v>403</v>
      </c>
      <c r="N969" s="15">
        <v>0</v>
      </c>
      <c r="O969" s="16">
        <v>0</v>
      </c>
      <c r="P969" s="17">
        <v>1008.5774000152551</v>
      </c>
      <c r="Q969" s="17">
        <v>0</v>
      </c>
      <c r="R969" s="13"/>
      <c r="S969" s="13"/>
      <c r="T969" s="13"/>
      <c r="U969" s="13"/>
      <c r="V969" s="13"/>
      <c r="W969" s="13"/>
    </row>
    <row r="970" spans="1:23" x14ac:dyDescent="0.2">
      <c r="A970"/>
      <c r="B970"/>
      <c r="C970"/>
      <c r="D970"/>
      <c r="E970"/>
      <c r="F970"/>
      <c r="G970"/>
      <c r="H970"/>
      <c r="I970"/>
      <c r="J970"/>
      <c r="K970" s="13" t="s">
        <v>71</v>
      </c>
      <c r="L970" s="13" t="s">
        <v>462</v>
      </c>
      <c r="M970" s="13" t="s">
        <v>370</v>
      </c>
      <c r="N970" s="15">
        <v>0</v>
      </c>
      <c r="O970" s="16">
        <v>0</v>
      </c>
      <c r="P970" s="17">
        <v>109.04579998903634</v>
      </c>
      <c r="Q970" s="17">
        <v>0</v>
      </c>
      <c r="R970" s="13"/>
      <c r="S970" s="13"/>
      <c r="T970" s="13"/>
      <c r="U970" s="13"/>
      <c r="V970" s="13"/>
      <c r="W970" s="13"/>
    </row>
    <row r="971" spans="1:23" x14ac:dyDescent="0.2">
      <c r="A971"/>
      <c r="B971"/>
      <c r="C971"/>
      <c r="D971"/>
      <c r="E971"/>
      <c r="F971"/>
      <c r="G971"/>
      <c r="H971"/>
      <c r="I971"/>
      <c r="J971"/>
      <c r="K971" s="13" t="s">
        <v>71</v>
      </c>
      <c r="L971" s="13" t="s">
        <v>451</v>
      </c>
      <c r="M971" s="13" t="s">
        <v>369</v>
      </c>
      <c r="N971" s="15">
        <v>0</v>
      </c>
      <c r="O971" s="16">
        <v>0</v>
      </c>
      <c r="P971" s="17">
        <v>1122.5667500034435</v>
      </c>
      <c r="Q971" s="17">
        <v>0</v>
      </c>
      <c r="R971" s="13"/>
      <c r="S971" s="13"/>
      <c r="T971" s="13"/>
      <c r="U971" s="13"/>
      <c r="V971" s="13"/>
      <c r="W971" s="13"/>
    </row>
    <row r="972" spans="1:23" x14ac:dyDescent="0.2">
      <c r="A972"/>
      <c r="B972"/>
      <c r="C972"/>
      <c r="D972"/>
      <c r="E972"/>
      <c r="F972"/>
      <c r="G972"/>
      <c r="H972"/>
      <c r="I972"/>
      <c r="J972"/>
      <c r="K972" s="13" t="s">
        <v>71</v>
      </c>
      <c r="L972" s="13" t="s">
        <v>381</v>
      </c>
      <c r="M972" s="13" t="s">
        <v>382</v>
      </c>
      <c r="N972" s="15">
        <v>2</v>
      </c>
      <c r="O972" s="16">
        <v>0</v>
      </c>
      <c r="P972" s="17">
        <v>0</v>
      </c>
      <c r="Q972" s="17">
        <v>0</v>
      </c>
      <c r="R972" s="13"/>
      <c r="S972" s="13"/>
      <c r="T972" s="13"/>
      <c r="U972" s="13"/>
      <c r="V972" s="13"/>
      <c r="W972" s="13"/>
    </row>
    <row r="973" spans="1:23" x14ac:dyDescent="0.2">
      <c r="A973"/>
      <c r="B973"/>
      <c r="C973"/>
      <c r="D973"/>
      <c r="E973"/>
      <c r="F973"/>
      <c r="G973"/>
      <c r="H973"/>
      <c r="I973"/>
      <c r="J973"/>
      <c r="K973" s="13" t="s">
        <v>71</v>
      </c>
      <c r="L973" s="13" t="s">
        <v>413</v>
      </c>
      <c r="M973" s="13" t="s">
        <v>428</v>
      </c>
      <c r="N973" s="15">
        <v>1</v>
      </c>
      <c r="O973" s="16">
        <v>0</v>
      </c>
      <c r="P973" s="17">
        <v>0</v>
      </c>
      <c r="Q973" s="17">
        <v>0</v>
      </c>
      <c r="R973" s="13"/>
      <c r="S973" s="13"/>
      <c r="T973" s="13"/>
      <c r="U973" s="13"/>
      <c r="V973" s="13"/>
      <c r="W973" s="13"/>
    </row>
    <row r="974" spans="1:23" x14ac:dyDescent="0.2">
      <c r="A974"/>
      <c r="B974"/>
      <c r="C974"/>
      <c r="D974"/>
      <c r="E974"/>
      <c r="F974"/>
      <c r="G974"/>
      <c r="H974"/>
      <c r="I974"/>
      <c r="J974"/>
      <c r="K974" s="13" t="s">
        <v>71</v>
      </c>
      <c r="L974" s="13" t="s">
        <v>607</v>
      </c>
      <c r="M974" s="13" t="s">
        <v>431</v>
      </c>
      <c r="N974" s="15">
        <v>2</v>
      </c>
      <c r="O974" s="16">
        <v>0</v>
      </c>
      <c r="P974" s="17">
        <v>0</v>
      </c>
      <c r="Q974" s="17">
        <v>0</v>
      </c>
      <c r="R974" s="13"/>
      <c r="S974" s="13"/>
      <c r="T974" s="13"/>
      <c r="U974" s="13"/>
      <c r="V974" s="13"/>
      <c r="W974" s="13"/>
    </row>
    <row r="975" spans="1:23" x14ac:dyDescent="0.2">
      <c r="A975"/>
      <c r="B975"/>
      <c r="C975"/>
      <c r="D975"/>
      <c r="E975"/>
      <c r="F975"/>
      <c r="G975"/>
      <c r="H975"/>
      <c r="I975"/>
      <c r="J975"/>
      <c r="K975" s="13" t="s">
        <v>71</v>
      </c>
      <c r="L975" s="13" t="s">
        <v>608</v>
      </c>
      <c r="M975" s="13" t="s">
        <v>432</v>
      </c>
      <c r="N975" s="15">
        <v>9</v>
      </c>
      <c r="O975" s="16">
        <v>0</v>
      </c>
      <c r="P975" s="17">
        <v>0</v>
      </c>
      <c r="Q975" s="17">
        <v>0</v>
      </c>
      <c r="R975" s="13"/>
      <c r="S975" s="13"/>
      <c r="T975" s="13"/>
      <c r="U975" s="13"/>
      <c r="V975" s="13"/>
      <c r="W975" s="13"/>
    </row>
    <row r="976" spans="1:23" x14ac:dyDescent="0.2">
      <c r="A976"/>
      <c r="B976"/>
      <c r="C976"/>
      <c r="D976"/>
      <c r="E976"/>
      <c r="F976"/>
      <c r="G976"/>
      <c r="H976"/>
      <c r="I976"/>
      <c r="J976"/>
      <c r="K976" s="13" t="s">
        <v>71</v>
      </c>
      <c r="L976" s="13" t="s">
        <v>421</v>
      </c>
      <c r="M976" s="13" t="s">
        <v>443</v>
      </c>
      <c r="N976" s="15">
        <v>1</v>
      </c>
      <c r="O976" s="16">
        <v>0</v>
      </c>
      <c r="P976" s="17">
        <v>0</v>
      </c>
      <c r="Q976" s="17">
        <v>0</v>
      </c>
      <c r="R976" s="13"/>
      <c r="S976" s="13"/>
      <c r="T976" s="13"/>
      <c r="U976" s="13"/>
      <c r="V976" s="13"/>
      <c r="W976" s="13"/>
    </row>
    <row r="977" spans="1:23" x14ac:dyDescent="0.2">
      <c r="A977"/>
      <c r="B977"/>
      <c r="C977"/>
      <c r="D977"/>
      <c r="E977"/>
      <c r="F977"/>
      <c r="G977"/>
      <c r="H977"/>
      <c r="I977"/>
      <c r="J977"/>
      <c r="K977" s="13" t="s">
        <v>71</v>
      </c>
      <c r="L977" s="13" t="s">
        <v>383</v>
      </c>
      <c r="M977" s="13" t="s">
        <v>420</v>
      </c>
      <c r="N977" s="15">
        <v>1</v>
      </c>
      <c r="O977" s="16">
        <v>0</v>
      </c>
      <c r="P977" s="17">
        <v>0</v>
      </c>
      <c r="Q977" s="17">
        <v>0</v>
      </c>
      <c r="R977" s="13"/>
      <c r="S977" s="13"/>
      <c r="T977" s="13"/>
      <c r="U977" s="13"/>
      <c r="V977" s="13"/>
      <c r="W977" s="13"/>
    </row>
    <row r="978" spans="1:23" x14ac:dyDescent="0.2">
      <c r="A978"/>
      <c r="B978"/>
      <c r="C978"/>
      <c r="D978"/>
      <c r="E978"/>
      <c r="F978"/>
      <c r="G978"/>
      <c r="H978"/>
      <c r="I978"/>
      <c r="J978"/>
      <c r="K978" s="13" t="s">
        <v>71</v>
      </c>
      <c r="L978" s="13" t="s">
        <v>458</v>
      </c>
      <c r="M978" s="13" t="s">
        <v>459</v>
      </c>
      <c r="N978" s="15">
        <v>0</v>
      </c>
      <c r="O978" s="16">
        <v>0</v>
      </c>
      <c r="P978" s="17">
        <v>797.83549998719172</v>
      </c>
      <c r="Q978" s="17">
        <v>0</v>
      </c>
      <c r="R978" s="13"/>
      <c r="S978" s="13"/>
      <c r="T978" s="13"/>
      <c r="U978" s="13"/>
      <c r="V978" s="13"/>
      <c r="W978" s="13"/>
    </row>
    <row r="979" spans="1:23" x14ac:dyDescent="0.2">
      <c r="A979"/>
      <c r="B979"/>
      <c r="C979"/>
      <c r="D979"/>
      <c r="E979"/>
      <c r="F979"/>
      <c r="G979"/>
      <c r="H979"/>
      <c r="I979"/>
      <c r="J979"/>
      <c r="K979" s="13" t="s">
        <v>72</v>
      </c>
      <c r="L979" s="13" t="s">
        <v>435</v>
      </c>
      <c r="M979" s="13" t="s">
        <v>364</v>
      </c>
      <c r="N979" s="15">
        <v>1</v>
      </c>
      <c r="O979" s="16">
        <v>0</v>
      </c>
      <c r="P979" s="17">
        <v>0</v>
      </c>
      <c r="Q979" s="17">
        <v>0</v>
      </c>
      <c r="R979" s="13"/>
      <c r="S979" s="13"/>
      <c r="T979" s="13"/>
      <c r="U979" s="13"/>
      <c r="V979" s="13"/>
      <c r="W979" s="13"/>
    </row>
    <row r="980" spans="1:23" x14ac:dyDescent="0.2">
      <c r="A980"/>
      <c r="B980"/>
      <c r="C980"/>
      <c r="D980"/>
      <c r="E980"/>
      <c r="F980"/>
      <c r="G980"/>
      <c r="H980"/>
      <c r="I980"/>
      <c r="J980"/>
      <c r="K980" s="13" t="s">
        <v>72</v>
      </c>
      <c r="L980" s="13" t="s">
        <v>401</v>
      </c>
      <c r="M980" s="13" t="s">
        <v>360</v>
      </c>
      <c r="N980" s="15">
        <v>0</v>
      </c>
      <c r="O980" s="16">
        <v>0</v>
      </c>
      <c r="P980" s="17">
        <v>87.608535710299321</v>
      </c>
      <c r="Q980" s="17">
        <v>0</v>
      </c>
      <c r="R980" s="13"/>
      <c r="S980" s="13"/>
      <c r="T980" s="13"/>
      <c r="U980" s="13"/>
      <c r="V980" s="13"/>
      <c r="W980" s="13"/>
    </row>
    <row r="981" spans="1:23" x14ac:dyDescent="0.2">
      <c r="A981"/>
      <c r="B981"/>
      <c r="C981"/>
      <c r="D981"/>
      <c r="E981"/>
      <c r="F981"/>
      <c r="G981"/>
      <c r="H981"/>
      <c r="I981"/>
      <c r="J981"/>
      <c r="K981" s="13" t="s">
        <v>72</v>
      </c>
      <c r="L981" s="13" t="s">
        <v>402</v>
      </c>
      <c r="M981" s="13" t="s">
        <v>403</v>
      </c>
      <c r="N981" s="15">
        <v>0</v>
      </c>
      <c r="O981" s="16">
        <v>0</v>
      </c>
      <c r="P981" s="17">
        <v>1172.815364255508</v>
      </c>
      <c r="Q981" s="17">
        <v>0</v>
      </c>
      <c r="R981" s="13"/>
      <c r="S981" s="13"/>
      <c r="T981" s="13"/>
      <c r="U981" s="13"/>
      <c r="V981" s="13"/>
      <c r="W981" s="13"/>
    </row>
    <row r="982" spans="1:23" x14ac:dyDescent="0.2">
      <c r="A982"/>
      <c r="B982"/>
      <c r="C982"/>
      <c r="D982"/>
      <c r="E982"/>
      <c r="F982"/>
      <c r="G982"/>
      <c r="H982"/>
      <c r="I982"/>
      <c r="J982"/>
      <c r="K982" s="13" t="s">
        <v>72</v>
      </c>
      <c r="L982" s="13" t="s">
        <v>462</v>
      </c>
      <c r="M982" s="13" t="s">
        <v>370</v>
      </c>
      <c r="N982" s="15">
        <v>0</v>
      </c>
      <c r="O982" s="16">
        <v>0</v>
      </c>
      <c r="P982" s="17">
        <v>197.81640002241613</v>
      </c>
      <c r="Q982" s="17">
        <v>0</v>
      </c>
      <c r="R982" s="13"/>
      <c r="S982" s="13"/>
      <c r="T982" s="13"/>
      <c r="U982" s="13"/>
      <c r="V982" s="13"/>
      <c r="W982" s="13"/>
    </row>
    <row r="983" spans="1:23" x14ac:dyDescent="0.2">
      <c r="A983"/>
      <c r="B983"/>
      <c r="C983"/>
      <c r="D983"/>
      <c r="E983"/>
      <c r="F983"/>
      <c r="G983"/>
      <c r="H983"/>
      <c r="I983"/>
      <c r="J983"/>
      <c r="K983" s="13" t="s">
        <v>72</v>
      </c>
      <c r="L983" s="13" t="s">
        <v>404</v>
      </c>
      <c r="M983" s="13" t="s">
        <v>405</v>
      </c>
      <c r="N983" s="15">
        <v>0</v>
      </c>
      <c r="O983" s="16">
        <v>0</v>
      </c>
      <c r="P983" s="17">
        <v>7.3372499994721725</v>
      </c>
      <c r="Q983" s="17">
        <v>31.569142337778331</v>
      </c>
      <c r="R983" s="13"/>
      <c r="S983" s="13"/>
      <c r="T983" s="13"/>
      <c r="U983" s="13"/>
      <c r="V983" s="13"/>
      <c r="W983" s="13"/>
    </row>
    <row r="984" spans="1:23" x14ac:dyDescent="0.2">
      <c r="A984"/>
      <c r="B984"/>
      <c r="C984"/>
      <c r="D984"/>
      <c r="E984"/>
      <c r="F984"/>
      <c r="G984"/>
      <c r="H984"/>
      <c r="I984"/>
      <c r="J984"/>
      <c r="K984" s="13" t="s">
        <v>72</v>
      </c>
      <c r="L984" s="13" t="s">
        <v>451</v>
      </c>
      <c r="M984" s="13" t="s">
        <v>369</v>
      </c>
      <c r="N984" s="15">
        <v>0</v>
      </c>
      <c r="O984" s="16">
        <v>0</v>
      </c>
      <c r="P984" s="17">
        <v>1465.5775499876956</v>
      </c>
      <c r="Q984" s="17">
        <v>0</v>
      </c>
      <c r="R984" s="13"/>
      <c r="S984" s="13"/>
      <c r="T984" s="13"/>
      <c r="U984" s="13"/>
      <c r="V984" s="13"/>
      <c r="W984" s="13"/>
    </row>
    <row r="985" spans="1:23" x14ac:dyDescent="0.2">
      <c r="A985"/>
      <c r="B985"/>
      <c r="C985"/>
      <c r="D985"/>
      <c r="E985"/>
      <c r="F985"/>
      <c r="G985"/>
      <c r="H985"/>
      <c r="I985"/>
      <c r="J985"/>
      <c r="K985" s="13" t="s">
        <v>72</v>
      </c>
      <c r="L985" s="13" t="s">
        <v>381</v>
      </c>
      <c r="M985" s="13" t="s">
        <v>382</v>
      </c>
      <c r="N985" s="15">
        <v>18</v>
      </c>
      <c r="O985" s="16">
        <v>0</v>
      </c>
      <c r="P985" s="17">
        <v>0</v>
      </c>
      <c r="Q985" s="17">
        <v>0</v>
      </c>
      <c r="R985" s="13"/>
      <c r="S985" s="13"/>
      <c r="T985" s="13"/>
      <c r="U985" s="13"/>
      <c r="V985" s="13"/>
      <c r="W985" s="13"/>
    </row>
    <row r="986" spans="1:23" x14ac:dyDescent="0.2">
      <c r="A986"/>
      <c r="B986"/>
      <c r="C986"/>
      <c r="D986"/>
      <c r="E986"/>
      <c r="F986"/>
      <c r="G986"/>
      <c r="H986"/>
      <c r="I986"/>
      <c r="J986"/>
      <c r="K986" s="13" t="s">
        <v>72</v>
      </c>
      <c r="L986" s="13" t="s">
        <v>413</v>
      </c>
      <c r="M986" s="13" t="s">
        <v>428</v>
      </c>
      <c r="N986" s="15">
        <v>1</v>
      </c>
      <c r="O986" s="16">
        <v>0</v>
      </c>
      <c r="P986" s="17">
        <v>0</v>
      </c>
      <c r="Q986" s="17">
        <v>0</v>
      </c>
      <c r="R986" s="13"/>
      <c r="S986" s="13"/>
      <c r="T986" s="13"/>
      <c r="U986" s="13"/>
      <c r="V986" s="13"/>
      <c r="W986" s="13"/>
    </row>
    <row r="987" spans="1:23" x14ac:dyDescent="0.2">
      <c r="A987"/>
      <c r="B987"/>
      <c r="C987"/>
      <c r="D987"/>
      <c r="E987"/>
      <c r="F987"/>
      <c r="G987"/>
      <c r="H987"/>
      <c r="I987"/>
      <c r="J987"/>
      <c r="K987" s="13" t="s">
        <v>72</v>
      </c>
      <c r="L987" s="13" t="s">
        <v>454</v>
      </c>
      <c r="M987" s="13" t="s">
        <v>455</v>
      </c>
      <c r="N987" s="15">
        <v>0</v>
      </c>
      <c r="O987" s="16">
        <v>0</v>
      </c>
      <c r="P987" s="17">
        <v>486.28189999207558</v>
      </c>
      <c r="Q987" s="17">
        <v>0</v>
      </c>
      <c r="R987" s="13"/>
      <c r="S987" s="13"/>
      <c r="T987" s="13"/>
      <c r="U987" s="13"/>
      <c r="V987" s="13"/>
      <c r="W987" s="13"/>
    </row>
    <row r="988" spans="1:23" x14ac:dyDescent="0.2">
      <c r="A988"/>
      <c r="B988"/>
      <c r="C988"/>
      <c r="D988"/>
      <c r="E988"/>
      <c r="F988"/>
      <c r="G988"/>
      <c r="H988"/>
      <c r="I988"/>
      <c r="J988"/>
      <c r="K988" s="13" t="s">
        <v>73</v>
      </c>
      <c r="L988" s="13" t="s">
        <v>435</v>
      </c>
      <c r="M988" s="13" t="s">
        <v>364</v>
      </c>
      <c r="N988" s="15">
        <v>2</v>
      </c>
      <c r="O988" s="16">
        <v>0</v>
      </c>
      <c r="P988" s="17">
        <v>0</v>
      </c>
      <c r="Q988" s="17">
        <v>0</v>
      </c>
      <c r="R988" s="13"/>
      <c r="S988" s="13"/>
      <c r="T988" s="13"/>
      <c r="U988" s="13"/>
      <c r="V988" s="13"/>
      <c r="W988" s="13"/>
    </row>
    <row r="989" spans="1:23" x14ac:dyDescent="0.2">
      <c r="A989"/>
      <c r="B989"/>
      <c r="C989"/>
      <c r="D989"/>
      <c r="E989"/>
      <c r="F989"/>
      <c r="G989"/>
      <c r="H989"/>
      <c r="I989"/>
      <c r="J989"/>
      <c r="K989" s="13" t="s">
        <v>73</v>
      </c>
      <c r="L989" s="13" t="s">
        <v>387</v>
      </c>
      <c r="M989" s="13" t="s">
        <v>386</v>
      </c>
      <c r="N989" s="15">
        <v>0</v>
      </c>
      <c r="O989" s="16">
        <v>0</v>
      </c>
      <c r="P989" s="17">
        <v>859.57580001074848</v>
      </c>
      <c r="Q989" s="17">
        <v>0</v>
      </c>
      <c r="R989" s="13"/>
      <c r="S989" s="13"/>
      <c r="T989" s="13"/>
      <c r="U989" s="13"/>
      <c r="V989" s="13"/>
      <c r="W989" s="13"/>
    </row>
    <row r="990" spans="1:23" x14ac:dyDescent="0.2">
      <c r="A990"/>
      <c r="B990"/>
      <c r="C990"/>
      <c r="D990"/>
      <c r="E990"/>
      <c r="F990"/>
      <c r="G990"/>
      <c r="H990"/>
      <c r="I990"/>
      <c r="J990"/>
      <c r="K990" s="13" t="s">
        <v>73</v>
      </c>
      <c r="L990" s="13" t="s">
        <v>401</v>
      </c>
      <c r="M990" s="13" t="s">
        <v>360</v>
      </c>
      <c r="N990" s="15">
        <v>0</v>
      </c>
      <c r="O990" s="16">
        <v>0</v>
      </c>
      <c r="P990" s="17">
        <v>637.50859996223551</v>
      </c>
      <c r="Q990" s="17">
        <v>0</v>
      </c>
      <c r="R990" s="13"/>
      <c r="S990" s="13"/>
      <c r="T990" s="13"/>
      <c r="U990" s="13"/>
      <c r="V990" s="13"/>
      <c r="W990" s="13"/>
    </row>
    <row r="991" spans="1:23" x14ac:dyDescent="0.2">
      <c r="A991"/>
      <c r="B991"/>
      <c r="C991"/>
      <c r="D991"/>
      <c r="E991"/>
      <c r="F991"/>
      <c r="G991"/>
      <c r="H991"/>
      <c r="I991"/>
      <c r="J991"/>
      <c r="K991" s="13" t="s">
        <v>73</v>
      </c>
      <c r="L991" s="13" t="s">
        <v>402</v>
      </c>
      <c r="M991" s="13" t="s">
        <v>403</v>
      </c>
      <c r="N991" s="15">
        <v>0</v>
      </c>
      <c r="O991" s="16">
        <v>0</v>
      </c>
      <c r="P991" s="17">
        <v>1129.749099986449</v>
      </c>
      <c r="Q991" s="17">
        <v>0</v>
      </c>
      <c r="R991" s="13"/>
      <c r="S991" s="13"/>
      <c r="T991" s="13"/>
      <c r="U991" s="13"/>
      <c r="V991" s="13"/>
      <c r="W991" s="13"/>
    </row>
    <row r="992" spans="1:23" x14ac:dyDescent="0.2">
      <c r="A992"/>
      <c r="B992"/>
      <c r="C992"/>
      <c r="D992"/>
      <c r="E992"/>
      <c r="F992"/>
      <c r="G992"/>
      <c r="H992"/>
      <c r="I992"/>
      <c r="J992"/>
      <c r="K992" s="13" t="s">
        <v>73</v>
      </c>
      <c r="L992" s="13" t="s">
        <v>448</v>
      </c>
      <c r="M992" s="13" t="s">
        <v>366</v>
      </c>
      <c r="N992" s="15">
        <v>0</v>
      </c>
      <c r="O992" s="16">
        <v>0</v>
      </c>
      <c r="P992" s="17">
        <v>5.3962499993242066</v>
      </c>
      <c r="Q992" s="17">
        <v>0</v>
      </c>
      <c r="R992" s="13"/>
      <c r="S992" s="13"/>
      <c r="T992" s="13"/>
      <c r="U992" s="13"/>
      <c r="V992" s="13"/>
      <c r="W992" s="13"/>
    </row>
    <row r="993" spans="1:23" x14ac:dyDescent="0.2">
      <c r="A993"/>
      <c r="B993"/>
      <c r="C993"/>
      <c r="D993"/>
      <c r="E993"/>
      <c r="F993"/>
      <c r="G993"/>
      <c r="H993"/>
      <c r="I993"/>
      <c r="J993"/>
      <c r="K993" s="13" t="s">
        <v>73</v>
      </c>
      <c r="L993" s="13" t="s">
        <v>451</v>
      </c>
      <c r="M993" s="13" t="s">
        <v>369</v>
      </c>
      <c r="N993" s="15">
        <v>0</v>
      </c>
      <c r="O993" s="16">
        <v>0</v>
      </c>
      <c r="P993" s="17">
        <v>2632.2297499587567</v>
      </c>
      <c r="Q993" s="17">
        <v>0</v>
      </c>
      <c r="R993" s="13"/>
      <c r="S993" s="13"/>
      <c r="T993" s="13"/>
      <c r="U993" s="13"/>
      <c r="V993" s="13"/>
      <c r="W993" s="13"/>
    </row>
    <row r="994" spans="1:23" x14ac:dyDescent="0.2">
      <c r="A994"/>
      <c r="B994"/>
      <c r="C994"/>
      <c r="D994"/>
      <c r="E994"/>
      <c r="F994"/>
      <c r="G994"/>
      <c r="H994"/>
      <c r="I994"/>
      <c r="J994"/>
      <c r="K994" s="13" t="s">
        <v>73</v>
      </c>
      <c r="L994" s="13" t="s">
        <v>381</v>
      </c>
      <c r="M994" s="13" t="s">
        <v>382</v>
      </c>
      <c r="N994" s="15">
        <v>1</v>
      </c>
      <c r="O994" s="16">
        <v>0</v>
      </c>
      <c r="P994" s="17">
        <v>0</v>
      </c>
      <c r="Q994" s="17">
        <v>0</v>
      </c>
      <c r="R994" s="13"/>
      <c r="S994" s="13"/>
      <c r="T994" s="13"/>
      <c r="U994" s="13"/>
      <c r="V994" s="13"/>
      <c r="W994" s="13"/>
    </row>
    <row r="995" spans="1:23" x14ac:dyDescent="0.2">
      <c r="A995"/>
      <c r="B995"/>
      <c r="C995"/>
      <c r="D995"/>
      <c r="E995"/>
      <c r="F995"/>
      <c r="G995"/>
      <c r="H995"/>
      <c r="I995"/>
      <c r="J995"/>
      <c r="K995" s="13" t="s">
        <v>73</v>
      </c>
      <c r="L995" s="13" t="s">
        <v>608</v>
      </c>
      <c r="M995" s="13" t="s">
        <v>432</v>
      </c>
      <c r="N995" s="15">
        <v>5</v>
      </c>
      <c r="O995" s="16">
        <v>0</v>
      </c>
      <c r="P995" s="17">
        <v>0</v>
      </c>
      <c r="Q995" s="17">
        <v>0</v>
      </c>
      <c r="R995" s="13"/>
      <c r="S995" s="13"/>
      <c r="T995" s="13"/>
      <c r="U995" s="13"/>
      <c r="V995" s="13"/>
      <c r="W995" s="13"/>
    </row>
    <row r="996" spans="1:23" x14ac:dyDescent="0.2">
      <c r="A996"/>
      <c r="B996"/>
      <c r="C996"/>
      <c r="D996"/>
      <c r="E996"/>
      <c r="F996"/>
      <c r="G996"/>
      <c r="H996"/>
      <c r="I996"/>
      <c r="J996"/>
      <c r="K996" s="13" t="s">
        <v>74</v>
      </c>
      <c r="L996" s="13" t="s">
        <v>435</v>
      </c>
      <c r="M996" s="13" t="s">
        <v>364</v>
      </c>
      <c r="N996" s="15">
        <v>0</v>
      </c>
      <c r="O996" s="16">
        <v>0</v>
      </c>
      <c r="P996" s="17">
        <v>16.107300001916407</v>
      </c>
      <c r="Q996" s="17">
        <v>0</v>
      </c>
      <c r="R996" s="13"/>
      <c r="S996" s="13"/>
      <c r="T996" s="13"/>
      <c r="U996" s="13"/>
      <c r="V996" s="13"/>
      <c r="W996" s="13"/>
    </row>
    <row r="997" spans="1:23" x14ac:dyDescent="0.2">
      <c r="A997"/>
      <c r="B997"/>
      <c r="C997"/>
      <c r="D997"/>
      <c r="E997"/>
      <c r="F997"/>
      <c r="G997"/>
      <c r="H997"/>
      <c r="I997"/>
      <c r="J997"/>
      <c r="K997" s="13" t="s">
        <v>74</v>
      </c>
      <c r="L997" s="13" t="s">
        <v>391</v>
      </c>
      <c r="M997" s="13" t="s">
        <v>358</v>
      </c>
      <c r="N997" s="15">
        <v>0</v>
      </c>
      <c r="O997" s="16">
        <v>0</v>
      </c>
      <c r="P997" s="17">
        <v>10.505200001364763</v>
      </c>
      <c r="Q997" s="17">
        <v>0</v>
      </c>
      <c r="R997" s="13"/>
      <c r="S997" s="13"/>
      <c r="T997" s="13"/>
      <c r="U997" s="13"/>
      <c r="V997" s="13"/>
      <c r="W997" s="13"/>
    </row>
    <row r="998" spans="1:23" x14ac:dyDescent="0.2">
      <c r="A998"/>
      <c r="B998"/>
      <c r="C998"/>
      <c r="D998"/>
      <c r="E998"/>
      <c r="F998"/>
      <c r="G998"/>
      <c r="H998"/>
      <c r="I998"/>
      <c r="J998"/>
      <c r="K998" s="13" t="s">
        <v>74</v>
      </c>
      <c r="L998" s="13" t="s">
        <v>519</v>
      </c>
      <c r="M998" s="13" t="s">
        <v>478</v>
      </c>
      <c r="N998" s="15">
        <v>0</v>
      </c>
      <c r="O998" s="16">
        <v>0</v>
      </c>
      <c r="P998" s="17">
        <v>61.427399994742494</v>
      </c>
      <c r="Q998" s="17">
        <v>0</v>
      </c>
      <c r="R998" s="13"/>
      <c r="S998" s="13"/>
      <c r="T998" s="13"/>
      <c r="U998" s="13"/>
      <c r="V998" s="13"/>
      <c r="W998" s="13"/>
    </row>
    <row r="999" spans="1:23" x14ac:dyDescent="0.2">
      <c r="A999"/>
      <c r="B999"/>
      <c r="C999"/>
      <c r="D999"/>
      <c r="E999"/>
      <c r="F999"/>
      <c r="G999"/>
      <c r="H999"/>
      <c r="I999"/>
      <c r="J999"/>
      <c r="K999" s="13" t="s">
        <v>74</v>
      </c>
      <c r="L999" s="13" t="s">
        <v>440</v>
      </c>
      <c r="M999" s="13" t="s">
        <v>441</v>
      </c>
      <c r="N999" s="15">
        <v>2</v>
      </c>
      <c r="O999" s="16">
        <v>0</v>
      </c>
      <c r="P999" s="17">
        <v>0</v>
      </c>
      <c r="Q999" s="17">
        <v>0</v>
      </c>
      <c r="R999" s="13"/>
      <c r="S999" s="13"/>
      <c r="T999" s="13"/>
      <c r="U999" s="13"/>
      <c r="V999" s="13"/>
      <c r="W999" s="13"/>
    </row>
    <row r="1000" spans="1:23" x14ac:dyDescent="0.2">
      <c r="A1000"/>
      <c r="B1000"/>
      <c r="C1000"/>
      <c r="D1000"/>
      <c r="E1000"/>
      <c r="F1000"/>
      <c r="G1000"/>
      <c r="H1000"/>
      <c r="I1000"/>
      <c r="J1000"/>
      <c r="K1000" s="13" t="s">
        <v>74</v>
      </c>
      <c r="L1000" s="13" t="s">
        <v>401</v>
      </c>
      <c r="M1000" s="13" t="s">
        <v>360</v>
      </c>
      <c r="N1000" s="15">
        <v>0</v>
      </c>
      <c r="O1000" s="16">
        <v>0</v>
      </c>
      <c r="P1000" s="17">
        <v>2768.0719499495344</v>
      </c>
      <c r="Q1000" s="17">
        <v>0</v>
      </c>
      <c r="R1000" s="13"/>
      <c r="S1000" s="13"/>
      <c r="T1000" s="13"/>
      <c r="U1000" s="13"/>
      <c r="V1000" s="13"/>
      <c r="W1000" s="13"/>
    </row>
    <row r="1001" spans="1:23" x14ac:dyDescent="0.2">
      <c r="A1001"/>
      <c r="B1001"/>
      <c r="C1001"/>
      <c r="D1001"/>
      <c r="E1001"/>
      <c r="F1001"/>
      <c r="G1001"/>
      <c r="H1001"/>
      <c r="I1001"/>
      <c r="J1001"/>
      <c r="K1001" s="13" t="s">
        <v>74</v>
      </c>
      <c r="L1001" s="13" t="s">
        <v>402</v>
      </c>
      <c r="M1001" s="13" t="s">
        <v>403</v>
      </c>
      <c r="N1001" s="15">
        <v>0</v>
      </c>
      <c r="O1001" s="16">
        <v>0</v>
      </c>
      <c r="P1001" s="17">
        <v>3110.3289015869218</v>
      </c>
      <c r="Q1001" s="17">
        <v>0</v>
      </c>
      <c r="R1001" s="13"/>
      <c r="S1001" s="13"/>
      <c r="T1001" s="13"/>
      <c r="U1001" s="13"/>
      <c r="V1001" s="13"/>
      <c r="W1001" s="13"/>
    </row>
    <row r="1002" spans="1:23" x14ac:dyDescent="0.2">
      <c r="A1002"/>
      <c r="B1002"/>
      <c r="C1002"/>
      <c r="D1002"/>
      <c r="E1002"/>
      <c r="F1002"/>
      <c r="G1002"/>
      <c r="H1002"/>
      <c r="I1002"/>
      <c r="J1002"/>
      <c r="K1002" s="13" t="s">
        <v>74</v>
      </c>
      <c r="L1002" s="13" t="s">
        <v>448</v>
      </c>
      <c r="M1002" s="13" t="s">
        <v>366</v>
      </c>
      <c r="N1002" s="15">
        <v>0</v>
      </c>
      <c r="O1002" s="16">
        <v>0</v>
      </c>
      <c r="P1002" s="17">
        <v>218.14051362980891</v>
      </c>
      <c r="Q1002" s="17">
        <v>0</v>
      </c>
      <c r="R1002" s="13"/>
      <c r="S1002" s="13"/>
      <c r="T1002" s="13"/>
      <c r="U1002" s="13"/>
      <c r="V1002" s="13"/>
      <c r="W1002" s="13"/>
    </row>
    <row r="1003" spans="1:23" x14ac:dyDescent="0.2">
      <c r="A1003"/>
      <c r="B1003"/>
      <c r="C1003"/>
      <c r="D1003"/>
      <c r="E1003"/>
      <c r="F1003"/>
      <c r="G1003"/>
      <c r="H1003"/>
      <c r="I1003"/>
      <c r="J1003"/>
      <c r="K1003" s="13" t="s">
        <v>74</v>
      </c>
      <c r="L1003" s="13" t="s">
        <v>456</v>
      </c>
      <c r="M1003" s="13" t="s">
        <v>457</v>
      </c>
      <c r="N1003" s="15">
        <v>0</v>
      </c>
      <c r="O1003" s="16">
        <v>0</v>
      </c>
      <c r="P1003" s="17">
        <v>4028.5847846842698</v>
      </c>
      <c r="Q1003" s="17">
        <v>0</v>
      </c>
      <c r="R1003" s="13"/>
      <c r="S1003" s="13"/>
      <c r="T1003" s="13"/>
      <c r="U1003" s="13"/>
      <c r="V1003" s="13"/>
      <c r="W1003" s="13"/>
    </row>
    <row r="1004" spans="1:23" x14ac:dyDescent="0.2">
      <c r="A1004"/>
      <c r="B1004"/>
      <c r="C1004"/>
      <c r="D1004"/>
      <c r="E1004"/>
      <c r="F1004"/>
      <c r="G1004"/>
      <c r="H1004"/>
      <c r="I1004"/>
      <c r="J1004"/>
      <c r="K1004" s="13" t="s">
        <v>74</v>
      </c>
      <c r="L1004" s="13" t="s">
        <v>451</v>
      </c>
      <c r="M1004" s="13" t="s">
        <v>369</v>
      </c>
      <c r="N1004" s="15">
        <v>0</v>
      </c>
      <c r="O1004" s="16">
        <v>0</v>
      </c>
      <c r="P1004" s="17">
        <v>10197.058749846643</v>
      </c>
      <c r="Q1004" s="17">
        <v>0</v>
      </c>
      <c r="R1004" s="13"/>
      <c r="S1004" s="13"/>
      <c r="T1004" s="13"/>
      <c r="U1004" s="13"/>
      <c r="V1004" s="13"/>
      <c r="W1004" s="13"/>
    </row>
    <row r="1005" spans="1:23" x14ac:dyDescent="0.2">
      <c r="A1005"/>
      <c r="B1005"/>
      <c r="C1005"/>
      <c r="D1005"/>
      <c r="E1005"/>
      <c r="F1005"/>
      <c r="G1005"/>
      <c r="H1005"/>
      <c r="I1005"/>
      <c r="J1005"/>
      <c r="K1005" s="13" t="s">
        <v>74</v>
      </c>
      <c r="L1005" s="13" t="s">
        <v>381</v>
      </c>
      <c r="M1005" s="13" t="s">
        <v>382</v>
      </c>
      <c r="N1005" s="15">
        <v>9</v>
      </c>
      <c r="O1005" s="16">
        <v>0</v>
      </c>
      <c r="P1005" s="17">
        <v>0</v>
      </c>
      <c r="Q1005" s="17">
        <v>0</v>
      </c>
      <c r="R1005" s="13"/>
      <c r="S1005" s="13"/>
      <c r="T1005" s="13"/>
      <c r="U1005" s="13"/>
      <c r="V1005" s="13"/>
      <c r="W1005" s="13"/>
    </row>
    <row r="1006" spans="1:23" x14ac:dyDescent="0.2">
      <c r="A1006"/>
      <c r="B1006"/>
      <c r="C1006"/>
      <c r="D1006"/>
      <c r="E1006"/>
      <c r="F1006"/>
      <c r="G1006"/>
      <c r="H1006"/>
      <c r="I1006"/>
      <c r="J1006"/>
      <c r="K1006" s="13" t="s">
        <v>74</v>
      </c>
      <c r="L1006" s="13" t="s">
        <v>608</v>
      </c>
      <c r="M1006" s="13" t="s">
        <v>432</v>
      </c>
      <c r="N1006" s="15">
        <v>27</v>
      </c>
      <c r="O1006" s="16">
        <v>0</v>
      </c>
      <c r="P1006" s="17">
        <v>0</v>
      </c>
      <c r="Q1006" s="17">
        <v>0</v>
      </c>
      <c r="R1006" s="13"/>
      <c r="S1006" s="13"/>
      <c r="T1006" s="13"/>
      <c r="U1006" s="13"/>
      <c r="V1006" s="13"/>
      <c r="W1006" s="13"/>
    </row>
    <row r="1007" spans="1:23" x14ac:dyDescent="0.2">
      <c r="A1007"/>
      <c r="B1007"/>
      <c r="C1007"/>
      <c r="D1007"/>
      <c r="E1007"/>
      <c r="F1007"/>
      <c r="G1007"/>
      <c r="H1007"/>
      <c r="I1007"/>
      <c r="J1007"/>
      <c r="K1007" s="13" t="s">
        <v>74</v>
      </c>
      <c r="L1007" s="13" t="s">
        <v>421</v>
      </c>
      <c r="M1007" s="13" t="s">
        <v>443</v>
      </c>
      <c r="N1007" s="15">
        <v>2</v>
      </c>
      <c r="O1007" s="16">
        <v>0</v>
      </c>
      <c r="P1007" s="17">
        <v>0</v>
      </c>
      <c r="Q1007" s="17">
        <v>0</v>
      </c>
      <c r="R1007" s="13"/>
      <c r="S1007" s="13"/>
      <c r="T1007" s="13"/>
      <c r="U1007" s="13"/>
      <c r="V1007" s="13"/>
      <c r="W1007" s="13"/>
    </row>
    <row r="1008" spans="1:23" x14ac:dyDescent="0.2">
      <c r="A1008"/>
      <c r="B1008"/>
      <c r="C1008"/>
      <c r="D1008"/>
      <c r="E1008"/>
      <c r="F1008"/>
      <c r="G1008"/>
      <c r="H1008"/>
      <c r="I1008"/>
      <c r="J1008"/>
      <c r="K1008" s="13" t="s">
        <v>74</v>
      </c>
      <c r="L1008" s="13" t="s">
        <v>446</v>
      </c>
      <c r="M1008" s="13" t="s">
        <v>371</v>
      </c>
      <c r="N1008" s="15">
        <v>4</v>
      </c>
      <c r="O1008" s="16">
        <v>0</v>
      </c>
      <c r="P1008" s="17">
        <v>0</v>
      </c>
      <c r="Q1008" s="17">
        <v>0</v>
      </c>
      <c r="R1008" s="13"/>
      <c r="S1008" s="13"/>
      <c r="T1008" s="13"/>
      <c r="U1008" s="13"/>
      <c r="V1008" s="13"/>
      <c r="W1008" s="13"/>
    </row>
    <row r="1009" spans="1:23" x14ac:dyDescent="0.2">
      <c r="A1009"/>
      <c r="B1009"/>
      <c r="C1009"/>
      <c r="D1009"/>
      <c r="E1009"/>
      <c r="F1009"/>
      <c r="G1009"/>
      <c r="H1009"/>
      <c r="I1009"/>
      <c r="J1009"/>
      <c r="K1009" s="13" t="s">
        <v>75</v>
      </c>
      <c r="L1009" s="13" t="s">
        <v>477</v>
      </c>
      <c r="M1009" s="13" t="s">
        <v>510</v>
      </c>
      <c r="N1009" s="15">
        <v>0</v>
      </c>
      <c r="O1009" s="16">
        <v>0</v>
      </c>
      <c r="P1009" s="17">
        <v>124.44515001748121</v>
      </c>
      <c r="Q1009" s="17">
        <v>0</v>
      </c>
      <c r="R1009" s="13"/>
      <c r="S1009" s="13"/>
      <c r="T1009" s="13"/>
      <c r="U1009" s="13"/>
      <c r="V1009" s="13"/>
      <c r="W1009" s="13"/>
    </row>
    <row r="1010" spans="1:23" x14ac:dyDescent="0.2">
      <c r="A1010"/>
      <c r="B1010"/>
      <c r="C1010"/>
      <c r="D1010"/>
      <c r="E1010"/>
      <c r="F1010"/>
      <c r="G1010"/>
      <c r="H1010"/>
      <c r="I1010"/>
      <c r="J1010"/>
      <c r="K1010" s="13" t="s">
        <v>75</v>
      </c>
      <c r="L1010" s="13" t="s">
        <v>397</v>
      </c>
      <c r="M1010" s="13" t="s">
        <v>398</v>
      </c>
      <c r="N1010" s="15">
        <v>0</v>
      </c>
      <c r="O1010" s="16">
        <v>0</v>
      </c>
      <c r="P1010" s="17">
        <v>20.257050002166231</v>
      </c>
      <c r="Q1010" s="17">
        <v>0</v>
      </c>
      <c r="R1010" s="13"/>
      <c r="S1010" s="13"/>
      <c r="T1010" s="13"/>
      <c r="U1010" s="13"/>
      <c r="V1010" s="13"/>
      <c r="W1010" s="13"/>
    </row>
    <row r="1011" spans="1:23" x14ac:dyDescent="0.2">
      <c r="A1011"/>
      <c r="B1011"/>
      <c r="C1011"/>
      <c r="D1011"/>
      <c r="E1011"/>
      <c r="F1011"/>
      <c r="G1011"/>
      <c r="H1011"/>
      <c r="I1011"/>
      <c r="J1011"/>
      <c r="K1011" s="13" t="s">
        <v>75</v>
      </c>
      <c r="L1011" s="13" t="s">
        <v>399</v>
      </c>
      <c r="M1011" s="13" t="s">
        <v>400</v>
      </c>
      <c r="N1011" s="15">
        <v>0</v>
      </c>
      <c r="O1011" s="16">
        <v>0</v>
      </c>
      <c r="P1011" s="17">
        <v>229.59519991857468</v>
      </c>
      <c r="Q1011" s="17">
        <v>0</v>
      </c>
      <c r="R1011" s="13"/>
      <c r="S1011" s="13"/>
      <c r="T1011" s="13"/>
      <c r="U1011" s="13"/>
      <c r="V1011" s="13"/>
      <c r="W1011" s="13"/>
    </row>
    <row r="1012" spans="1:23" x14ac:dyDescent="0.2">
      <c r="A1012"/>
      <c r="B1012"/>
      <c r="C1012"/>
      <c r="D1012"/>
      <c r="E1012"/>
      <c r="F1012"/>
      <c r="G1012"/>
      <c r="H1012"/>
      <c r="I1012"/>
      <c r="J1012"/>
      <c r="K1012" s="13" t="s">
        <v>75</v>
      </c>
      <c r="L1012" s="13" t="s">
        <v>402</v>
      </c>
      <c r="M1012" s="13" t="s">
        <v>403</v>
      </c>
      <c r="N1012" s="15">
        <v>0</v>
      </c>
      <c r="O1012" s="16">
        <v>0</v>
      </c>
      <c r="P1012" s="17">
        <v>6852.6567999112467</v>
      </c>
      <c r="Q1012" s="17">
        <v>0</v>
      </c>
      <c r="R1012" s="13"/>
      <c r="S1012" s="13"/>
      <c r="T1012" s="13"/>
      <c r="U1012" s="13"/>
      <c r="V1012" s="13"/>
      <c r="W1012" s="13"/>
    </row>
    <row r="1013" spans="1:23" x14ac:dyDescent="0.2">
      <c r="A1013"/>
      <c r="B1013"/>
      <c r="C1013"/>
      <c r="D1013"/>
      <c r="E1013"/>
      <c r="F1013"/>
      <c r="G1013"/>
      <c r="H1013"/>
      <c r="I1013"/>
      <c r="J1013"/>
      <c r="K1013" s="13" t="s">
        <v>75</v>
      </c>
      <c r="L1013" s="13" t="s">
        <v>451</v>
      </c>
      <c r="M1013" s="13" t="s">
        <v>369</v>
      </c>
      <c r="N1013" s="15">
        <v>0</v>
      </c>
      <c r="O1013" s="16">
        <v>0</v>
      </c>
      <c r="P1013" s="17">
        <v>7226.9541998494697</v>
      </c>
      <c r="Q1013" s="17">
        <v>0</v>
      </c>
      <c r="R1013" s="13"/>
      <c r="S1013" s="13"/>
      <c r="T1013" s="13"/>
      <c r="U1013" s="13"/>
      <c r="V1013" s="13"/>
      <c r="W1013" s="13"/>
    </row>
    <row r="1014" spans="1:23" x14ac:dyDescent="0.2">
      <c r="A1014"/>
      <c r="B1014"/>
      <c r="C1014"/>
      <c r="D1014"/>
      <c r="E1014"/>
      <c r="F1014"/>
      <c r="G1014"/>
      <c r="H1014"/>
      <c r="I1014"/>
      <c r="J1014"/>
      <c r="K1014" s="13" t="s">
        <v>75</v>
      </c>
      <c r="L1014" s="13" t="s">
        <v>381</v>
      </c>
      <c r="M1014" s="13" t="s">
        <v>382</v>
      </c>
      <c r="N1014" s="15">
        <v>4</v>
      </c>
      <c r="O1014" s="16">
        <v>0</v>
      </c>
      <c r="P1014" s="17">
        <v>0</v>
      </c>
      <c r="Q1014" s="17">
        <v>0</v>
      </c>
      <c r="R1014" s="13"/>
      <c r="S1014" s="13"/>
      <c r="T1014" s="13"/>
      <c r="U1014" s="13"/>
      <c r="V1014" s="13"/>
      <c r="W1014" s="13"/>
    </row>
    <row r="1015" spans="1:23" x14ac:dyDescent="0.2">
      <c r="A1015"/>
      <c r="B1015"/>
      <c r="C1015"/>
      <c r="D1015"/>
      <c r="E1015"/>
      <c r="F1015"/>
      <c r="G1015"/>
      <c r="H1015"/>
      <c r="I1015"/>
      <c r="J1015"/>
      <c r="K1015" s="13" t="s">
        <v>75</v>
      </c>
      <c r="L1015" s="13" t="s">
        <v>421</v>
      </c>
      <c r="M1015" s="13" t="s">
        <v>443</v>
      </c>
      <c r="N1015" s="15">
        <v>1</v>
      </c>
      <c r="O1015" s="16">
        <v>0</v>
      </c>
      <c r="P1015" s="17">
        <v>0</v>
      </c>
      <c r="Q1015" s="17">
        <v>0</v>
      </c>
      <c r="R1015" s="13"/>
      <c r="S1015" s="13"/>
      <c r="T1015" s="13"/>
      <c r="U1015" s="13"/>
      <c r="V1015" s="13"/>
      <c r="W1015" s="13"/>
    </row>
    <row r="1016" spans="1:23" x14ac:dyDescent="0.2">
      <c r="A1016"/>
      <c r="B1016"/>
      <c r="C1016"/>
      <c r="D1016"/>
      <c r="E1016"/>
      <c r="F1016"/>
      <c r="G1016"/>
      <c r="H1016"/>
      <c r="I1016"/>
      <c r="J1016"/>
      <c r="K1016" s="13" t="s">
        <v>75</v>
      </c>
      <c r="L1016" s="13" t="s">
        <v>383</v>
      </c>
      <c r="M1016" s="13" t="s">
        <v>420</v>
      </c>
      <c r="N1016" s="15">
        <v>4</v>
      </c>
      <c r="O1016" s="16">
        <v>0</v>
      </c>
      <c r="P1016" s="17">
        <v>0</v>
      </c>
      <c r="Q1016" s="17">
        <v>0</v>
      </c>
      <c r="R1016" s="13"/>
      <c r="S1016" s="13"/>
      <c r="T1016" s="13"/>
      <c r="U1016" s="13"/>
      <c r="V1016" s="13"/>
      <c r="W1016" s="13"/>
    </row>
    <row r="1017" spans="1:23" x14ac:dyDescent="0.2">
      <c r="A1017"/>
      <c r="B1017"/>
      <c r="C1017"/>
      <c r="D1017"/>
      <c r="E1017"/>
      <c r="F1017"/>
      <c r="G1017"/>
      <c r="H1017"/>
      <c r="I1017"/>
      <c r="J1017"/>
      <c r="K1017" s="13" t="s">
        <v>75</v>
      </c>
      <c r="L1017" s="13" t="s">
        <v>613</v>
      </c>
      <c r="M1017" s="13" t="s">
        <v>444</v>
      </c>
      <c r="N1017" s="15">
        <v>0</v>
      </c>
      <c r="O1017" s="16">
        <v>61.641998353700551</v>
      </c>
      <c r="P1017" s="17">
        <v>0</v>
      </c>
      <c r="Q1017" s="17">
        <v>0</v>
      </c>
      <c r="R1017" s="13"/>
      <c r="S1017" s="13"/>
      <c r="T1017" s="13"/>
      <c r="U1017" s="13"/>
      <c r="V1017" s="13"/>
      <c r="W1017" s="13"/>
    </row>
    <row r="1018" spans="1:23" x14ac:dyDescent="0.2">
      <c r="A1018"/>
      <c r="B1018"/>
      <c r="C1018"/>
      <c r="D1018"/>
      <c r="E1018"/>
      <c r="F1018"/>
      <c r="G1018"/>
      <c r="H1018"/>
      <c r="I1018"/>
      <c r="J1018"/>
      <c r="K1018" s="13" t="s">
        <v>75</v>
      </c>
      <c r="L1018" s="13" t="s">
        <v>446</v>
      </c>
      <c r="M1018" s="13" t="s">
        <v>371</v>
      </c>
      <c r="N1018" s="15">
        <v>2</v>
      </c>
      <c r="O1018" s="16">
        <v>0</v>
      </c>
      <c r="P1018" s="17">
        <v>0</v>
      </c>
      <c r="Q1018" s="17">
        <v>0</v>
      </c>
      <c r="R1018" s="13"/>
      <c r="S1018" s="13"/>
      <c r="T1018" s="13"/>
      <c r="U1018" s="13"/>
      <c r="V1018" s="13"/>
      <c r="W1018" s="13"/>
    </row>
    <row r="1019" spans="1:23" x14ac:dyDescent="0.2">
      <c r="A1019"/>
      <c r="B1019"/>
      <c r="C1019"/>
      <c r="D1019"/>
      <c r="E1019"/>
      <c r="F1019"/>
      <c r="G1019"/>
      <c r="H1019"/>
      <c r="I1019"/>
      <c r="J1019"/>
      <c r="K1019" s="13" t="s">
        <v>76</v>
      </c>
      <c r="L1019" s="13" t="s">
        <v>435</v>
      </c>
      <c r="M1019" s="13" t="s">
        <v>364</v>
      </c>
      <c r="N1019" s="15">
        <v>2</v>
      </c>
      <c r="O1019" s="16">
        <v>0</v>
      </c>
      <c r="P1019" s="17">
        <v>0</v>
      </c>
      <c r="Q1019" s="17">
        <v>0</v>
      </c>
      <c r="R1019" s="13"/>
      <c r="S1019" s="13"/>
      <c r="T1019" s="13"/>
      <c r="U1019" s="13"/>
      <c r="V1019" s="13"/>
      <c r="W1019" s="13"/>
    </row>
    <row r="1020" spans="1:23" x14ac:dyDescent="0.2">
      <c r="A1020"/>
      <c r="B1020"/>
      <c r="C1020"/>
      <c r="D1020"/>
      <c r="E1020"/>
      <c r="F1020"/>
      <c r="G1020"/>
      <c r="H1020"/>
      <c r="I1020"/>
      <c r="J1020"/>
      <c r="K1020" s="13" t="s">
        <v>76</v>
      </c>
      <c r="L1020" s="13" t="s">
        <v>402</v>
      </c>
      <c r="M1020" s="13" t="s">
        <v>403</v>
      </c>
      <c r="N1020" s="15">
        <v>0</v>
      </c>
      <c r="O1020" s="16">
        <v>0</v>
      </c>
      <c r="P1020" s="17">
        <v>1675.2530999811652</v>
      </c>
      <c r="Q1020" s="17">
        <v>0</v>
      </c>
      <c r="R1020" s="13"/>
      <c r="S1020" s="13"/>
      <c r="T1020" s="13"/>
      <c r="U1020" s="13"/>
      <c r="V1020" s="13"/>
      <c r="W1020" s="13"/>
    </row>
    <row r="1021" spans="1:23" x14ac:dyDescent="0.2">
      <c r="A1021"/>
      <c r="B1021"/>
      <c r="C1021"/>
      <c r="D1021"/>
      <c r="E1021"/>
      <c r="F1021"/>
      <c r="G1021"/>
      <c r="H1021"/>
      <c r="I1021"/>
      <c r="J1021"/>
      <c r="K1021" s="13" t="s">
        <v>76</v>
      </c>
      <c r="L1021" s="13" t="s">
        <v>448</v>
      </c>
      <c r="M1021" s="13" t="s">
        <v>366</v>
      </c>
      <c r="N1021" s="15">
        <v>0</v>
      </c>
      <c r="O1021" s="16">
        <v>0</v>
      </c>
      <c r="P1021" s="17">
        <v>157.16874996809378</v>
      </c>
      <c r="Q1021" s="17">
        <v>0</v>
      </c>
      <c r="R1021" s="13"/>
      <c r="S1021" s="13"/>
      <c r="T1021" s="13"/>
      <c r="U1021" s="13"/>
      <c r="V1021" s="13"/>
      <c r="W1021" s="13"/>
    </row>
    <row r="1022" spans="1:23" x14ac:dyDescent="0.2">
      <c r="A1022"/>
      <c r="B1022"/>
      <c r="C1022"/>
      <c r="D1022"/>
      <c r="E1022"/>
      <c r="F1022"/>
      <c r="G1022"/>
      <c r="H1022"/>
      <c r="I1022"/>
      <c r="J1022"/>
      <c r="K1022" s="13" t="s">
        <v>76</v>
      </c>
      <c r="L1022" s="13" t="s">
        <v>404</v>
      </c>
      <c r="M1022" s="13" t="s">
        <v>405</v>
      </c>
      <c r="N1022" s="15">
        <v>0</v>
      </c>
      <c r="O1022" s="16">
        <v>0</v>
      </c>
      <c r="P1022" s="17">
        <v>277.09714998635121</v>
      </c>
      <c r="Q1022" s="17">
        <v>735.06465203135417</v>
      </c>
      <c r="R1022" s="13"/>
      <c r="S1022" s="13"/>
      <c r="T1022" s="13"/>
      <c r="U1022" s="13"/>
      <c r="V1022" s="13"/>
      <c r="W1022" s="13"/>
    </row>
    <row r="1023" spans="1:23" x14ac:dyDescent="0.2">
      <c r="A1023"/>
      <c r="B1023"/>
      <c r="C1023"/>
      <c r="D1023"/>
      <c r="E1023"/>
      <c r="F1023"/>
      <c r="G1023"/>
      <c r="H1023"/>
      <c r="I1023"/>
      <c r="J1023"/>
      <c r="K1023" s="13" t="s">
        <v>76</v>
      </c>
      <c r="L1023" s="13" t="s">
        <v>451</v>
      </c>
      <c r="M1023" s="13" t="s">
        <v>369</v>
      </c>
      <c r="N1023" s="15">
        <v>0</v>
      </c>
      <c r="O1023" s="16">
        <v>0</v>
      </c>
      <c r="P1023" s="17">
        <v>2109.5189999356103</v>
      </c>
      <c r="Q1023" s="17">
        <v>0</v>
      </c>
      <c r="R1023" s="13"/>
      <c r="S1023" s="13"/>
      <c r="T1023" s="13"/>
      <c r="U1023" s="13"/>
      <c r="V1023" s="13"/>
      <c r="W1023" s="13"/>
    </row>
    <row r="1024" spans="1:23" x14ac:dyDescent="0.2">
      <c r="A1024"/>
      <c r="B1024"/>
      <c r="C1024"/>
      <c r="D1024"/>
      <c r="E1024"/>
      <c r="F1024"/>
      <c r="G1024"/>
      <c r="H1024"/>
      <c r="I1024"/>
      <c r="J1024"/>
      <c r="K1024" s="13" t="s">
        <v>76</v>
      </c>
      <c r="L1024" s="13" t="s">
        <v>381</v>
      </c>
      <c r="M1024" s="13" t="s">
        <v>382</v>
      </c>
      <c r="N1024" s="15">
        <v>2</v>
      </c>
      <c r="O1024" s="16">
        <v>0</v>
      </c>
      <c r="P1024" s="17">
        <v>0</v>
      </c>
      <c r="Q1024" s="17">
        <v>0</v>
      </c>
      <c r="R1024" s="13"/>
      <c r="S1024" s="13"/>
      <c r="T1024" s="13"/>
      <c r="U1024" s="13"/>
      <c r="V1024" s="13"/>
      <c r="W1024" s="13"/>
    </row>
    <row r="1025" spans="1:23" x14ac:dyDescent="0.2">
      <c r="A1025"/>
      <c r="B1025"/>
      <c r="C1025"/>
      <c r="D1025"/>
      <c r="E1025"/>
      <c r="F1025"/>
      <c r="G1025"/>
      <c r="H1025"/>
      <c r="I1025"/>
      <c r="J1025"/>
      <c r="K1025" s="13" t="s">
        <v>76</v>
      </c>
      <c r="L1025" s="13" t="s">
        <v>608</v>
      </c>
      <c r="M1025" s="13" t="s">
        <v>432</v>
      </c>
      <c r="N1025" s="15">
        <v>3</v>
      </c>
      <c r="O1025" s="16">
        <v>0</v>
      </c>
      <c r="P1025" s="17">
        <v>0</v>
      </c>
      <c r="Q1025" s="17">
        <v>0</v>
      </c>
      <c r="R1025" s="13"/>
      <c r="S1025" s="13"/>
      <c r="T1025" s="13"/>
      <c r="U1025" s="13"/>
      <c r="V1025" s="13"/>
      <c r="W1025" s="13"/>
    </row>
    <row r="1026" spans="1:23" x14ac:dyDescent="0.2">
      <c r="A1026"/>
      <c r="B1026"/>
      <c r="C1026"/>
      <c r="D1026"/>
      <c r="E1026"/>
      <c r="F1026"/>
      <c r="G1026"/>
      <c r="H1026"/>
      <c r="I1026"/>
      <c r="J1026"/>
      <c r="K1026" s="13" t="s">
        <v>76</v>
      </c>
      <c r="L1026" s="13" t="s">
        <v>383</v>
      </c>
      <c r="M1026" s="13" t="s">
        <v>420</v>
      </c>
      <c r="N1026" s="15">
        <v>2</v>
      </c>
      <c r="O1026" s="16">
        <v>0</v>
      </c>
      <c r="P1026" s="17">
        <v>0</v>
      </c>
      <c r="Q1026" s="17">
        <v>0</v>
      </c>
      <c r="R1026" s="13"/>
      <c r="S1026" s="13"/>
      <c r="T1026" s="13"/>
      <c r="U1026" s="13"/>
      <c r="V1026" s="13"/>
      <c r="W1026" s="13"/>
    </row>
    <row r="1027" spans="1:23" x14ac:dyDescent="0.2">
      <c r="A1027"/>
      <c r="B1027"/>
      <c r="C1027"/>
      <c r="D1027"/>
      <c r="E1027"/>
      <c r="F1027"/>
      <c r="G1027"/>
      <c r="H1027"/>
      <c r="I1027"/>
      <c r="J1027"/>
      <c r="K1027" s="13" t="s">
        <v>76</v>
      </c>
      <c r="L1027" s="13" t="s">
        <v>467</v>
      </c>
      <c r="M1027" s="13" t="s">
        <v>422</v>
      </c>
      <c r="N1027" s="15">
        <v>0</v>
      </c>
      <c r="O1027" s="16">
        <v>12.276909218430085</v>
      </c>
      <c r="P1027" s="17">
        <v>0</v>
      </c>
      <c r="Q1027" s="17">
        <v>0</v>
      </c>
      <c r="R1027" s="13"/>
      <c r="S1027" s="13"/>
      <c r="T1027" s="13"/>
      <c r="U1027" s="13"/>
      <c r="V1027" s="13"/>
      <c r="W1027" s="13"/>
    </row>
    <row r="1028" spans="1:23" x14ac:dyDescent="0.2">
      <c r="A1028"/>
      <c r="B1028"/>
      <c r="C1028"/>
      <c r="D1028"/>
      <c r="E1028"/>
      <c r="F1028"/>
      <c r="G1028"/>
      <c r="H1028"/>
      <c r="I1028"/>
      <c r="J1028"/>
      <c r="K1028" s="13" t="s">
        <v>76</v>
      </c>
      <c r="L1028" s="13" t="s">
        <v>446</v>
      </c>
      <c r="M1028" s="13" t="s">
        <v>371</v>
      </c>
      <c r="N1028" s="15">
        <v>2</v>
      </c>
      <c r="O1028" s="16">
        <v>0</v>
      </c>
      <c r="P1028" s="17">
        <v>0</v>
      </c>
      <c r="Q1028" s="17">
        <v>0</v>
      </c>
      <c r="R1028" s="13"/>
      <c r="S1028" s="13"/>
      <c r="T1028" s="13"/>
      <c r="U1028" s="13"/>
      <c r="V1028" s="13"/>
      <c r="W1028" s="13"/>
    </row>
    <row r="1029" spans="1:23" x14ac:dyDescent="0.2">
      <c r="A1029"/>
      <c r="B1029"/>
      <c r="C1029"/>
      <c r="D1029"/>
      <c r="E1029"/>
      <c r="F1029"/>
      <c r="G1029"/>
      <c r="H1029"/>
      <c r="I1029"/>
      <c r="J1029"/>
      <c r="K1029" s="13" t="s">
        <v>77</v>
      </c>
      <c r="L1029" s="13" t="s">
        <v>402</v>
      </c>
      <c r="M1029" s="13" t="s">
        <v>403</v>
      </c>
      <c r="N1029" s="15">
        <v>0</v>
      </c>
      <c r="O1029" s="16">
        <v>0</v>
      </c>
      <c r="P1029" s="17">
        <v>529.02675000521094</v>
      </c>
      <c r="Q1029" s="17">
        <v>0</v>
      </c>
      <c r="R1029" s="13"/>
      <c r="S1029" s="13"/>
      <c r="T1029" s="13"/>
      <c r="U1029" s="13"/>
      <c r="V1029" s="13"/>
      <c r="W1029" s="13"/>
    </row>
    <row r="1030" spans="1:23" x14ac:dyDescent="0.2">
      <c r="A1030"/>
      <c r="B1030"/>
      <c r="C1030"/>
      <c r="D1030"/>
      <c r="E1030"/>
      <c r="F1030"/>
      <c r="G1030"/>
      <c r="H1030"/>
      <c r="I1030"/>
      <c r="J1030"/>
      <c r="K1030" s="13" t="s">
        <v>77</v>
      </c>
      <c r="L1030" s="13" t="s">
        <v>451</v>
      </c>
      <c r="M1030" s="13" t="s">
        <v>369</v>
      </c>
      <c r="N1030" s="15">
        <v>0</v>
      </c>
      <c r="O1030" s="16">
        <v>0</v>
      </c>
      <c r="P1030" s="17">
        <v>529.02675000521094</v>
      </c>
      <c r="Q1030" s="17">
        <v>0</v>
      </c>
      <c r="R1030" s="13"/>
      <c r="S1030" s="13"/>
      <c r="T1030" s="13"/>
      <c r="U1030" s="13"/>
      <c r="V1030" s="13"/>
      <c r="W1030" s="13"/>
    </row>
    <row r="1031" spans="1:23" x14ac:dyDescent="0.2">
      <c r="A1031"/>
      <c r="B1031"/>
      <c r="C1031"/>
      <c r="D1031"/>
      <c r="E1031"/>
      <c r="F1031"/>
      <c r="G1031"/>
      <c r="H1031"/>
      <c r="I1031"/>
      <c r="J1031"/>
      <c r="K1031" s="13" t="s">
        <v>77</v>
      </c>
      <c r="L1031" s="13" t="s">
        <v>381</v>
      </c>
      <c r="M1031" s="13" t="s">
        <v>382</v>
      </c>
      <c r="N1031" s="15">
        <v>6</v>
      </c>
      <c r="O1031" s="16">
        <v>0</v>
      </c>
      <c r="P1031" s="17">
        <v>0</v>
      </c>
      <c r="Q1031" s="17">
        <v>0</v>
      </c>
      <c r="R1031" s="13"/>
      <c r="S1031" s="13"/>
      <c r="T1031" s="13"/>
      <c r="U1031" s="13"/>
      <c r="V1031" s="13"/>
      <c r="W1031" s="13"/>
    </row>
    <row r="1032" spans="1:23" x14ac:dyDescent="0.2">
      <c r="A1032"/>
      <c r="B1032"/>
      <c r="C1032"/>
      <c r="D1032"/>
      <c r="E1032"/>
      <c r="F1032"/>
      <c r="G1032"/>
      <c r="H1032"/>
      <c r="I1032"/>
      <c r="J1032"/>
      <c r="K1032" s="13" t="s">
        <v>77</v>
      </c>
      <c r="L1032" s="13" t="s">
        <v>606</v>
      </c>
      <c r="M1032" s="13" t="s">
        <v>430</v>
      </c>
      <c r="N1032" s="15">
        <v>1</v>
      </c>
      <c r="O1032" s="16">
        <v>0</v>
      </c>
      <c r="P1032" s="17">
        <v>0</v>
      </c>
      <c r="Q1032" s="17">
        <v>0</v>
      </c>
      <c r="R1032" s="13"/>
      <c r="S1032" s="13"/>
      <c r="T1032" s="13"/>
      <c r="U1032" s="13"/>
      <c r="V1032" s="13"/>
      <c r="W1032" s="13"/>
    </row>
    <row r="1033" spans="1:23" x14ac:dyDescent="0.2">
      <c r="A1033"/>
      <c r="B1033"/>
      <c r="C1033"/>
      <c r="D1033"/>
      <c r="E1033"/>
      <c r="F1033"/>
      <c r="G1033"/>
      <c r="H1033"/>
      <c r="I1033"/>
      <c r="J1033"/>
      <c r="K1033" s="13" t="s">
        <v>78</v>
      </c>
      <c r="L1033" s="13" t="s">
        <v>389</v>
      </c>
      <c r="M1033" s="13" t="s">
        <v>388</v>
      </c>
      <c r="N1033" s="15">
        <v>0</v>
      </c>
      <c r="O1033" s="16">
        <v>0</v>
      </c>
      <c r="P1033" s="17">
        <v>10.645850002071448</v>
      </c>
      <c r="Q1033" s="17">
        <v>0</v>
      </c>
      <c r="R1033" s="13"/>
      <c r="S1033" s="13"/>
      <c r="T1033" s="13"/>
      <c r="U1033" s="13"/>
      <c r="V1033" s="13"/>
      <c r="W1033" s="13"/>
    </row>
    <row r="1034" spans="1:23" x14ac:dyDescent="0.2">
      <c r="A1034"/>
      <c r="B1034"/>
      <c r="C1034"/>
      <c r="D1034"/>
      <c r="E1034"/>
      <c r="F1034"/>
      <c r="G1034"/>
      <c r="H1034"/>
      <c r="I1034"/>
      <c r="J1034"/>
      <c r="K1034" s="13" t="s">
        <v>78</v>
      </c>
      <c r="L1034" s="13" t="s">
        <v>391</v>
      </c>
      <c r="M1034" s="13" t="s">
        <v>358</v>
      </c>
      <c r="N1034" s="15">
        <v>0</v>
      </c>
      <c r="O1034" s="16">
        <v>0</v>
      </c>
      <c r="P1034" s="17">
        <v>347.64529999319774</v>
      </c>
      <c r="Q1034" s="17">
        <v>0</v>
      </c>
      <c r="R1034" s="13"/>
      <c r="S1034" s="13"/>
      <c r="T1034" s="13"/>
      <c r="U1034" s="13"/>
      <c r="V1034" s="13"/>
      <c r="W1034" s="13"/>
    </row>
    <row r="1035" spans="1:23" x14ac:dyDescent="0.2">
      <c r="A1035"/>
      <c r="B1035"/>
      <c r="C1035"/>
      <c r="D1035"/>
      <c r="E1035"/>
      <c r="F1035"/>
      <c r="G1035"/>
      <c r="H1035"/>
      <c r="I1035"/>
      <c r="J1035"/>
      <c r="K1035" s="13" t="s">
        <v>78</v>
      </c>
      <c r="L1035" s="13" t="s">
        <v>440</v>
      </c>
      <c r="M1035" s="13" t="s">
        <v>441</v>
      </c>
      <c r="N1035" s="15">
        <v>5</v>
      </c>
      <c r="O1035" s="16">
        <v>0</v>
      </c>
      <c r="P1035" s="17">
        <v>0</v>
      </c>
      <c r="Q1035" s="17">
        <v>0</v>
      </c>
      <c r="R1035" s="13"/>
      <c r="S1035" s="13"/>
      <c r="T1035" s="13"/>
      <c r="U1035" s="13"/>
      <c r="V1035" s="13"/>
      <c r="W1035" s="13"/>
    </row>
    <row r="1036" spans="1:23" x14ac:dyDescent="0.2">
      <c r="A1036"/>
      <c r="B1036"/>
      <c r="C1036"/>
      <c r="D1036"/>
      <c r="E1036"/>
      <c r="F1036"/>
      <c r="G1036"/>
      <c r="H1036"/>
      <c r="I1036"/>
      <c r="J1036"/>
      <c r="K1036" s="13" t="s">
        <v>78</v>
      </c>
      <c r="L1036" s="13" t="s">
        <v>402</v>
      </c>
      <c r="M1036" s="13" t="s">
        <v>403</v>
      </c>
      <c r="N1036" s="15">
        <v>0</v>
      </c>
      <c r="O1036" s="16">
        <v>0</v>
      </c>
      <c r="P1036" s="17">
        <v>1126.2960000197331</v>
      </c>
      <c r="Q1036" s="17">
        <v>0</v>
      </c>
      <c r="R1036" s="13"/>
      <c r="S1036" s="13"/>
      <c r="T1036" s="13"/>
      <c r="U1036" s="13"/>
      <c r="V1036" s="13"/>
      <c r="W1036" s="13"/>
    </row>
    <row r="1037" spans="1:23" x14ac:dyDescent="0.2">
      <c r="A1037"/>
      <c r="B1037"/>
      <c r="C1037"/>
      <c r="D1037"/>
      <c r="E1037"/>
      <c r="F1037"/>
      <c r="G1037"/>
      <c r="H1037"/>
      <c r="I1037"/>
      <c r="J1037"/>
      <c r="K1037" s="13" t="s">
        <v>78</v>
      </c>
      <c r="L1037" s="13" t="s">
        <v>451</v>
      </c>
      <c r="M1037" s="13" t="s">
        <v>369</v>
      </c>
      <c r="N1037" s="15">
        <v>0</v>
      </c>
      <c r="O1037" s="16">
        <v>0</v>
      </c>
      <c r="P1037" s="17">
        <v>1484.5871500150024</v>
      </c>
      <c r="Q1037" s="17">
        <v>0</v>
      </c>
      <c r="R1037" s="13"/>
      <c r="S1037" s="13"/>
      <c r="T1037" s="13"/>
      <c r="U1037" s="13"/>
      <c r="V1037" s="13"/>
      <c r="W1037" s="13"/>
    </row>
    <row r="1038" spans="1:23" x14ac:dyDescent="0.2">
      <c r="A1038"/>
      <c r="B1038"/>
      <c r="C1038"/>
      <c r="D1038"/>
      <c r="E1038"/>
      <c r="F1038"/>
      <c r="G1038"/>
      <c r="H1038"/>
      <c r="I1038"/>
      <c r="J1038"/>
      <c r="K1038" s="13" t="s">
        <v>78</v>
      </c>
      <c r="L1038" s="13" t="s">
        <v>381</v>
      </c>
      <c r="M1038" s="13" t="s">
        <v>382</v>
      </c>
      <c r="N1038" s="15">
        <v>1</v>
      </c>
      <c r="O1038" s="16">
        <v>0</v>
      </c>
      <c r="P1038" s="17">
        <v>0</v>
      </c>
      <c r="Q1038" s="17">
        <v>0</v>
      </c>
      <c r="R1038" s="13"/>
      <c r="S1038" s="13"/>
      <c r="T1038" s="13"/>
      <c r="U1038" s="13"/>
      <c r="V1038" s="13"/>
      <c r="W1038" s="13"/>
    </row>
    <row r="1039" spans="1:23" x14ac:dyDescent="0.2">
      <c r="A1039"/>
      <c r="B1039"/>
      <c r="C1039"/>
      <c r="D1039"/>
      <c r="E1039"/>
      <c r="F1039"/>
      <c r="G1039"/>
      <c r="H1039"/>
      <c r="I1039"/>
      <c r="J1039"/>
      <c r="K1039" s="13" t="s">
        <v>78</v>
      </c>
      <c r="L1039" s="13" t="s">
        <v>411</v>
      </c>
      <c r="M1039" s="13" t="s">
        <v>362</v>
      </c>
      <c r="N1039" s="15">
        <v>1</v>
      </c>
      <c r="O1039" s="16">
        <v>0</v>
      </c>
      <c r="P1039" s="17">
        <v>0</v>
      </c>
      <c r="Q1039" s="17">
        <v>0</v>
      </c>
      <c r="R1039" s="13"/>
      <c r="S1039" s="13"/>
      <c r="T1039" s="13"/>
      <c r="U1039" s="13"/>
      <c r="V1039" s="13"/>
      <c r="W1039" s="13"/>
    </row>
    <row r="1040" spans="1:23" x14ac:dyDescent="0.2">
      <c r="A1040"/>
      <c r="B1040"/>
      <c r="C1040"/>
      <c r="D1040"/>
      <c r="E1040"/>
      <c r="F1040"/>
      <c r="G1040"/>
      <c r="H1040"/>
      <c r="I1040"/>
      <c r="J1040"/>
      <c r="K1040" s="13" t="s">
        <v>78</v>
      </c>
      <c r="L1040" s="13" t="s">
        <v>615</v>
      </c>
      <c r="M1040" s="13" t="s">
        <v>449</v>
      </c>
      <c r="N1040" s="15">
        <v>1</v>
      </c>
      <c r="O1040" s="16">
        <v>0</v>
      </c>
      <c r="P1040" s="17">
        <v>0</v>
      </c>
      <c r="Q1040" s="17">
        <v>0</v>
      </c>
      <c r="R1040" s="13"/>
      <c r="S1040" s="13"/>
      <c r="T1040" s="13"/>
      <c r="U1040" s="13"/>
      <c r="V1040" s="13"/>
      <c r="W1040" s="13"/>
    </row>
    <row r="1041" spans="1:23" x14ac:dyDescent="0.2">
      <c r="A1041"/>
      <c r="B1041"/>
      <c r="C1041"/>
      <c r="D1041"/>
      <c r="E1041"/>
      <c r="F1041"/>
      <c r="G1041"/>
      <c r="H1041"/>
      <c r="I1041"/>
      <c r="J1041"/>
      <c r="K1041" s="13" t="s">
        <v>78</v>
      </c>
      <c r="L1041" s="13" t="s">
        <v>421</v>
      </c>
      <c r="M1041" s="13" t="s">
        <v>443</v>
      </c>
      <c r="N1041" s="15">
        <v>2</v>
      </c>
      <c r="O1041" s="16">
        <v>0</v>
      </c>
      <c r="P1041" s="17">
        <v>0</v>
      </c>
      <c r="Q1041" s="17">
        <v>0</v>
      </c>
      <c r="R1041" s="13"/>
      <c r="S1041" s="13"/>
      <c r="T1041" s="13"/>
      <c r="U1041" s="13"/>
      <c r="V1041" s="13"/>
      <c r="W1041" s="13"/>
    </row>
    <row r="1042" spans="1:23" x14ac:dyDescent="0.2">
      <c r="A1042"/>
      <c r="B1042"/>
      <c r="C1042"/>
      <c r="D1042"/>
      <c r="E1042"/>
      <c r="F1042"/>
      <c r="G1042"/>
      <c r="H1042"/>
      <c r="I1042"/>
      <c r="J1042"/>
      <c r="K1042" s="13" t="s">
        <v>78</v>
      </c>
      <c r="L1042" s="13" t="s">
        <v>446</v>
      </c>
      <c r="M1042" s="13" t="s">
        <v>371</v>
      </c>
      <c r="N1042" s="15">
        <v>2</v>
      </c>
      <c r="O1042" s="16">
        <v>0</v>
      </c>
      <c r="P1042" s="17">
        <v>0</v>
      </c>
      <c r="Q1042" s="17">
        <v>0</v>
      </c>
      <c r="R1042" s="13"/>
      <c r="S1042" s="13"/>
      <c r="T1042" s="13"/>
      <c r="U1042" s="13"/>
      <c r="V1042" s="13"/>
      <c r="W1042" s="13"/>
    </row>
    <row r="1043" spans="1:23" x14ac:dyDescent="0.2">
      <c r="A1043"/>
      <c r="B1043"/>
      <c r="C1043"/>
      <c r="D1043"/>
      <c r="E1043"/>
      <c r="F1043"/>
      <c r="G1043"/>
      <c r="H1043"/>
      <c r="I1043"/>
      <c r="J1043"/>
      <c r="K1043" s="13" t="s">
        <v>79</v>
      </c>
      <c r="L1043" s="13" t="s">
        <v>387</v>
      </c>
      <c r="M1043" s="13" t="s">
        <v>386</v>
      </c>
      <c r="N1043" s="15">
        <v>0</v>
      </c>
      <c r="O1043" s="16">
        <v>0</v>
      </c>
      <c r="P1043" s="17">
        <v>1380.0948499383765</v>
      </c>
      <c r="Q1043" s="17">
        <v>0</v>
      </c>
      <c r="R1043" s="13"/>
      <c r="S1043" s="13"/>
      <c r="T1043" s="13"/>
      <c r="U1043" s="13"/>
      <c r="V1043" s="13"/>
      <c r="W1043" s="13"/>
    </row>
    <row r="1044" spans="1:23" x14ac:dyDescent="0.2">
      <c r="A1044"/>
      <c r="B1044"/>
      <c r="C1044"/>
      <c r="D1044"/>
      <c r="E1044"/>
      <c r="F1044"/>
      <c r="G1044"/>
      <c r="H1044"/>
      <c r="I1044"/>
      <c r="J1044"/>
      <c r="K1044" s="13" t="s">
        <v>79</v>
      </c>
      <c r="L1044" s="13" t="s">
        <v>401</v>
      </c>
      <c r="M1044" s="13" t="s">
        <v>360</v>
      </c>
      <c r="N1044" s="15">
        <v>0</v>
      </c>
      <c r="O1044" s="16">
        <v>0</v>
      </c>
      <c r="P1044" s="17">
        <v>1471.171550001347</v>
      </c>
      <c r="Q1044" s="17">
        <v>0</v>
      </c>
      <c r="R1044" s="13"/>
      <c r="S1044" s="13"/>
      <c r="T1044" s="13"/>
      <c r="U1044" s="13"/>
      <c r="V1044" s="13"/>
      <c r="W1044" s="13"/>
    </row>
    <row r="1045" spans="1:23" x14ac:dyDescent="0.2">
      <c r="A1045"/>
      <c r="B1045"/>
      <c r="C1045"/>
      <c r="D1045"/>
      <c r="E1045"/>
      <c r="F1045"/>
      <c r="G1045"/>
      <c r="H1045"/>
      <c r="I1045"/>
      <c r="J1045"/>
      <c r="K1045" s="13" t="s">
        <v>79</v>
      </c>
      <c r="L1045" s="13" t="s">
        <v>448</v>
      </c>
      <c r="M1045" s="13" t="s">
        <v>366</v>
      </c>
      <c r="N1045" s="15">
        <v>0</v>
      </c>
      <c r="O1045" s="16">
        <v>0</v>
      </c>
      <c r="P1045" s="17">
        <v>2026.0628999936084</v>
      </c>
      <c r="Q1045" s="17">
        <v>0</v>
      </c>
      <c r="R1045" s="13"/>
      <c r="S1045" s="13"/>
      <c r="T1045" s="13"/>
      <c r="U1045" s="13"/>
      <c r="V1045" s="13"/>
      <c r="W1045" s="13"/>
    </row>
    <row r="1046" spans="1:23" x14ac:dyDescent="0.2">
      <c r="A1046"/>
      <c r="B1046"/>
      <c r="C1046"/>
      <c r="D1046"/>
      <c r="E1046"/>
      <c r="F1046"/>
      <c r="G1046"/>
      <c r="H1046"/>
      <c r="I1046"/>
      <c r="J1046"/>
      <c r="K1046" s="13" t="s">
        <v>79</v>
      </c>
      <c r="L1046" s="13" t="s">
        <v>462</v>
      </c>
      <c r="M1046" s="13" t="s">
        <v>370</v>
      </c>
      <c r="N1046" s="15">
        <v>0</v>
      </c>
      <c r="O1046" s="16">
        <v>0</v>
      </c>
      <c r="P1046" s="17">
        <v>6357.0966999669126</v>
      </c>
      <c r="Q1046" s="17">
        <v>0</v>
      </c>
      <c r="R1046" s="13"/>
      <c r="S1046" s="13"/>
      <c r="T1046" s="13"/>
      <c r="U1046" s="13"/>
      <c r="V1046" s="13"/>
      <c r="W1046" s="13"/>
    </row>
    <row r="1047" spans="1:23" x14ac:dyDescent="0.2">
      <c r="A1047"/>
      <c r="B1047"/>
      <c r="C1047"/>
      <c r="D1047"/>
      <c r="E1047"/>
      <c r="F1047"/>
      <c r="G1047"/>
      <c r="H1047"/>
      <c r="I1047"/>
      <c r="J1047"/>
      <c r="K1047" s="13" t="s">
        <v>79</v>
      </c>
      <c r="L1047" s="13" t="s">
        <v>482</v>
      </c>
      <c r="M1047" s="13" t="s">
        <v>483</v>
      </c>
      <c r="N1047" s="15">
        <v>0</v>
      </c>
      <c r="O1047" s="16">
        <v>0</v>
      </c>
      <c r="P1047" s="17">
        <v>1518.1741999845794</v>
      </c>
      <c r="Q1047" s="17">
        <v>0</v>
      </c>
      <c r="R1047" s="13"/>
      <c r="S1047" s="13"/>
      <c r="T1047" s="13"/>
      <c r="U1047" s="13"/>
      <c r="V1047" s="13"/>
      <c r="W1047" s="13"/>
    </row>
    <row r="1048" spans="1:23" x14ac:dyDescent="0.2">
      <c r="A1048"/>
      <c r="B1048"/>
      <c r="C1048"/>
      <c r="D1048"/>
      <c r="E1048"/>
      <c r="F1048"/>
      <c r="G1048"/>
      <c r="H1048"/>
      <c r="I1048"/>
      <c r="J1048"/>
      <c r="K1048" s="13" t="s">
        <v>79</v>
      </c>
      <c r="L1048" s="13" t="s">
        <v>463</v>
      </c>
      <c r="M1048" s="13" t="s">
        <v>372</v>
      </c>
      <c r="N1048" s="15">
        <v>0</v>
      </c>
      <c r="O1048" s="16">
        <v>0</v>
      </c>
      <c r="P1048" s="17">
        <v>12752.600199884822</v>
      </c>
      <c r="Q1048" s="17">
        <v>0</v>
      </c>
      <c r="R1048" s="13"/>
      <c r="S1048" s="13"/>
      <c r="T1048" s="13"/>
      <c r="U1048" s="13"/>
      <c r="V1048" s="13"/>
      <c r="W1048" s="13"/>
    </row>
    <row r="1049" spans="1:23" x14ac:dyDescent="0.2">
      <c r="A1049"/>
      <c r="B1049"/>
      <c r="C1049"/>
      <c r="D1049"/>
      <c r="E1049"/>
      <c r="F1049"/>
      <c r="G1049"/>
      <c r="H1049"/>
      <c r="I1049"/>
      <c r="J1049"/>
      <c r="K1049" s="13" t="s">
        <v>79</v>
      </c>
      <c r="L1049" s="13" t="s">
        <v>381</v>
      </c>
      <c r="M1049" s="13" t="s">
        <v>382</v>
      </c>
      <c r="N1049" s="15">
        <v>18</v>
      </c>
      <c r="O1049" s="16">
        <v>0</v>
      </c>
      <c r="P1049" s="17">
        <v>0</v>
      </c>
      <c r="Q1049" s="17">
        <v>0</v>
      </c>
      <c r="R1049" s="13"/>
      <c r="S1049" s="13"/>
      <c r="T1049" s="13"/>
      <c r="U1049" s="13"/>
      <c r="V1049" s="13"/>
      <c r="W1049" s="13"/>
    </row>
    <row r="1050" spans="1:23" x14ac:dyDescent="0.2">
      <c r="A1050"/>
      <c r="B1050"/>
      <c r="C1050"/>
      <c r="D1050"/>
      <c r="E1050"/>
      <c r="F1050"/>
      <c r="G1050"/>
      <c r="H1050"/>
      <c r="I1050"/>
      <c r="J1050"/>
      <c r="K1050" s="13" t="s">
        <v>79</v>
      </c>
      <c r="L1050" s="13" t="s">
        <v>608</v>
      </c>
      <c r="M1050" s="13" t="s">
        <v>432</v>
      </c>
      <c r="N1050" s="15">
        <v>33</v>
      </c>
      <c r="O1050" s="16">
        <v>0</v>
      </c>
      <c r="P1050" s="17">
        <v>0</v>
      </c>
      <c r="Q1050" s="17">
        <v>0</v>
      </c>
      <c r="R1050" s="13"/>
      <c r="S1050" s="13"/>
      <c r="T1050" s="13"/>
      <c r="U1050" s="13"/>
      <c r="V1050" s="13"/>
      <c r="W1050" s="13"/>
    </row>
    <row r="1051" spans="1:23" x14ac:dyDescent="0.2">
      <c r="A1051"/>
      <c r="B1051"/>
      <c r="C1051"/>
      <c r="D1051"/>
      <c r="E1051"/>
      <c r="F1051"/>
      <c r="G1051"/>
      <c r="H1051"/>
      <c r="I1051"/>
      <c r="J1051"/>
      <c r="K1051" s="13" t="s">
        <v>79</v>
      </c>
      <c r="L1051" s="13" t="s">
        <v>614</v>
      </c>
      <c r="M1051" s="13" t="s">
        <v>447</v>
      </c>
      <c r="N1051" s="15">
        <v>2</v>
      </c>
      <c r="O1051" s="16">
        <v>0</v>
      </c>
      <c r="P1051" s="17">
        <v>0</v>
      </c>
      <c r="Q1051" s="17">
        <v>0</v>
      </c>
      <c r="R1051" s="13"/>
      <c r="S1051" s="13"/>
      <c r="T1051" s="13"/>
      <c r="U1051" s="13"/>
      <c r="V1051" s="13"/>
      <c r="W1051" s="13"/>
    </row>
    <row r="1052" spans="1:23" x14ac:dyDescent="0.2">
      <c r="A1052"/>
      <c r="B1052"/>
      <c r="C1052"/>
      <c r="D1052"/>
      <c r="E1052"/>
      <c r="F1052"/>
      <c r="G1052"/>
      <c r="H1052"/>
      <c r="I1052"/>
      <c r="J1052"/>
      <c r="K1052" s="13" t="s">
        <v>80</v>
      </c>
      <c r="L1052" s="13" t="s">
        <v>387</v>
      </c>
      <c r="M1052" s="13" t="s">
        <v>386</v>
      </c>
      <c r="N1052" s="15">
        <v>0</v>
      </c>
      <c r="O1052" s="16">
        <v>0</v>
      </c>
      <c r="P1052" s="17">
        <v>345.8689000107629</v>
      </c>
      <c r="Q1052" s="17">
        <v>0</v>
      </c>
      <c r="R1052" s="13"/>
      <c r="S1052" s="13"/>
      <c r="T1052" s="13"/>
      <c r="U1052" s="13"/>
      <c r="V1052" s="13"/>
      <c r="W1052" s="13"/>
    </row>
    <row r="1053" spans="1:23" x14ac:dyDescent="0.2">
      <c r="A1053"/>
      <c r="B1053"/>
      <c r="C1053"/>
      <c r="D1053"/>
      <c r="E1053"/>
      <c r="F1053"/>
      <c r="G1053"/>
      <c r="H1053"/>
      <c r="I1053"/>
      <c r="J1053"/>
      <c r="K1053" s="13" t="s">
        <v>80</v>
      </c>
      <c r="L1053" s="13" t="s">
        <v>391</v>
      </c>
      <c r="M1053" s="13" t="s">
        <v>358</v>
      </c>
      <c r="N1053" s="15">
        <v>0</v>
      </c>
      <c r="O1053" s="16">
        <v>0</v>
      </c>
      <c r="P1053" s="17">
        <v>2366.3364500004609</v>
      </c>
      <c r="Q1053" s="17">
        <v>0</v>
      </c>
      <c r="R1053" s="13"/>
      <c r="S1053" s="13"/>
      <c r="T1053" s="13"/>
      <c r="U1053" s="13"/>
      <c r="V1053" s="13"/>
      <c r="W1053" s="13"/>
    </row>
    <row r="1054" spans="1:23" x14ac:dyDescent="0.2">
      <c r="A1054"/>
      <c r="B1054"/>
      <c r="C1054"/>
      <c r="D1054"/>
      <c r="E1054"/>
      <c r="F1054"/>
      <c r="G1054"/>
      <c r="H1054"/>
      <c r="I1054"/>
      <c r="J1054"/>
      <c r="K1054" s="13" t="s">
        <v>80</v>
      </c>
      <c r="L1054" s="13" t="s">
        <v>401</v>
      </c>
      <c r="M1054" s="13" t="s">
        <v>360</v>
      </c>
      <c r="N1054" s="15">
        <v>0</v>
      </c>
      <c r="O1054" s="16">
        <v>0</v>
      </c>
      <c r="P1054" s="17">
        <v>2113.8758000026214</v>
      </c>
      <c r="Q1054" s="17">
        <v>0</v>
      </c>
      <c r="R1054" s="13"/>
      <c r="S1054" s="13"/>
      <c r="T1054" s="13"/>
      <c r="U1054" s="13"/>
      <c r="V1054" s="13"/>
      <c r="W1054" s="13"/>
    </row>
    <row r="1055" spans="1:23" x14ac:dyDescent="0.2">
      <c r="A1055"/>
      <c r="B1055"/>
      <c r="C1055"/>
      <c r="D1055"/>
      <c r="E1055"/>
      <c r="F1055"/>
      <c r="G1055"/>
      <c r="H1055"/>
      <c r="I1055"/>
      <c r="J1055"/>
      <c r="K1055" s="13" t="s">
        <v>80</v>
      </c>
      <c r="L1055" s="13" t="s">
        <v>402</v>
      </c>
      <c r="M1055" s="13" t="s">
        <v>403</v>
      </c>
      <c r="N1055" s="15">
        <v>0</v>
      </c>
      <c r="O1055" s="16">
        <v>0</v>
      </c>
      <c r="P1055" s="17">
        <v>4455.4107499156944</v>
      </c>
      <c r="Q1055" s="17">
        <v>0</v>
      </c>
      <c r="R1055" s="13"/>
      <c r="S1055" s="13"/>
      <c r="T1055" s="13"/>
      <c r="U1055" s="13"/>
      <c r="V1055" s="13"/>
      <c r="W1055" s="13"/>
    </row>
    <row r="1056" spans="1:23" x14ac:dyDescent="0.2">
      <c r="A1056"/>
      <c r="B1056"/>
      <c r="C1056"/>
      <c r="D1056"/>
      <c r="E1056"/>
      <c r="F1056"/>
      <c r="G1056"/>
      <c r="H1056"/>
      <c r="I1056"/>
      <c r="J1056"/>
      <c r="K1056" s="13" t="s">
        <v>80</v>
      </c>
      <c r="L1056" s="13" t="s">
        <v>462</v>
      </c>
      <c r="M1056" s="13" t="s">
        <v>370</v>
      </c>
      <c r="N1056" s="15">
        <v>0</v>
      </c>
      <c r="O1056" s="16">
        <v>0</v>
      </c>
      <c r="P1056" s="17">
        <v>17539.042029144926</v>
      </c>
      <c r="Q1056" s="17">
        <v>0</v>
      </c>
      <c r="R1056" s="13"/>
      <c r="S1056" s="13"/>
      <c r="T1056" s="13"/>
      <c r="U1056" s="13"/>
      <c r="V1056" s="13"/>
      <c r="W1056" s="13"/>
    </row>
    <row r="1057" spans="1:23" x14ac:dyDescent="0.2">
      <c r="A1057"/>
      <c r="B1057"/>
      <c r="C1057"/>
      <c r="D1057"/>
      <c r="E1057"/>
      <c r="F1057"/>
      <c r="G1057"/>
      <c r="H1057"/>
      <c r="I1057"/>
      <c r="J1057"/>
      <c r="K1057" s="13" t="s">
        <v>80</v>
      </c>
      <c r="L1057" s="13" t="s">
        <v>482</v>
      </c>
      <c r="M1057" s="13" t="s">
        <v>483</v>
      </c>
      <c r="N1057" s="15">
        <v>0</v>
      </c>
      <c r="O1057" s="16">
        <v>0</v>
      </c>
      <c r="P1057" s="17">
        <v>4159.586499995753</v>
      </c>
      <c r="Q1057" s="17">
        <v>0</v>
      </c>
      <c r="R1057" s="13"/>
      <c r="S1057" s="13"/>
      <c r="T1057" s="13"/>
      <c r="U1057" s="13"/>
      <c r="V1057" s="13"/>
      <c r="W1057" s="13"/>
    </row>
    <row r="1058" spans="1:23" x14ac:dyDescent="0.2">
      <c r="A1058"/>
      <c r="B1058"/>
      <c r="C1058"/>
      <c r="D1058"/>
      <c r="E1058"/>
      <c r="F1058"/>
      <c r="G1058"/>
      <c r="H1058"/>
      <c r="I1058"/>
      <c r="J1058"/>
      <c r="K1058" s="13" t="s">
        <v>80</v>
      </c>
      <c r="L1058" s="13" t="s">
        <v>463</v>
      </c>
      <c r="M1058" s="13" t="s">
        <v>372</v>
      </c>
      <c r="N1058" s="15">
        <v>0</v>
      </c>
      <c r="O1058" s="16">
        <v>0</v>
      </c>
      <c r="P1058" s="17">
        <v>31003.790879070781</v>
      </c>
      <c r="Q1058" s="17">
        <v>0</v>
      </c>
      <c r="R1058" s="13"/>
      <c r="S1058" s="13"/>
      <c r="T1058" s="13"/>
      <c r="U1058" s="13"/>
      <c r="V1058" s="13"/>
      <c r="W1058" s="13"/>
    </row>
    <row r="1059" spans="1:23" x14ac:dyDescent="0.2">
      <c r="A1059"/>
      <c r="B1059"/>
      <c r="C1059"/>
      <c r="D1059"/>
      <c r="E1059"/>
      <c r="F1059"/>
      <c r="G1059"/>
      <c r="H1059"/>
      <c r="I1059"/>
      <c r="J1059"/>
      <c r="K1059" s="13" t="s">
        <v>80</v>
      </c>
      <c r="L1059" s="13" t="s">
        <v>411</v>
      </c>
      <c r="M1059" s="13" t="s">
        <v>362</v>
      </c>
      <c r="N1059" s="15">
        <v>0</v>
      </c>
      <c r="O1059" s="16">
        <v>0</v>
      </c>
      <c r="P1059" s="17">
        <v>16.117650001027062</v>
      </c>
      <c r="Q1059" s="17">
        <v>0</v>
      </c>
      <c r="R1059" s="13"/>
      <c r="S1059" s="13"/>
      <c r="T1059" s="13"/>
      <c r="U1059" s="13"/>
      <c r="V1059" s="13"/>
      <c r="W1059" s="13"/>
    </row>
    <row r="1060" spans="1:23" x14ac:dyDescent="0.2">
      <c r="A1060"/>
      <c r="B1060"/>
      <c r="C1060"/>
      <c r="D1060"/>
      <c r="E1060"/>
      <c r="F1060"/>
      <c r="G1060"/>
      <c r="H1060"/>
      <c r="I1060"/>
      <c r="J1060"/>
      <c r="K1060" s="13" t="s">
        <v>80</v>
      </c>
      <c r="L1060" s="13" t="s">
        <v>411</v>
      </c>
      <c r="M1060" s="13" t="s">
        <v>362</v>
      </c>
      <c r="N1060" s="15">
        <v>6</v>
      </c>
      <c r="O1060" s="16">
        <v>0</v>
      </c>
      <c r="P1060" s="17">
        <v>0</v>
      </c>
      <c r="Q1060" s="17">
        <v>0</v>
      </c>
      <c r="R1060" s="13"/>
      <c r="S1060" s="13"/>
      <c r="T1060" s="13"/>
      <c r="U1060" s="13"/>
      <c r="V1060" s="13"/>
      <c r="W1060" s="13"/>
    </row>
    <row r="1061" spans="1:23" x14ac:dyDescent="0.2">
      <c r="A1061"/>
      <c r="B1061"/>
      <c r="C1061"/>
      <c r="D1061"/>
      <c r="E1061"/>
      <c r="F1061"/>
      <c r="G1061"/>
      <c r="H1061"/>
      <c r="I1061"/>
      <c r="J1061"/>
      <c r="K1061" s="13" t="s">
        <v>80</v>
      </c>
      <c r="L1061" s="13" t="s">
        <v>413</v>
      </c>
      <c r="M1061" s="13" t="s">
        <v>428</v>
      </c>
      <c r="N1061" s="15">
        <v>6</v>
      </c>
      <c r="O1061" s="16">
        <v>0</v>
      </c>
      <c r="P1061" s="17">
        <v>0</v>
      </c>
      <c r="Q1061" s="17">
        <v>0</v>
      </c>
      <c r="R1061" s="13"/>
      <c r="S1061" s="13"/>
      <c r="T1061" s="13"/>
      <c r="U1061" s="13"/>
      <c r="V1061" s="13"/>
      <c r="W1061" s="13"/>
    </row>
    <row r="1062" spans="1:23" x14ac:dyDescent="0.2">
      <c r="A1062"/>
      <c r="B1062"/>
      <c r="C1062"/>
      <c r="D1062"/>
      <c r="E1062"/>
      <c r="F1062"/>
      <c r="G1062"/>
      <c r="H1062"/>
      <c r="I1062"/>
      <c r="J1062"/>
      <c r="K1062" s="13" t="s">
        <v>80</v>
      </c>
      <c r="L1062" s="13" t="s">
        <v>603</v>
      </c>
      <c r="M1062" s="13" t="s">
        <v>385</v>
      </c>
      <c r="N1062" s="15">
        <v>0</v>
      </c>
      <c r="O1062" s="16">
        <v>17.932742253170815</v>
      </c>
      <c r="P1062" s="17">
        <v>0</v>
      </c>
      <c r="Q1062" s="17">
        <v>0</v>
      </c>
      <c r="R1062" s="13"/>
      <c r="S1062" s="13"/>
      <c r="T1062" s="13"/>
      <c r="U1062" s="13"/>
      <c r="V1062" s="13"/>
      <c r="W1062" s="13"/>
    </row>
    <row r="1063" spans="1:23" x14ac:dyDescent="0.2">
      <c r="A1063"/>
      <c r="B1063"/>
      <c r="C1063"/>
      <c r="D1063"/>
      <c r="E1063"/>
      <c r="F1063"/>
      <c r="G1063"/>
      <c r="H1063"/>
      <c r="I1063"/>
      <c r="J1063"/>
      <c r="K1063" s="13" t="s">
        <v>80</v>
      </c>
      <c r="L1063" s="13" t="s">
        <v>607</v>
      </c>
      <c r="M1063" s="13" t="s">
        <v>431</v>
      </c>
      <c r="N1063" s="15">
        <v>2</v>
      </c>
      <c r="O1063" s="16">
        <v>0</v>
      </c>
      <c r="P1063" s="17">
        <v>0</v>
      </c>
      <c r="Q1063" s="17">
        <v>0</v>
      </c>
      <c r="R1063" s="13"/>
      <c r="S1063" s="13"/>
      <c r="T1063" s="13"/>
      <c r="U1063" s="13"/>
      <c r="V1063" s="13"/>
      <c r="W1063" s="13"/>
    </row>
    <row r="1064" spans="1:23" x14ac:dyDescent="0.2">
      <c r="A1064"/>
      <c r="B1064"/>
      <c r="C1064"/>
      <c r="D1064"/>
      <c r="E1064"/>
      <c r="F1064"/>
      <c r="G1064"/>
      <c r="H1064"/>
      <c r="I1064"/>
      <c r="J1064"/>
      <c r="K1064" s="13" t="s">
        <v>80</v>
      </c>
      <c r="L1064" s="13" t="s">
        <v>608</v>
      </c>
      <c r="M1064" s="13" t="s">
        <v>432</v>
      </c>
      <c r="N1064" s="15">
        <v>12</v>
      </c>
      <c r="O1064" s="16">
        <v>0</v>
      </c>
      <c r="P1064" s="17">
        <v>0</v>
      </c>
      <c r="Q1064" s="17">
        <v>0</v>
      </c>
      <c r="R1064" s="13"/>
      <c r="S1064" s="13"/>
      <c r="T1064" s="13"/>
      <c r="U1064" s="13"/>
      <c r="V1064" s="13"/>
      <c r="W1064" s="13"/>
    </row>
    <row r="1065" spans="1:23" x14ac:dyDescent="0.2">
      <c r="A1065"/>
      <c r="B1065"/>
      <c r="C1065"/>
      <c r="D1065"/>
      <c r="E1065"/>
      <c r="F1065"/>
      <c r="G1065"/>
      <c r="H1065"/>
      <c r="I1065"/>
      <c r="J1065"/>
      <c r="K1065" s="13" t="s">
        <v>80</v>
      </c>
      <c r="L1065" s="13" t="s">
        <v>615</v>
      </c>
      <c r="M1065" s="13" t="s">
        <v>449</v>
      </c>
      <c r="N1065" s="15">
        <v>1</v>
      </c>
      <c r="O1065" s="16">
        <v>0</v>
      </c>
      <c r="P1065" s="17">
        <v>0</v>
      </c>
      <c r="Q1065" s="17">
        <v>0</v>
      </c>
      <c r="R1065" s="13"/>
      <c r="S1065" s="13"/>
      <c r="T1065" s="13"/>
      <c r="U1065" s="13"/>
      <c r="V1065" s="13"/>
      <c r="W1065" s="13"/>
    </row>
    <row r="1066" spans="1:23" x14ac:dyDescent="0.2">
      <c r="A1066"/>
      <c r="B1066"/>
      <c r="C1066"/>
      <c r="D1066"/>
      <c r="E1066"/>
      <c r="F1066"/>
      <c r="G1066"/>
      <c r="H1066"/>
      <c r="I1066"/>
      <c r="J1066"/>
      <c r="K1066" s="13" t="s">
        <v>80</v>
      </c>
      <c r="L1066" s="13" t="s">
        <v>523</v>
      </c>
      <c r="M1066" s="13" t="s">
        <v>476</v>
      </c>
      <c r="N1066" s="15">
        <v>0</v>
      </c>
      <c r="O1066" s="16">
        <v>0</v>
      </c>
      <c r="P1066" s="17">
        <v>7.5527999995354778</v>
      </c>
      <c r="Q1066" s="17">
        <v>0</v>
      </c>
      <c r="R1066" s="13"/>
      <c r="S1066" s="13"/>
      <c r="T1066" s="13"/>
      <c r="U1066" s="13"/>
      <c r="V1066" s="13"/>
      <c r="W1066" s="13"/>
    </row>
    <row r="1067" spans="1:23" x14ac:dyDescent="0.2">
      <c r="A1067"/>
      <c r="B1067"/>
      <c r="C1067"/>
      <c r="D1067"/>
      <c r="E1067"/>
      <c r="F1067"/>
      <c r="G1067"/>
      <c r="H1067"/>
      <c r="I1067"/>
      <c r="J1067"/>
      <c r="K1067" s="13" t="s">
        <v>80</v>
      </c>
      <c r="L1067" s="13" t="s">
        <v>383</v>
      </c>
      <c r="M1067" s="13" t="s">
        <v>420</v>
      </c>
      <c r="N1067" s="15">
        <v>1</v>
      </c>
      <c r="O1067" s="16">
        <v>0</v>
      </c>
      <c r="P1067" s="17">
        <v>0</v>
      </c>
      <c r="Q1067" s="17">
        <v>0</v>
      </c>
      <c r="R1067" s="13"/>
      <c r="S1067" s="13"/>
      <c r="T1067" s="13"/>
      <c r="U1067" s="13"/>
      <c r="V1067" s="13"/>
      <c r="W1067" s="13"/>
    </row>
    <row r="1068" spans="1:23" x14ac:dyDescent="0.2">
      <c r="A1068"/>
      <c r="B1068"/>
      <c r="C1068"/>
      <c r="D1068"/>
      <c r="E1068"/>
      <c r="F1068"/>
      <c r="G1068"/>
      <c r="H1068"/>
      <c r="I1068"/>
      <c r="J1068"/>
      <c r="K1068" s="13" t="s">
        <v>80</v>
      </c>
      <c r="L1068" s="13" t="s">
        <v>502</v>
      </c>
      <c r="M1068" s="13" t="s">
        <v>367</v>
      </c>
      <c r="N1068" s="15">
        <v>1</v>
      </c>
      <c r="O1068" s="16">
        <v>0</v>
      </c>
      <c r="P1068" s="17">
        <v>0</v>
      </c>
      <c r="Q1068" s="17">
        <v>0</v>
      </c>
      <c r="R1068" s="13"/>
      <c r="S1068" s="13"/>
      <c r="T1068" s="13"/>
      <c r="U1068" s="13"/>
      <c r="V1068" s="13"/>
      <c r="W1068" s="13"/>
    </row>
    <row r="1069" spans="1:23" x14ac:dyDescent="0.2">
      <c r="A1069"/>
      <c r="B1069"/>
      <c r="C1069"/>
      <c r="D1069"/>
      <c r="E1069"/>
      <c r="F1069"/>
      <c r="G1069"/>
      <c r="H1069"/>
      <c r="I1069"/>
      <c r="J1069"/>
      <c r="K1069" s="13" t="s">
        <v>81</v>
      </c>
      <c r="L1069" s="13" t="s">
        <v>481</v>
      </c>
      <c r="M1069" s="13" t="s">
        <v>374</v>
      </c>
      <c r="N1069" s="15">
        <v>0</v>
      </c>
      <c r="O1069" s="16">
        <v>0</v>
      </c>
      <c r="P1069" s="17">
        <v>53539.255949779079</v>
      </c>
      <c r="Q1069" s="17">
        <v>0</v>
      </c>
      <c r="R1069" s="13"/>
      <c r="S1069" s="13"/>
      <c r="T1069" s="13"/>
      <c r="U1069" s="13"/>
      <c r="V1069" s="13"/>
      <c r="W1069" s="13"/>
    </row>
    <row r="1070" spans="1:23" x14ac:dyDescent="0.2">
      <c r="A1070"/>
      <c r="B1070"/>
      <c r="C1070"/>
      <c r="D1070"/>
      <c r="E1070"/>
      <c r="F1070"/>
      <c r="G1070"/>
      <c r="H1070"/>
      <c r="I1070"/>
      <c r="J1070"/>
      <c r="K1070" s="13" t="s">
        <v>81</v>
      </c>
      <c r="L1070" s="13" t="s">
        <v>458</v>
      </c>
      <c r="M1070" s="13" t="s">
        <v>459</v>
      </c>
      <c r="N1070" s="15">
        <v>0</v>
      </c>
      <c r="O1070" s="16">
        <v>0</v>
      </c>
      <c r="P1070" s="17">
        <v>18099.360549738089</v>
      </c>
      <c r="Q1070" s="17">
        <v>0</v>
      </c>
      <c r="R1070" s="13"/>
      <c r="S1070" s="13"/>
      <c r="T1070" s="13"/>
      <c r="U1070" s="13"/>
      <c r="V1070" s="13"/>
      <c r="W1070" s="13"/>
    </row>
    <row r="1071" spans="1:23" x14ac:dyDescent="0.2">
      <c r="A1071"/>
      <c r="B1071"/>
      <c r="C1071"/>
      <c r="D1071"/>
      <c r="E1071"/>
      <c r="F1071"/>
      <c r="G1071"/>
      <c r="H1071"/>
      <c r="I1071"/>
      <c r="J1071"/>
      <c r="K1071" s="13" t="s">
        <v>82</v>
      </c>
      <c r="L1071" s="13" t="s">
        <v>401</v>
      </c>
      <c r="M1071" s="13" t="s">
        <v>360</v>
      </c>
      <c r="N1071" s="15">
        <v>0</v>
      </c>
      <c r="O1071" s="16">
        <v>0</v>
      </c>
      <c r="P1071" s="17">
        <v>211.08415876533431</v>
      </c>
      <c r="Q1071" s="17">
        <v>0</v>
      </c>
      <c r="R1071" s="13"/>
      <c r="S1071" s="13"/>
      <c r="T1071" s="13"/>
      <c r="U1071" s="13"/>
      <c r="V1071" s="13"/>
      <c r="W1071" s="13"/>
    </row>
    <row r="1072" spans="1:23" x14ac:dyDescent="0.2">
      <c r="A1072"/>
      <c r="B1072"/>
      <c r="C1072"/>
      <c r="D1072"/>
      <c r="E1072"/>
      <c r="F1072"/>
      <c r="G1072"/>
      <c r="H1072"/>
      <c r="I1072"/>
      <c r="J1072"/>
      <c r="K1072" s="13" t="s">
        <v>82</v>
      </c>
      <c r="L1072" s="13" t="s">
        <v>448</v>
      </c>
      <c r="M1072" s="13" t="s">
        <v>366</v>
      </c>
      <c r="N1072" s="15">
        <v>0</v>
      </c>
      <c r="O1072" s="16">
        <v>0</v>
      </c>
      <c r="P1072" s="17">
        <v>1571.9958142298758</v>
      </c>
      <c r="Q1072" s="17">
        <v>0</v>
      </c>
      <c r="R1072" s="13"/>
      <c r="S1072" s="13"/>
      <c r="T1072" s="13"/>
      <c r="U1072" s="13"/>
      <c r="V1072" s="13"/>
      <c r="W1072" s="13"/>
    </row>
    <row r="1073" spans="1:23" x14ac:dyDescent="0.2">
      <c r="A1073"/>
      <c r="B1073"/>
      <c r="C1073"/>
      <c r="D1073"/>
      <c r="E1073"/>
      <c r="F1073"/>
      <c r="G1073"/>
      <c r="H1073"/>
      <c r="I1073"/>
      <c r="J1073"/>
      <c r="K1073" s="13" t="s">
        <v>82</v>
      </c>
      <c r="L1073" s="13" t="s">
        <v>451</v>
      </c>
      <c r="M1073" s="13" t="s">
        <v>369</v>
      </c>
      <c r="N1073" s="15">
        <v>0</v>
      </c>
      <c r="O1073" s="16">
        <v>0</v>
      </c>
      <c r="P1073" s="17">
        <v>1783.07997299521</v>
      </c>
      <c r="Q1073" s="17">
        <v>0</v>
      </c>
      <c r="R1073" s="13"/>
      <c r="S1073" s="13"/>
      <c r="T1073" s="13"/>
      <c r="U1073" s="13"/>
      <c r="V1073" s="13"/>
      <c r="W1073" s="13"/>
    </row>
    <row r="1074" spans="1:23" x14ac:dyDescent="0.2">
      <c r="A1074"/>
      <c r="B1074"/>
      <c r="C1074"/>
      <c r="D1074"/>
      <c r="E1074"/>
      <c r="F1074"/>
      <c r="G1074"/>
      <c r="H1074"/>
      <c r="I1074"/>
      <c r="J1074"/>
      <c r="K1074" s="13" t="s">
        <v>82</v>
      </c>
      <c r="L1074" s="13" t="s">
        <v>421</v>
      </c>
      <c r="M1074" s="13" t="s">
        <v>443</v>
      </c>
      <c r="N1074" s="15">
        <v>1</v>
      </c>
      <c r="O1074" s="16">
        <v>0</v>
      </c>
      <c r="P1074" s="17">
        <v>0</v>
      </c>
      <c r="Q1074" s="17">
        <v>0</v>
      </c>
      <c r="R1074" s="13"/>
      <c r="S1074" s="13"/>
      <c r="T1074" s="13"/>
      <c r="U1074" s="13"/>
      <c r="V1074" s="13"/>
      <c r="W1074" s="13"/>
    </row>
    <row r="1075" spans="1:23" x14ac:dyDescent="0.2">
      <c r="A1075"/>
      <c r="B1075"/>
      <c r="C1075"/>
      <c r="D1075"/>
      <c r="E1075"/>
      <c r="F1075"/>
      <c r="G1075"/>
      <c r="H1075"/>
      <c r="I1075"/>
      <c r="J1075"/>
      <c r="K1075" s="13" t="s">
        <v>82</v>
      </c>
      <c r="L1075" s="13" t="s">
        <v>454</v>
      </c>
      <c r="M1075" s="13" t="s">
        <v>455</v>
      </c>
      <c r="N1075" s="15">
        <v>0</v>
      </c>
      <c r="O1075" s="16">
        <v>0</v>
      </c>
      <c r="P1075" s="17">
        <v>537.05768962617901</v>
      </c>
      <c r="Q1075" s="17">
        <v>0</v>
      </c>
      <c r="R1075" s="13"/>
      <c r="S1075" s="13"/>
      <c r="T1075" s="13"/>
      <c r="U1075" s="13"/>
      <c r="V1075" s="13"/>
      <c r="W1075" s="13"/>
    </row>
    <row r="1076" spans="1:23" x14ac:dyDescent="0.2">
      <c r="A1076"/>
      <c r="B1076"/>
      <c r="C1076"/>
      <c r="D1076"/>
      <c r="E1076"/>
      <c r="F1076"/>
      <c r="G1076"/>
      <c r="H1076"/>
      <c r="I1076"/>
      <c r="J1076"/>
      <c r="K1076" s="13" t="s">
        <v>83</v>
      </c>
      <c r="L1076" s="13" t="s">
        <v>401</v>
      </c>
      <c r="M1076" s="13" t="s">
        <v>360</v>
      </c>
      <c r="N1076" s="15">
        <v>0</v>
      </c>
      <c r="O1076" s="16">
        <v>0</v>
      </c>
      <c r="P1076" s="17">
        <v>891.70594996033446</v>
      </c>
      <c r="Q1076" s="17">
        <v>0</v>
      </c>
      <c r="R1076" s="13"/>
      <c r="S1076" s="13"/>
      <c r="T1076" s="13"/>
      <c r="U1076" s="13"/>
      <c r="V1076" s="13"/>
      <c r="W1076" s="13"/>
    </row>
    <row r="1077" spans="1:23" x14ac:dyDescent="0.2">
      <c r="A1077"/>
      <c r="B1077"/>
      <c r="C1077"/>
      <c r="D1077"/>
      <c r="E1077"/>
      <c r="F1077"/>
      <c r="G1077"/>
      <c r="H1077"/>
      <c r="I1077"/>
      <c r="J1077"/>
      <c r="K1077" s="13" t="s">
        <v>83</v>
      </c>
      <c r="L1077" s="13" t="s">
        <v>402</v>
      </c>
      <c r="M1077" s="13" t="s">
        <v>403</v>
      </c>
      <c r="N1077" s="15">
        <v>0</v>
      </c>
      <c r="O1077" s="16">
        <v>0</v>
      </c>
      <c r="P1077" s="17">
        <v>1922.1629000015175</v>
      </c>
      <c r="Q1077" s="17">
        <v>0</v>
      </c>
      <c r="R1077" s="13"/>
      <c r="S1077" s="13"/>
      <c r="T1077" s="13"/>
      <c r="U1077" s="13"/>
      <c r="V1077" s="13"/>
      <c r="W1077" s="13"/>
    </row>
    <row r="1078" spans="1:23" x14ac:dyDescent="0.2">
      <c r="A1078"/>
      <c r="B1078"/>
      <c r="C1078"/>
      <c r="D1078"/>
      <c r="E1078"/>
      <c r="F1078"/>
      <c r="G1078"/>
      <c r="H1078"/>
      <c r="I1078"/>
      <c r="J1078"/>
      <c r="K1078" s="13" t="s">
        <v>83</v>
      </c>
      <c r="L1078" s="13" t="s">
        <v>462</v>
      </c>
      <c r="M1078" s="13" t="s">
        <v>370</v>
      </c>
      <c r="N1078" s="15">
        <v>0</v>
      </c>
      <c r="O1078" s="16">
        <v>0</v>
      </c>
      <c r="P1078" s="17">
        <v>416.06709999730214</v>
      </c>
      <c r="Q1078" s="17">
        <v>0</v>
      </c>
      <c r="R1078" s="13"/>
      <c r="S1078" s="13"/>
      <c r="T1078" s="13"/>
      <c r="U1078" s="13"/>
      <c r="V1078" s="13"/>
      <c r="W1078" s="13"/>
    </row>
    <row r="1079" spans="1:23" x14ac:dyDescent="0.2">
      <c r="A1079"/>
      <c r="B1079"/>
      <c r="C1079"/>
      <c r="D1079"/>
      <c r="E1079"/>
      <c r="F1079"/>
      <c r="G1079"/>
      <c r="H1079"/>
      <c r="I1079"/>
      <c r="J1079"/>
      <c r="K1079" s="13" t="s">
        <v>83</v>
      </c>
      <c r="L1079" s="13" t="s">
        <v>463</v>
      </c>
      <c r="M1079" s="13" t="s">
        <v>372</v>
      </c>
      <c r="N1079" s="15">
        <v>0</v>
      </c>
      <c r="O1079" s="16">
        <v>0</v>
      </c>
      <c r="P1079" s="17">
        <v>3229.9359499591542</v>
      </c>
      <c r="Q1079" s="17">
        <v>0</v>
      </c>
      <c r="R1079" s="13"/>
      <c r="S1079" s="13"/>
      <c r="T1079" s="13"/>
      <c r="U1079" s="13"/>
      <c r="V1079" s="13"/>
      <c r="W1079" s="13"/>
    </row>
    <row r="1080" spans="1:23" x14ac:dyDescent="0.2">
      <c r="A1080"/>
      <c r="B1080"/>
      <c r="C1080"/>
      <c r="D1080"/>
      <c r="E1080"/>
      <c r="F1080"/>
      <c r="G1080"/>
      <c r="H1080"/>
      <c r="I1080"/>
      <c r="J1080"/>
      <c r="K1080" s="13" t="s">
        <v>83</v>
      </c>
      <c r="L1080" s="13" t="s">
        <v>381</v>
      </c>
      <c r="M1080" s="13" t="s">
        <v>382</v>
      </c>
      <c r="N1080" s="15">
        <v>2</v>
      </c>
      <c r="O1080" s="16">
        <v>0</v>
      </c>
      <c r="P1080" s="17">
        <v>0</v>
      </c>
      <c r="Q1080" s="17">
        <v>0</v>
      </c>
      <c r="R1080" s="13"/>
      <c r="S1080" s="13"/>
      <c r="T1080" s="13"/>
      <c r="U1080" s="13"/>
      <c r="V1080" s="13"/>
      <c r="W1080" s="13"/>
    </row>
    <row r="1081" spans="1:23" x14ac:dyDescent="0.2">
      <c r="A1081"/>
      <c r="B1081"/>
      <c r="C1081"/>
      <c r="D1081"/>
      <c r="E1081"/>
      <c r="F1081"/>
      <c r="G1081"/>
      <c r="H1081"/>
      <c r="I1081"/>
      <c r="J1081"/>
      <c r="K1081" s="13" t="s">
        <v>84</v>
      </c>
      <c r="L1081" s="13" t="s">
        <v>463</v>
      </c>
      <c r="M1081" s="13" t="s">
        <v>372</v>
      </c>
      <c r="N1081" s="15">
        <v>0</v>
      </c>
      <c r="O1081" s="16">
        <v>0</v>
      </c>
      <c r="P1081" s="17">
        <v>7164.4005999573019</v>
      </c>
      <c r="Q1081" s="17">
        <v>0</v>
      </c>
      <c r="R1081" s="13"/>
      <c r="S1081" s="13"/>
      <c r="T1081" s="13"/>
      <c r="U1081" s="13"/>
      <c r="V1081" s="13"/>
      <c r="W1081" s="13"/>
    </row>
    <row r="1082" spans="1:23" x14ac:dyDescent="0.2">
      <c r="A1082"/>
      <c r="B1082"/>
      <c r="C1082"/>
      <c r="D1082"/>
      <c r="E1082"/>
      <c r="F1082"/>
      <c r="G1082"/>
      <c r="H1082"/>
      <c r="I1082"/>
      <c r="J1082"/>
      <c r="K1082" s="13" t="s">
        <v>84</v>
      </c>
      <c r="L1082" s="13" t="s">
        <v>471</v>
      </c>
      <c r="M1082" s="13" t="s">
        <v>472</v>
      </c>
      <c r="N1082" s="15">
        <v>0</v>
      </c>
      <c r="O1082" s="16">
        <v>0</v>
      </c>
      <c r="P1082" s="17">
        <v>7164.4005999573019</v>
      </c>
      <c r="Q1082" s="17">
        <v>0</v>
      </c>
      <c r="R1082" s="13"/>
      <c r="S1082" s="13"/>
      <c r="T1082" s="13"/>
      <c r="U1082" s="13"/>
      <c r="V1082" s="13"/>
      <c r="W1082" s="13"/>
    </row>
    <row r="1083" spans="1:23" x14ac:dyDescent="0.2">
      <c r="A1083"/>
      <c r="B1083"/>
      <c r="C1083"/>
      <c r="D1083"/>
      <c r="E1083"/>
      <c r="F1083"/>
      <c r="G1083"/>
      <c r="H1083"/>
      <c r="I1083"/>
      <c r="J1083"/>
      <c r="K1083" s="13" t="s">
        <v>85</v>
      </c>
      <c r="L1083" s="13" t="s">
        <v>435</v>
      </c>
      <c r="M1083" s="13" t="s">
        <v>364</v>
      </c>
      <c r="N1083" s="15">
        <v>1</v>
      </c>
      <c r="O1083" s="16">
        <v>0</v>
      </c>
      <c r="P1083" s="17">
        <v>0</v>
      </c>
      <c r="Q1083" s="17">
        <v>0</v>
      </c>
      <c r="R1083" s="13"/>
      <c r="S1083" s="13"/>
      <c r="T1083" s="13"/>
      <c r="U1083" s="13"/>
      <c r="V1083" s="13"/>
      <c r="W1083" s="13"/>
    </row>
    <row r="1084" spans="1:23" x14ac:dyDescent="0.2">
      <c r="A1084"/>
      <c r="B1084"/>
      <c r="C1084"/>
      <c r="D1084"/>
      <c r="E1084"/>
      <c r="F1084"/>
      <c r="G1084"/>
      <c r="H1084"/>
      <c r="I1084"/>
      <c r="J1084"/>
      <c r="K1084" s="13" t="s">
        <v>85</v>
      </c>
      <c r="L1084" s="13" t="s">
        <v>387</v>
      </c>
      <c r="M1084" s="13" t="s">
        <v>386</v>
      </c>
      <c r="N1084" s="15">
        <v>0</v>
      </c>
      <c r="O1084" s="16">
        <v>0</v>
      </c>
      <c r="P1084" s="17">
        <v>107.07269996745423</v>
      </c>
      <c r="Q1084" s="17">
        <v>0</v>
      </c>
      <c r="R1084" s="13"/>
      <c r="S1084" s="13"/>
      <c r="T1084" s="13"/>
      <c r="U1084" s="13"/>
      <c r="V1084" s="13"/>
      <c r="W1084" s="13"/>
    </row>
    <row r="1085" spans="1:23" x14ac:dyDescent="0.2">
      <c r="A1085"/>
      <c r="B1085"/>
      <c r="C1085"/>
      <c r="D1085"/>
      <c r="E1085"/>
      <c r="F1085"/>
      <c r="G1085"/>
      <c r="H1085"/>
      <c r="I1085"/>
      <c r="J1085"/>
      <c r="K1085" s="13" t="s">
        <v>85</v>
      </c>
      <c r="L1085" s="13" t="s">
        <v>389</v>
      </c>
      <c r="M1085" s="13" t="s">
        <v>388</v>
      </c>
      <c r="N1085" s="15">
        <v>0</v>
      </c>
      <c r="O1085" s="16">
        <v>0</v>
      </c>
      <c r="P1085" s="17">
        <v>24.867399997740772</v>
      </c>
      <c r="Q1085" s="17">
        <v>0</v>
      </c>
      <c r="R1085" s="13"/>
      <c r="S1085" s="13"/>
      <c r="T1085" s="13"/>
      <c r="U1085" s="13"/>
      <c r="V1085" s="13"/>
      <c r="W1085" s="13"/>
    </row>
    <row r="1086" spans="1:23" x14ac:dyDescent="0.2">
      <c r="A1086"/>
      <c r="B1086"/>
      <c r="C1086"/>
      <c r="D1086"/>
      <c r="E1086"/>
      <c r="F1086"/>
      <c r="G1086"/>
      <c r="H1086"/>
      <c r="I1086"/>
      <c r="J1086"/>
      <c r="K1086" s="13" t="s">
        <v>85</v>
      </c>
      <c r="L1086" s="13" t="s">
        <v>399</v>
      </c>
      <c r="M1086" s="13" t="s">
        <v>400</v>
      </c>
      <c r="N1086" s="15">
        <v>0</v>
      </c>
      <c r="O1086" s="16">
        <v>0</v>
      </c>
      <c r="P1086" s="17">
        <v>57.063700000458581</v>
      </c>
      <c r="Q1086" s="17">
        <v>0</v>
      </c>
      <c r="R1086" s="13"/>
      <c r="S1086" s="13"/>
      <c r="T1086" s="13"/>
      <c r="U1086" s="13"/>
      <c r="V1086" s="13"/>
      <c r="W1086" s="13"/>
    </row>
    <row r="1087" spans="1:23" x14ac:dyDescent="0.2">
      <c r="A1087"/>
      <c r="B1087"/>
      <c r="C1087"/>
      <c r="D1087"/>
      <c r="E1087"/>
      <c r="F1087"/>
      <c r="G1087"/>
      <c r="H1087"/>
      <c r="I1087"/>
      <c r="J1087"/>
      <c r="K1087" s="13" t="s">
        <v>85</v>
      </c>
      <c r="L1087" s="13" t="s">
        <v>402</v>
      </c>
      <c r="M1087" s="13" t="s">
        <v>403</v>
      </c>
      <c r="N1087" s="15">
        <v>0</v>
      </c>
      <c r="O1087" s="16">
        <v>0</v>
      </c>
      <c r="P1087" s="17">
        <v>306.40989999636827</v>
      </c>
      <c r="Q1087" s="17">
        <v>0</v>
      </c>
      <c r="R1087" s="13"/>
      <c r="S1087" s="13"/>
      <c r="T1087" s="13"/>
      <c r="U1087" s="13"/>
      <c r="V1087" s="13"/>
      <c r="W1087" s="13"/>
    </row>
    <row r="1088" spans="1:23" x14ac:dyDescent="0.2">
      <c r="A1088"/>
      <c r="B1088"/>
      <c r="C1088"/>
      <c r="D1088"/>
      <c r="E1088"/>
      <c r="F1088"/>
      <c r="G1088"/>
      <c r="H1088"/>
      <c r="I1088"/>
      <c r="J1088"/>
      <c r="K1088" s="13" t="s">
        <v>85</v>
      </c>
      <c r="L1088" s="13" t="s">
        <v>451</v>
      </c>
      <c r="M1088" s="13" t="s">
        <v>369</v>
      </c>
      <c r="N1088" s="15">
        <v>0</v>
      </c>
      <c r="O1088" s="16">
        <v>0</v>
      </c>
      <c r="P1088" s="17">
        <v>495.41369996202184</v>
      </c>
      <c r="Q1088" s="17">
        <v>0</v>
      </c>
      <c r="R1088" s="13"/>
      <c r="S1088" s="13"/>
      <c r="T1088" s="13"/>
      <c r="U1088" s="13"/>
      <c r="V1088" s="13"/>
      <c r="W1088" s="13"/>
    </row>
    <row r="1089" spans="1:23" x14ac:dyDescent="0.2">
      <c r="A1089"/>
      <c r="B1089"/>
      <c r="C1089"/>
      <c r="D1089"/>
      <c r="E1089"/>
      <c r="F1089"/>
      <c r="G1089"/>
      <c r="H1089"/>
      <c r="I1089"/>
      <c r="J1089"/>
      <c r="K1089" s="13" t="s">
        <v>85</v>
      </c>
      <c r="L1089" s="13" t="s">
        <v>614</v>
      </c>
      <c r="M1089" s="13" t="s">
        <v>447</v>
      </c>
      <c r="N1089" s="15">
        <v>1</v>
      </c>
      <c r="O1089" s="16">
        <v>0</v>
      </c>
      <c r="P1089" s="17">
        <v>0</v>
      </c>
      <c r="Q1089" s="17">
        <v>0</v>
      </c>
      <c r="R1089" s="13"/>
      <c r="S1089" s="13"/>
      <c r="T1089" s="13"/>
      <c r="U1089" s="13"/>
      <c r="V1089" s="13"/>
      <c r="W1089" s="13"/>
    </row>
    <row r="1090" spans="1:23" x14ac:dyDescent="0.2">
      <c r="A1090"/>
      <c r="B1090"/>
      <c r="C1090"/>
      <c r="D1090"/>
      <c r="E1090"/>
      <c r="F1090"/>
      <c r="G1090"/>
      <c r="H1090"/>
      <c r="I1090"/>
      <c r="J1090"/>
      <c r="K1090" s="13" t="s">
        <v>86</v>
      </c>
      <c r="L1090" s="13" t="s">
        <v>389</v>
      </c>
      <c r="M1090" s="13" t="s">
        <v>388</v>
      </c>
      <c r="N1090" s="15">
        <v>0</v>
      </c>
      <c r="O1090" s="16">
        <v>0</v>
      </c>
      <c r="P1090" s="17">
        <v>153.21849999149185</v>
      </c>
      <c r="Q1090" s="17">
        <v>0</v>
      </c>
      <c r="R1090" s="13"/>
      <c r="S1090" s="13"/>
      <c r="T1090" s="13"/>
      <c r="U1090" s="13"/>
      <c r="V1090" s="13"/>
      <c r="W1090" s="13"/>
    </row>
    <row r="1091" spans="1:23" x14ac:dyDescent="0.2">
      <c r="A1091"/>
      <c r="B1091"/>
      <c r="C1091"/>
      <c r="D1091"/>
      <c r="E1091"/>
      <c r="F1091"/>
      <c r="G1091"/>
      <c r="H1091"/>
      <c r="I1091"/>
      <c r="J1091"/>
      <c r="K1091" s="13" t="s">
        <v>86</v>
      </c>
      <c r="L1091" s="13" t="s">
        <v>397</v>
      </c>
      <c r="M1091" s="13" t="s">
        <v>398</v>
      </c>
      <c r="N1091" s="15">
        <v>0</v>
      </c>
      <c r="O1091" s="16">
        <v>0</v>
      </c>
      <c r="P1091" s="17">
        <v>37.406250000604231</v>
      </c>
      <c r="Q1091" s="17">
        <v>0</v>
      </c>
      <c r="R1091" s="13"/>
      <c r="S1091" s="13"/>
      <c r="T1091" s="13"/>
      <c r="U1091" s="13"/>
      <c r="V1091" s="13"/>
      <c r="W1091" s="13"/>
    </row>
    <row r="1092" spans="1:23" x14ac:dyDescent="0.2">
      <c r="A1092"/>
      <c r="B1092"/>
      <c r="C1092"/>
      <c r="D1092"/>
      <c r="E1092"/>
      <c r="F1092"/>
      <c r="G1092"/>
      <c r="H1092"/>
      <c r="I1092"/>
      <c r="J1092"/>
      <c r="K1092" s="13" t="s">
        <v>86</v>
      </c>
      <c r="L1092" s="13" t="s">
        <v>399</v>
      </c>
      <c r="M1092" s="13" t="s">
        <v>400</v>
      </c>
      <c r="N1092" s="15">
        <v>0</v>
      </c>
      <c r="O1092" s="16">
        <v>0</v>
      </c>
      <c r="P1092" s="17">
        <v>633.3687500470096</v>
      </c>
      <c r="Q1092" s="17">
        <v>0</v>
      </c>
      <c r="R1092" s="13"/>
      <c r="S1092" s="13"/>
      <c r="T1092" s="13"/>
      <c r="U1092" s="13"/>
      <c r="V1092" s="13"/>
      <c r="W1092" s="13"/>
    </row>
    <row r="1093" spans="1:23" x14ac:dyDescent="0.2">
      <c r="A1093"/>
      <c r="B1093"/>
      <c r="C1093"/>
      <c r="D1093"/>
      <c r="E1093"/>
      <c r="F1093"/>
      <c r="G1093"/>
      <c r="H1093"/>
      <c r="I1093"/>
      <c r="J1093"/>
      <c r="K1093" s="13" t="s">
        <v>86</v>
      </c>
      <c r="L1093" s="13" t="s">
        <v>401</v>
      </c>
      <c r="M1093" s="13" t="s">
        <v>360</v>
      </c>
      <c r="N1093" s="15">
        <v>0</v>
      </c>
      <c r="O1093" s="16">
        <v>0</v>
      </c>
      <c r="P1093" s="17">
        <v>198.38609998470622</v>
      </c>
      <c r="Q1093" s="17">
        <v>0</v>
      </c>
      <c r="R1093" s="13"/>
      <c r="S1093" s="13"/>
      <c r="T1093" s="13"/>
      <c r="U1093" s="13"/>
      <c r="V1093" s="13"/>
      <c r="W1093" s="13"/>
    </row>
    <row r="1094" spans="1:23" x14ac:dyDescent="0.2">
      <c r="A1094"/>
      <c r="B1094"/>
      <c r="C1094"/>
      <c r="D1094"/>
      <c r="E1094"/>
      <c r="F1094"/>
      <c r="G1094"/>
      <c r="H1094"/>
      <c r="I1094"/>
      <c r="J1094"/>
      <c r="K1094" s="13" t="s">
        <v>86</v>
      </c>
      <c r="L1094" s="13" t="s">
        <v>511</v>
      </c>
      <c r="M1094" s="13" t="s">
        <v>377</v>
      </c>
      <c r="N1094" s="15">
        <v>0</v>
      </c>
      <c r="O1094" s="16">
        <v>0</v>
      </c>
      <c r="P1094" s="17">
        <v>111.64360000668316</v>
      </c>
      <c r="Q1094" s="17">
        <v>0</v>
      </c>
      <c r="R1094" s="13"/>
      <c r="S1094" s="13"/>
      <c r="T1094" s="13"/>
      <c r="U1094" s="13"/>
      <c r="V1094" s="13"/>
      <c r="W1094" s="13"/>
    </row>
    <row r="1095" spans="1:23" x14ac:dyDescent="0.2">
      <c r="A1095"/>
      <c r="B1095"/>
      <c r="C1095"/>
      <c r="D1095"/>
      <c r="E1095"/>
      <c r="F1095"/>
      <c r="G1095"/>
      <c r="H1095"/>
      <c r="I1095"/>
      <c r="J1095"/>
      <c r="K1095" s="13" t="s">
        <v>86</v>
      </c>
      <c r="L1095" s="13" t="s">
        <v>402</v>
      </c>
      <c r="M1095" s="13" t="s">
        <v>403</v>
      </c>
      <c r="N1095" s="15">
        <v>0</v>
      </c>
      <c r="O1095" s="16">
        <v>0</v>
      </c>
      <c r="P1095" s="17">
        <v>4122.41099993445</v>
      </c>
      <c r="Q1095" s="17">
        <v>0</v>
      </c>
      <c r="R1095" s="13"/>
      <c r="S1095" s="13"/>
      <c r="T1095" s="13"/>
      <c r="U1095" s="13"/>
      <c r="V1095" s="13"/>
      <c r="W1095" s="13"/>
    </row>
    <row r="1096" spans="1:23" x14ac:dyDescent="0.2">
      <c r="A1096"/>
      <c r="B1096"/>
      <c r="C1096"/>
      <c r="D1096"/>
      <c r="E1096"/>
      <c r="F1096"/>
      <c r="G1096"/>
      <c r="H1096"/>
      <c r="I1096"/>
      <c r="J1096"/>
      <c r="K1096" s="13" t="s">
        <v>86</v>
      </c>
      <c r="L1096" s="13" t="s">
        <v>448</v>
      </c>
      <c r="M1096" s="13" t="s">
        <v>366</v>
      </c>
      <c r="N1096" s="15">
        <v>0</v>
      </c>
      <c r="O1096" s="16">
        <v>0</v>
      </c>
      <c r="P1096" s="17">
        <v>480.1272500040165</v>
      </c>
      <c r="Q1096" s="17">
        <v>0</v>
      </c>
      <c r="R1096" s="13"/>
      <c r="S1096" s="13"/>
      <c r="T1096" s="13"/>
      <c r="U1096" s="13"/>
      <c r="V1096" s="13"/>
      <c r="W1096" s="13"/>
    </row>
    <row r="1097" spans="1:23" x14ac:dyDescent="0.2">
      <c r="A1097"/>
      <c r="B1097"/>
      <c r="C1097"/>
      <c r="D1097"/>
      <c r="E1097"/>
      <c r="F1097"/>
      <c r="G1097"/>
      <c r="H1097"/>
      <c r="I1097"/>
      <c r="J1097"/>
      <c r="K1097" s="13" t="s">
        <v>86</v>
      </c>
      <c r="L1097" s="13" t="s">
        <v>451</v>
      </c>
      <c r="M1097" s="13" t="s">
        <v>369</v>
      </c>
      <c r="N1097" s="15">
        <v>0</v>
      </c>
      <c r="O1097" s="16">
        <v>0</v>
      </c>
      <c r="P1097" s="17">
        <v>5751.2619499691664</v>
      </c>
      <c r="Q1097" s="17">
        <v>0</v>
      </c>
      <c r="R1097" s="13"/>
      <c r="S1097" s="13"/>
      <c r="T1097" s="13"/>
      <c r="U1097" s="13"/>
      <c r="V1097" s="13"/>
      <c r="W1097" s="13"/>
    </row>
    <row r="1098" spans="1:23" x14ac:dyDescent="0.2">
      <c r="A1098"/>
      <c r="B1098"/>
      <c r="C1098"/>
      <c r="D1098"/>
      <c r="E1098"/>
      <c r="F1098"/>
      <c r="G1098"/>
      <c r="H1098"/>
      <c r="I1098"/>
      <c r="J1098"/>
      <c r="K1098" s="13" t="s">
        <v>86</v>
      </c>
      <c r="L1098" s="13" t="s">
        <v>381</v>
      </c>
      <c r="M1098" s="13" t="s">
        <v>382</v>
      </c>
      <c r="N1098" s="15">
        <v>8</v>
      </c>
      <c r="O1098" s="16">
        <v>0</v>
      </c>
      <c r="P1098" s="17">
        <v>0</v>
      </c>
      <c r="Q1098" s="17">
        <v>0</v>
      </c>
      <c r="R1098" s="13"/>
      <c r="S1098" s="13"/>
      <c r="T1098" s="13"/>
      <c r="U1098" s="13"/>
      <c r="V1098" s="13"/>
      <c r="W1098" s="13"/>
    </row>
    <row r="1099" spans="1:23" x14ac:dyDescent="0.2">
      <c r="A1099"/>
      <c r="B1099"/>
      <c r="C1099"/>
      <c r="D1099"/>
      <c r="E1099"/>
      <c r="F1099"/>
      <c r="G1099"/>
      <c r="H1099"/>
      <c r="I1099"/>
      <c r="J1099"/>
      <c r="K1099" s="13" t="s">
        <v>86</v>
      </c>
      <c r="L1099" s="13" t="s">
        <v>475</v>
      </c>
      <c r="M1099" s="13" t="s">
        <v>470</v>
      </c>
      <c r="N1099" s="15">
        <v>1</v>
      </c>
      <c r="O1099" s="16">
        <v>0</v>
      </c>
      <c r="P1099" s="17">
        <v>0</v>
      </c>
      <c r="Q1099" s="17">
        <v>0</v>
      </c>
      <c r="R1099" s="13"/>
      <c r="S1099" s="13"/>
      <c r="T1099" s="13"/>
      <c r="U1099" s="13"/>
      <c r="V1099" s="13"/>
      <c r="W1099" s="13"/>
    </row>
    <row r="1100" spans="1:23" x14ac:dyDescent="0.2">
      <c r="A1100"/>
      <c r="B1100"/>
      <c r="C1100"/>
      <c r="D1100"/>
      <c r="E1100"/>
      <c r="F1100"/>
      <c r="G1100"/>
      <c r="H1100"/>
      <c r="I1100"/>
      <c r="J1100"/>
      <c r="K1100" s="13" t="s">
        <v>86</v>
      </c>
      <c r="L1100" s="13" t="s">
        <v>608</v>
      </c>
      <c r="M1100" s="13" t="s">
        <v>432</v>
      </c>
      <c r="N1100" s="15">
        <v>1</v>
      </c>
      <c r="O1100" s="16">
        <v>0</v>
      </c>
      <c r="P1100" s="17">
        <v>0</v>
      </c>
      <c r="Q1100" s="17">
        <v>0</v>
      </c>
      <c r="R1100" s="13"/>
      <c r="S1100" s="13"/>
      <c r="T1100" s="13"/>
      <c r="U1100" s="13"/>
      <c r="V1100" s="13"/>
      <c r="W1100" s="13"/>
    </row>
    <row r="1101" spans="1:23" x14ac:dyDescent="0.2">
      <c r="A1101"/>
      <c r="B1101"/>
      <c r="C1101"/>
      <c r="D1101"/>
      <c r="E1101"/>
      <c r="F1101"/>
      <c r="G1101"/>
      <c r="H1101"/>
      <c r="I1101"/>
      <c r="J1101"/>
      <c r="K1101" s="13" t="s">
        <v>86</v>
      </c>
      <c r="L1101" s="13" t="s">
        <v>415</v>
      </c>
      <c r="M1101" s="13" t="s">
        <v>412</v>
      </c>
      <c r="N1101" s="15">
        <v>0</v>
      </c>
      <c r="O1101" s="16">
        <v>0</v>
      </c>
      <c r="P1101" s="17">
        <v>14.700500000205238</v>
      </c>
      <c r="Q1101" s="17">
        <v>0</v>
      </c>
      <c r="R1101" s="13"/>
      <c r="S1101" s="13"/>
      <c r="T1101" s="13"/>
      <c r="U1101" s="13"/>
      <c r="V1101" s="13"/>
      <c r="W1101" s="13"/>
    </row>
    <row r="1102" spans="1:23" x14ac:dyDescent="0.2">
      <c r="A1102"/>
      <c r="B1102"/>
      <c r="C1102"/>
      <c r="D1102"/>
      <c r="E1102"/>
      <c r="F1102"/>
      <c r="G1102"/>
      <c r="H1102"/>
      <c r="I1102"/>
      <c r="J1102"/>
      <c r="K1102" s="13" t="s">
        <v>86</v>
      </c>
      <c r="L1102" s="13" t="s">
        <v>419</v>
      </c>
      <c r="M1102" s="13" t="s">
        <v>442</v>
      </c>
      <c r="N1102" s="15">
        <v>0</v>
      </c>
      <c r="O1102" s="16">
        <v>14.307693683221821</v>
      </c>
      <c r="P1102" s="17">
        <v>0</v>
      </c>
      <c r="Q1102" s="17">
        <v>0</v>
      </c>
      <c r="R1102" s="13"/>
      <c r="S1102" s="13"/>
      <c r="T1102" s="13"/>
      <c r="U1102" s="13"/>
      <c r="V1102" s="13"/>
      <c r="W1102" s="13"/>
    </row>
    <row r="1103" spans="1:23" x14ac:dyDescent="0.2">
      <c r="A1103"/>
      <c r="B1103"/>
      <c r="C1103"/>
      <c r="D1103"/>
      <c r="E1103"/>
      <c r="F1103"/>
      <c r="G1103"/>
      <c r="H1103"/>
      <c r="I1103"/>
      <c r="J1103"/>
      <c r="K1103" s="13" t="s">
        <v>87</v>
      </c>
      <c r="L1103" s="13" t="s">
        <v>391</v>
      </c>
      <c r="M1103" s="13" t="s">
        <v>358</v>
      </c>
      <c r="N1103" s="15">
        <v>0</v>
      </c>
      <c r="O1103" s="16">
        <v>0</v>
      </c>
      <c r="P1103" s="17">
        <v>134.08114999929489</v>
      </c>
      <c r="Q1103" s="17">
        <v>0</v>
      </c>
      <c r="R1103" s="13"/>
      <c r="S1103" s="13"/>
      <c r="T1103" s="13"/>
      <c r="U1103" s="13"/>
      <c r="V1103" s="13"/>
      <c r="W1103" s="13"/>
    </row>
    <row r="1104" spans="1:23" x14ac:dyDescent="0.2">
      <c r="A1104"/>
      <c r="B1104"/>
      <c r="C1104"/>
      <c r="D1104"/>
      <c r="E1104"/>
      <c r="F1104"/>
      <c r="G1104"/>
      <c r="H1104"/>
      <c r="I1104"/>
      <c r="J1104"/>
      <c r="K1104" s="13" t="s">
        <v>87</v>
      </c>
      <c r="L1104" s="13" t="s">
        <v>448</v>
      </c>
      <c r="M1104" s="13" t="s">
        <v>366</v>
      </c>
      <c r="N1104" s="15">
        <v>0</v>
      </c>
      <c r="O1104" s="16">
        <v>0</v>
      </c>
      <c r="P1104" s="17">
        <v>5029.6906499971983</v>
      </c>
      <c r="Q1104" s="17">
        <v>0</v>
      </c>
      <c r="R1104" s="13"/>
      <c r="S1104" s="13"/>
      <c r="T1104" s="13"/>
      <c r="U1104" s="13"/>
      <c r="V1104" s="13"/>
      <c r="W1104" s="13"/>
    </row>
    <row r="1105" spans="1:23" x14ac:dyDescent="0.2">
      <c r="A1105"/>
      <c r="B1105"/>
      <c r="C1105"/>
      <c r="D1105"/>
      <c r="E1105"/>
      <c r="F1105"/>
      <c r="G1105"/>
      <c r="H1105"/>
      <c r="I1105"/>
      <c r="J1105"/>
      <c r="K1105" s="13" t="s">
        <v>87</v>
      </c>
      <c r="L1105" s="13" t="s">
        <v>462</v>
      </c>
      <c r="M1105" s="13" t="s">
        <v>370</v>
      </c>
      <c r="N1105" s="15">
        <v>0</v>
      </c>
      <c r="O1105" s="16">
        <v>0</v>
      </c>
      <c r="P1105" s="17">
        <v>230.50855002711242</v>
      </c>
      <c r="Q1105" s="17">
        <v>0</v>
      </c>
      <c r="R1105" s="13"/>
      <c r="S1105" s="13"/>
      <c r="T1105" s="13"/>
      <c r="U1105" s="13"/>
      <c r="V1105" s="13"/>
      <c r="W1105" s="13"/>
    </row>
    <row r="1106" spans="1:23" x14ac:dyDescent="0.2">
      <c r="A1106"/>
      <c r="B1106"/>
      <c r="C1106"/>
      <c r="D1106"/>
      <c r="E1106"/>
      <c r="F1106"/>
      <c r="G1106"/>
      <c r="H1106"/>
      <c r="I1106"/>
      <c r="J1106"/>
      <c r="K1106" s="13" t="s">
        <v>87</v>
      </c>
      <c r="L1106" s="13" t="s">
        <v>463</v>
      </c>
      <c r="M1106" s="13" t="s">
        <v>372</v>
      </c>
      <c r="N1106" s="15">
        <v>0</v>
      </c>
      <c r="O1106" s="16">
        <v>0</v>
      </c>
      <c r="P1106" s="17">
        <v>22736.84333022694</v>
      </c>
      <c r="Q1106" s="17">
        <v>0</v>
      </c>
      <c r="R1106" s="13"/>
      <c r="S1106" s="13"/>
      <c r="T1106" s="13"/>
      <c r="U1106" s="13"/>
      <c r="V1106" s="13"/>
      <c r="W1106" s="13"/>
    </row>
    <row r="1107" spans="1:23" x14ac:dyDescent="0.2">
      <c r="A1107"/>
      <c r="B1107"/>
      <c r="C1107"/>
      <c r="D1107"/>
      <c r="E1107"/>
      <c r="F1107"/>
      <c r="G1107"/>
      <c r="H1107"/>
      <c r="I1107"/>
      <c r="J1107"/>
      <c r="K1107" s="13" t="s">
        <v>87</v>
      </c>
      <c r="L1107" s="13" t="s">
        <v>471</v>
      </c>
      <c r="M1107" s="13" t="s">
        <v>472</v>
      </c>
      <c r="N1107" s="15">
        <v>0</v>
      </c>
      <c r="O1107" s="16">
        <v>0</v>
      </c>
      <c r="P1107" s="17">
        <v>17247.704699688551</v>
      </c>
      <c r="Q1107" s="17">
        <v>0</v>
      </c>
      <c r="R1107" s="13"/>
      <c r="S1107" s="13"/>
      <c r="T1107" s="13"/>
      <c r="U1107" s="13"/>
      <c r="V1107" s="13"/>
      <c r="W1107" s="13"/>
    </row>
    <row r="1108" spans="1:23" x14ac:dyDescent="0.2">
      <c r="A1108"/>
      <c r="B1108"/>
      <c r="C1108"/>
      <c r="D1108"/>
      <c r="E1108"/>
      <c r="F1108"/>
      <c r="G1108"/>
      <c r="H1108"/>
      <c r="I1108"/>
      <c r="J1108"/>
      <c r="K1108" s="13" t="s">
        <v>87</v>
      </c>
      <c r="L1108" s="13" t="s">
        <v>523</v>
      </c>
      <c r="M1108" s="13" t="s">
        <v>476</v>
      </c>
      <c r="N1108" s="15">
        <v>0</v>
      </c>
      <c r="O1108" s="16">
        <v>0</v>
      </c>
      <c r="P1108" s="17">
        <v>94.858280514786259</v>
      </c>
      <c r="Q1108" s="17">
        <v>0</v>
      </c>
      <c r="R1108" s="13"/>
      <c r="S1108" s="13"/>
      <c r="T1108" s="13"/>
      <c r="U1108" s="13"/>
      <c r="V1108" s="13"/>
      <c r="W1108" s="13"/>
    </row>
    <row r="1109" spans="1:23" x14ac:dyDescent="0.2">
      <c r="A1109"/>
      <c r="B1109"/>
      <c r="C1109"/>
      <c r="D1109"/>
      <c r="E1109"/>
      <c r="F1109"/>
      <c r="G1109"/>
      <c r="H1109"/>
      <c r="I1109"/>
      <c r="J1109"/>
      <c r="K1109" s="13" t="s">
        <v>88</v>
      </c>
      <c r="L1109" s="13" t="s">
        <v>402</v>
      </c>
      <c r="M1109" s="13" t="s">
        <v>403</v>
      </c>
      <c r="N1109" s="15">
        <v>0</v>
      </c>
      <c r="O1109" s="16">
        <v>0</v>
      </c>
      <c r="P1109" s="17">
        <v>892.28855000501142</v>
      </c>
      <c r="Q1109" s="17">
        <v>0</v>
      </c>
      <c r="R1109" s="13"/>
      <c r="S1109" s="13"/>
      <c r="T1109" s="13"/>
      <c r="U1109" s="13"/>
      <c r="V1109" s="13"/>
      <c r="W1109" s="13"/>
    </row>
    <row r="1110" spans="1:23" x14ac:dyDescent="0.2">
      <c r="A1110"/>
      <c r="B1110"/>
      <c r="C1110"/>
      <c r="D1110"/>
      <c r="E1110"/>
      <c r="F1110"/>
      <c r="G1110"/>
      <c r="H1110"/>
      <c r="I1110"/>
      <c r="J1110"/>
      <c r="K1110" s="13" t="s">
        <v>88</v>
      </c>
      <c r="L1110" s="13" t="s">
        <v>451</v>
      </c>
      <c r="M1110" s="13" t="s">
        <v>369</v>
      </c>
      <c r="N1110" s="15">
        <v>0</v>
      </c>
      <c r="O1110" s="16">
        <v>0</v>
      </c>
      <c r="P1110" s="17">
        <v>892.28855000501142</v>
      </c>
      <c r="Q1110" s="17">
        <v>0</v>
      </c>
      <c r="R1110" s="13"/>
      <c r="S1110" s="13"/>
      <c r="T1110" s="13"/>
      <c r="U1110" s="13"/>
      <c r="V1110" s="13"/>
      <c r="W1110" s="13"/>
    </row>
    <row r="1111" spans="1:23" x14ac:dyDescent="0.2">
      <c r="A1111"/>
      <c r="B1111"/>
      <c r="C1111"/>
      <c r="D1111"/>
      <c r="E1111"/>
      <c r="F1111"/>
      <c r="G1111"/>
      <c r="H1111"/>
      <c r="I1111"/>
      <c r="J1111"/>
      <c r="K1111" s="13" t="s">
        <v>573</v>
      </c>
      <c r="L1111" s="13" t="s">
        <v>399</v>
      </c>
      <c r="M1111" s="13" t="s">
        <v>400</v>
      </c>
      <c r="N1111" s="15">
        <v>0</v>
      </c>
      <c r="O1111" s="16">
        <v>0</v>
      </c>
      <c r="P1111" s="17">
        <v>52.020400000148598</v>
      </c>
      <c r="Q1111" s="17">
        <v>0</v>
      </c>
      <c r="R1111" s="13"/>
      <c r="S1111" s="13"/>
      <c r="T1111" s="13"/>
      <c r="U1111" s="13"/>
      <c r="V1111" s="13"/>
      <c r="W1111" s="13"/>
    </row>
    <row r="1112" spans="1:23" x14ac:dyDescent="0.2">
      <c r="A1112"/>
      <c r="B1112"/>
      <c r="C1112"/>
      <c r="D1112"/>
      <c r="E1112"/>
      <c r="F1112"/>
      <c r="G1112"/>
      <c r="H1112"/>
      <c r="I1112"/>
      <c r="J1112"/>
      <c r="K1112" s="13" t="s">
        <v>573</v>
      </c>
      <c r="L1112" s="13" t="s">
        <v>401</v>
      </c>
      <c r="M1112" s="13" t="s">
        <v>360</v>
      </c>
      <c r="N1112" s="15">
        <v>0</v>
      </c>
      <c r="O1112" s="16">
        <v>0</v>
      </c>
      <c r="P1112" s="17">
        <v>824.54594995393484</v>
      </c>
      <c r="Q1112" s="17">
        <v>0</v>
      </c>
      <c r="R1112" s="13"/>
      <c r="S1112" s="13"/>
      <c r="T1112" s="13"/>
      <c r="U1112" s="13"/>
      <c r="V1112" s="13"/>
      <c r="W1112" s="13"/>
    </row>
    <row r="1113" spans="1:23" x14ac:dyDescent="0.2">
      <c r="A1113"/>
      <c r="B1113"/>
      <c r="C1113"/>
      <c r="D1113"/>
      <c r="E1113"/>
      <c r="F1113"/>
      <c r="G1113"/>
      <c r="H1113"/>
      <c r="I1113"/>
      <c r="J1113"/>
      <c r="K1113" s="13" t="s">
        <v>573</v>
      </c>
      <c r="L1113" s="13" t="s">
        <v>402</v>
      </c>
      <c r="M1113" s="13" t="s">
        <v>403</v>
      </c>
      <c r="N1113" s="15">
        <v>0</v>
      </c>
      <c r="O1113" s="16">
        <v>0</v>
      </c>
      <c r="P1113" s="17">
        <v>1444.3743999838766</v>
      </c>
      <c r="Q1113" s="17">
        <v>0</v>
      </c>
      <c r="R1113" s="13"/>
      <c r="S1113" s="13"/>
      <c r="T1113" s="13"/>
      <c r="U1113" s="13"/>
      <c r="V1113" s="13"/>
      <c r="W1113" s="13"/>
    </row>
    <row r="1114" spans="1:23" x14ac:dyDescent="0.2">
      <c r="A1114"/>
      <c r="B1114"/>
      <c r="C1114"/>
      <c r="D1114"/>
      <c r="E1114"/>
      <c r="F1114"/>
      <c r="G1114"/>
      <c r="H1114"/>
      <c r="I1114"/>
      <c r="J1114"/>
      <c r="K1114" s="13" t="s">
        <v>573</v>
      </c>
      <c r="L1114" s="13" t="s">
        <v>451</v>
      </c>
      <c r="M1114" s="13" t="s">
        <v>369</v>
      </c>
      <c r="N1114" s="15">
        <v>0</v>
      </c>
      <c r="O1114" s="16">
        <v>0</v>
      </c>
      <c r="P1114" s="17">
        <v>2320.9407499379604</v>
      </c>
      <c r="Q1114" s="17">
        <v>0</v>
      </c>
      <c r="R1114" s="13"/>
      <c r="S1114" s="13"/>
      <c r="T1114" s="13"/>
      <c r="U1114" s="13"/>
      <c r="V1114" s="13"/>
      <c r="W1114" s="13"/>
    </row>
    <row r="1115" spans="1:23" x14ac:dyDescent="0.2">
      <c r="A1115"/>
      <c r="B1115"/>
      <c r="C1115"/>
      <c r="D1115"/>
      <c r="E1115"/>
      <c r="F1115"/>
      <c r="G1115"/>
      <c r="H1115"/>
      <c r="I1115"/>
      <c r="J1115"/>
      <c r="K1115" s="13" t="s">
        <v>89</v>
      </c>
      <c r="L1115" s="13" t="s">
        <v>435</v>
      </c>
      <c r="M1115" s="13" t="s">
        <v>364</v>
      </c>
      <c r="N1115" s="15">
        <v>0</v>
      </c>
      <c r="O1115" s="16">
        <v>0</v>
      </c>
      <c r="P1115" s="17">
        <v>110.74059999797026</v>
      </c>
      <c r="Q1115" s="17">
        <v>0</v>
      </c>
      <c r="R1115" s="13"/>
      <c r="S1115" s="13"/>
      <c r="T1115" s="13"/>
      <c r="U1115" s="13"/>
      <c r="V1115" s="13"/>
      <c r="W1115" s="13"/>
    </row>
    <row r="1116" spans="1:23" x14ac:dyDescent="0.2">
      <c r="A1116"/>
      <c r="B1116"/>
      <c r="C1116"/>
      <c r="D1116"/>
      <c r="E1116"/>
      <c r="F1116"/>
      <c r="G1116"/>
      <c r="H1116"/>
      <c r="I1116"/>
      <c r="J1116"/>
      <c r="K1116" s="13" t="s">
        <v>89</v>
      </c>
      <c r="L1116" s="13" t="s">
        <v>401</v>
      </c>
      <c r="M1116" s="13" t="s">
        <v>360</v>
      </c>
      <c r="N1116" s="15">
        <v>0</v>
      </c>
      <c r="O1116" s="16">
        <v>0</v>
      </c>
      <c r="P1116" s="17">
        <v>174.10205000423207</v>
      </c>
      <c r="Q1116" s="17">
        <v>0</v>
      </c>
      <c r="R1116" s="13"/>
      <c r="S1116" s="13"/>
      <c r="T1116" s="13"/>
      <c r="U1116" s="13"/>
      <c r="V1116" s="13"/>
      <c r="W1116" s="13"/>
    </row>
    <row r="1117" spans="1:23" x14ac:dyDescent="0.2">
      <c r="A1117"/>
      <c r="B1117"/>
      <c r="C1117"/>
      <c r="D1117"/>
      <c r="E1117"/>
      <c r="F1117"/>
      <c r="G1117"/>
      <c r="H1117"/>
      <c r="I1117"/>
      <c r="J1117"/>
      <c r="K1117" s="13" t="s">
        <v>89</v>
      </c>
      <c r="L1117" s="13" t="s">
        <v>402</v>
      </c>
      <c r="M1117" s="13" t="s">
        <v>403</v>
      </c>
      <c r="N1117" s="15">
        <v>0</v>
      </c>
      <c r="O1117" s="16">
        <v>0</v>
      </c>
      <c r="P1117" s="17">
        <v>2147.951099975649</v>
      </c>
      <c r="Q1117" s="17">
        <v>0</v>
      </c>
      <c r="R1117" s="13"/>
      <c r="S1117" s="13"/>
      <c r="T1117" s="13"/>
      <c r="U1117" s="13"/>
      <c r="V1117" s="13"/>
      <c r="W1117" s="13"/>
    </row>
    <row r="1118" spans="1:23" x14ac:dyDescent="0.2">
      <c r="A1118"/>
      <c r="B1118"/>
      <c r="C1118"/>
      <c r="D1118"/>
      <c r="E1118"/>
      <c r="F1118"/>
      <c r="G1118"/>
      <c r="H1118"/>
      <c r="I1118"/>
      <c r="J1118"/>
      <c r="K1118" s="13" t="s">
        <v>89</v>
      </c>
      <c r="L1118" s="13" t="s">
        <v>448</v>
      </c>
      <c r="M1118" s="13" t="s">
        <v>366</v>
      </c>
      <c r="N1118" s="15">
        <v>0</v>
      </c>
      <c r="O1118" s="16">
        <v>0</v>
      </c>
      <c r="P1118" s="17">
        <v>128.53340000668564</v>
      </c>
      <c r="Q1118" s="17">
        <v>0</v>
      </c>
      <c r="R1118" s="13"/>
      <c r="S1118" s="13"/>
      <c r="T1118" s="13"/>
      <c r="U1118" s="13"/>
      <c r="V1118" s="13"/>
      <c r="W1118" s="13"/>
    </row>
    <row r="1119" spans="1:23" x14ac:dyDescent="0.2">
      <c r="A1119"/>
      <c r="B1119"/>
      <c r="C1119"/>
      <c r="D1119"/>
      <c r="E1119"/>
      <c r="F1119"/>
      <c r="G1119"/>
      <c r="H1119"/>
      <c r="I1119"/>
      <c r="J1119"/>
      <c r="K1119" s="13" t="s">
        <v>89</v>
      </c>
      <c r="L1119" s="13" t="s">
        <v>456</v>
      </c>
      <c r="M1119" s="13" t="s">
        <v>457</v>
      </c>
      <c r="N1119" s="15">
        <v>0</v>
      </c>
      <c r="O1119" s="16">
        <v>0</v>
      </c>
      <c r="P1119" s="17">
        <v>29.227999995372841</v>
      </c>
      <c r="Q1119" s="17">
        <v>0</v>
      </c>
      <c r="R1119" s="13"/>
      <c r="S1119" s="13"/>
      <c r="T1119" s="13"/>
      <c r="U1119" s="13"/>
      <c r="V1119" s="13"/>
      <c r="W1119" s="13"/>
    </row>
    <row r="1120" spans="1:23" x14ac:dyDescent="0.2">
      <c r="A1120"/>
      <c r="B1120"/>
      <c r="C1120"/>
      <c r="D1120"/>
      <c r="E1120"/>
      <c r="F1120"/>
      <c r="G1120"/>
      <c r="H1120"/>
      <c r="I1120"/>
      <c r="J1120"/>
      <c r="K1120" s="13" t="s">
        <v>89</v>
      </c>
      <c r="L1120" s="13" t="s">
        <v>451</v>
      </c>
      <c r="M1120" s="13" t="s">
        <v>369</v>
      </c>
      <c r="N1120" s="15">
        <v>0</v>
      </c>
      <c r="O1120" s="16">
        <v>0</v>
      </c>
      <c r="P1120" s="17">
        <v>2484.6005999815134</v>
      </c>
      <c r="Q1120" s="17">
        <v>0</v>
      </c>
      <c r="R1120" s="13"/>
      <c r="S1120" s="13"/>
      <c r="T1120" s="13"/>
      <c r="U1120" s="13"/>
      <c r="V1120" s="13"/>
      <c r="W1120" s="13"/>
    </row>
    <row r="1121" spans="1:23" x14ac:dyDescent="0.2">
      <c r="A1121"/>
      <c r="B1121"/>
      <c r="C1121"/>
      <c r="D1121"/>
      <c r="E1121"/>
      <c r="F1121"/>
      <c r="G1121"/>
      <c r="H1121"/>
      <c r="I1121"/>
      <c r="J1121"/>
      <c r="K1121" s="13" t="s">
        <v>89</v>
      </c>
      <c r="L1121" s="13" t="s">
        <v>606</v>
      </c>
      <c r="M1121" s="13" t="s">
        <v>430</v>
      </c>
      <c r="N1121" s="15">
        <v>4</v>
      </c>
      <c r="O1121" s="16">
        <v>0</v>
      </c>
      <c r="P1121" s="17">
        <v>0</v>
      </c>
      <c r="Q1121" s="17">
        <v>0</v>
      </c>
      <c r="R1121" s="13"/>
      <c r="S1121" s="13"/>
      <c r="T1121" s="13"/>
      <c r="U1121" s="13"/>
      <c r="V1121" s="13"/>
      <c r="W1121" s="13"/>
    </row>
    <row r="1122" spans="1:23" x14ac:dyDescent="0.2">
      <c r="A1122"/>
      <c r="B1122"/>
      <c r="C1122"/>
      <c r="D1122"/>
      <c r="E1122"/>
      <c r="F1122"/>
      <c r="G1122"/>
      <c r="H1122"/>
      <c r="I1122"/>
      <c r="J1122"/>
      <c r="K1122" s="13" t="s">
        <v>89</v>
      </c>
      <c r="L1122" s="13" t="s">
        <v>417</v>
      </c>
      <c r="M1122" s="13" t="s">
        <v>414</v>
      </c>
      <c r="N1122" s="15">
        <v>0</v>
      </c>
      <c r="O1122" s="16">
        <v>0</v>
      </c>
      <c r="P1122" s="17">
        <v>4.7860499995741295</v>
      </c>
      <c r="Q1122" s="17">
        <v>0</v>
      </c>
      <c r="R1122" s="13"/>
      <c r="S1122" s="13"/>
      <c r="T1122" s="13"/>
      <c r="U1122" s="13"/>
      <c r="V1122" s="13"/>
      <c r="W1122" s="13"/>
    </row>
    <row r="1123" spans="1:23" x14ac:dyDescent="0.2">
      <c r="A1123"/>
      <c r="B1123"/>
      <c r="C1123"/>
      <c r="D1123"/>
      <c r="E1123"/>
      <c r="F1123"/>
      <c r="G1123"/>
      <c r="H1123"/>
      <c r="I1123"/>
      <c r="J1123"/>
      <c r="K1123" s="13" t="s">
        <v>89</v>
      </c>
      <c r="L1123" s="13" t="s">
        <v>419</v>
      </c>
      <c r="M1123" s="13" t="s">
        <v>442</v>
      </c>
      <c r="N1123" s="15">
        <v>0</v>
      </c>
      <c r="O1123" s="16">
        <v>80.574180016141824</v>
      </c>
      <c r="P1123" s="17">
        <v>0</v>
      </c>
      <c r="Q1123" s="17">
        <v>0</v>
      </c>
      <c r="R1123" s="13"/>
      <c r="S1123" s="13"/>
      <c r="T1123" s="13"/>
      <c r="U1123" s="13"/>
      <c r="V1123" s="13"/>
      <c r="W1123" s="13"/>
    </row>
    <row r="1124" spans="1:23" x14ac:dyDescent="0.2">
      <c r="A1124"/>
      <c r="B1124"/>
      <c r="C1124"/>
      <c r="D1124"/>
      <c r="E1124"/>
      <c r="F1124"/>
      <c r="G1124"/>
      <c r="H1124"/>
      <c r="I1124"/>
      <c r="J1124"/>
      <c r="K1124" s="13" t="s">
        <v>89</v>
      </c>
      <c r="L1124" s="13" t="s">
        <v>383</v>
      </c>
      <c r="M1124" s="13" t="s">
        <v>420</v>
      </c>
      <c r="N1124" s="15">
        <v>1</v>
      </c>
      <c r="O1124" s="16">
        <v>0</v>
      </c>
      <c r="P1124" s="17">
        <v>0</v>
      </c>
      <c r="Q1124" s="17">
        <v>0</v>
      </c>
      <c r="R1124" s="13"/>
      <c r="S1124" s="13"/>
      <c r="T1124" s="13"/>
      <c r="U1124" s="13"/>
      <c r="V1124" s="13"/>
      <c r="W1124" s="13"/>
    </row>
    <row r="1125" spans="1:23" x14ac:dyDescent="0.2">
      <c r="A1125"/>
      <c r="B1125"/>
      <c r="C1125"/>
      <c r="D1125"/>
      <c r="E1125"/>
      <c r="F1125"/>
      <c r="G1125"/>
      <c r="H1125"/>
      <c r="I1125"/>
      <c r="J1125"/>
      <c r="K1125" s="13" t="s">
        <v>89</v>
      </c>
      <c r="L1125" s="13" t="s">
        <v>614</v>
      </c>
      <c r="M1125" s="13" t="s">
        <v>447</v>
      </c>
      <c r="N1125" s="15">
        <v>1</v>
      </c>
      <c r="O1125" s="16">
        <v>0</v>
      </c>
      <c r="P1125" s="17">
        <v>0</v>
      </c>
      <c r="Q1125" s="17">
        <v>0</v>
      </c>
      <c r="R1125" s="13"/>
      <c r="S1125" s="13"/>
      <c r="T1125" s="13"/>
      <c r="U1125" s="13"/>
      <c r="V1125" s="13"/>
      <c r="W1125" s="13"/>
    </row>
    <row r="1126" spans="1:23" x14ac:dyDescent="0.2">
      <c r="A1126"/>
      <c r="B1126"/>
      <c r="C1126"/>
      <c r="D1126"/>
      <c r="E1126"/>
      <c r="F1126"/>
      <c r="G1126"/>
      <c r="H1126"/>
      <c r="I1126"/>
      <c r="J1126"/>
      <c r="K1126" s="13" t="s">
        <v>90</v>
      </c>
      <c r="L1126" s="13" t="s">
        <v>397</v>
      </c>
      <c r="M1126" s="13" t="s">
        <v>398</v>
      </c>
      <c r="N1126" s="15">
        <v>0</v>
      </c>
      <c r="O1126" s="16">
        <v>0</v>
      </c>
      <c r="P1126" s="17">
        <v>470.63689997203124</v>
      </c>
      <c r="Q1126" s="17">
        <v>0</v>
      </c>
      <c r="R1126" s="13"/>
      <c r="S1126" s="13"/>
      <c r="T1126" s="13"/>
      <c r="U1126" s="13"/>
      <c r="V1126" s="13"/>
      <c r="W1126" s="13"/>
    </row>
    <row r="1127" spans="1:23" x14ac:dyDescent="0.2">
      <c r="A1127"/>
      <c r="B1127"/>
      <c r="C1127"/>
      <c r="D1127"/>
      <c r="E1127"/>
      <c r="F1127"/>
      <c r="G1127"/>
      <c r="H1127"/>
      <c r="I1127"/>
      <c r="J1127"/>
      <c r="K1127" s="13" t="s">
        <v>90</v>
      </c>
      <c r="L1127" s="13" t="s">
        <v>401</v>
      </c>
      <c r="M1127" s="13" t="s">
        <v>360</v>
      </c>
      <c r="N1127" s="15">
        <v>0</v>
      </c>
      <c r="O1127" s="16">
        <v>0</v>
      </c>
      <c r="P1127" s="17">
        <v>14082.588949815499</v>
      </c>
      <c r="Q1127" s="17">
        <v>0</v>
      </c>
      <c r="R1127" s="13"/>
      <c r="S1127" s="13"/>
      <c r="T1127" s="13"/>
      <c r="U1127" s="13"/>
      <c r="V1127" s="13"/>
      <c r="W1127" s="13"/>
    </row>
    <row r="1128" spans="1:23" x14ac:dyDescent="0.2">
      <c r="A1128"/>
      <c r="B1128"/>
      <c r="C1128"/>
      <c r="D1128"/>
      <c r="E1128"/>
      <c r="F1128"/>
      <c r="G1128"/>
      <c r="H1128"/>
      <c r="I1128"/>
      <c r="J1128"/>
      <c r="K1128" s="13" t="s">
        <v>90</v>
      </c>
      <c r="L1128" s="13" t="s">
        <v>456</v>
      </c>
      <c r="M1128" s="13" t="s">
        <v>457</v>
      </c>
      <c r="N1128" s="15">
        <v>0</v>
      </c>
      <c r="O1128" s="16">
        <v>0</v>
      </c>
      <c r="P1128" s="17">
        <v>51293.434867072596</v>
      </c>
      <c r="Q1128" s="17">
        <v>0</v>
      </c>
      <c r="R1128" s="13"/>
      <c r="S1128" s="13"/>
      <c r="T1128" s="13"/>
      <c r="U1128" s="13"/>
      <c r="V1128" s="13"/>
      <c r="W1128" s="13"/>
    </row>
    <row r="1129" spans="1:23" x14ac:dyDescent="0.2">
      <c r="A1129"/>
      <c r="B1129"/>
      <c r="C1129"/>
      <c r="D1129"/>
      <c r="E1129"/>
      <c r="F1129"/>
      <c r="G1129"/>
      <c r="H1129"/>
      <c r="I1129"/>
      <c r="J1129"/>
      <c r="K1129" s="13" t="s">
        <v>90</v>
      </c>
      <c r="L1129" s="13" t="s">
        <v>381</v>
      </c>
      <c r="M1129" s="13" t="s">
        <v>382</v>
      </c>
      <c r="N1129" s="15">
        <v>28</v>
      </c>
      <c r="O1129" s="16">
        <v>0</v>
      </c>
      <c r="P1129" s="17">
        <v>0</v>
      </c>
      <c r="Q1129" s="17">
        <v>0</v>
      </c>
      <c r="R1129" s="13"/>
      <c r="S1129" s="13"/>
      <c r="T1129" s="13"/>
      <c r="U1129" s="13"/>
      <c r="V1129" s="13"/>
      <c r="W1129" s="13"/>
    </row>
    <row r="1130" spans="1:23" x14ac:dyDescent="0.2">
      <c r="A1130"/>
      <c r="B1130"/>
      <c r="C1130"/>
      <c r="D1130"/>
      <c r="E1130"/>
      <c r="F1130"/>
      <c r="G1130"/>
      <c r="H1130"/>
      <c r="I1130"/>
      <c r="J1130"/>
      <c r="K1130" s="13" t="s">
        <v>90</v>
      </c>
      <c r="L1130" s="13" t="s">
        <v>471</v>
      </c>
      <c r="M1130" s="13" t="s">
        <v>472</v>
      </c>
      <c r="N1130" s="15">
        <v>0</v>
      </c>
      <c r="O1130" s="16">
        <v>0</v>
      </c>
      <c r="P1130" s="17">
        <v>437.33020001804658</v>
      </c>
      <c r="Q1130" s="17">
        <v>0</v>
      </c>
      <c r="R1130" s="13"/>
      <c r="S1130" s="13"/>
      <c r="T1130" s="13"/>
      <c r="U1130" s="13"/>
      <c r="V1130" s="13"/>
      <c r="W1130" s="13"/>
    </row>
    <row r="1131" spans="1:23" x14ac:dyDescent="0.2">
      <c r="A1131"/>
      <c r="B1131"/>
      <c r="C1131"/>
      <c r="D1131"/>
      <c r="E1131"/>
      <c r="F1131"/>
      <c r="G1131"/>
      <c r="H1131"/>
      <c r="I1131"/>
      <c r="J1131"/>
      <c r="K1131" s="13" t="s">
        <v>91</v>
      </c>
      <c r="L1131" s="13" t="s">
        <v>482</v>
      </c>
      <c r="M1131" s="13" t="s">
        <v>483</v>
      </c>
      <c r="N1131" s="15">
        <v>0</v>
      </c>
      <c r="O1131" s="16">
        <v>0</v>
      </c>
      <c r="P1131" s="17">
        <v>1826.1929999965382</v>
      </c>
      <c r="Q1131" s="17">
        <v>0</v>
      </c>
      <c r="R1131" s="13"/>
      <c r="S1131" s="13"/>
      <c r="T1131" s="13"/>
      <c r="U1131" s="13"/>
      <c r="V1131" s="13"/>
      <c r="W1131" s="13"/>
    </row>
    <row r="1132" spans="1:23" x14ac:dyDescent="0.2">
      <c r="A1132"/>
      <c r="B1132"/>
      <c r="C1132"/>
      <c r="D1132"/>
      <c r="E1132"/>
      <c r="F1132"/>
      <c r="G1132"/>
      <c r="H1132"/>
      <c r="I1132"/>
      <c r="J1132"/>
      <c r="K1132" s="13" t="s">
        <v>92</v>
      </c>
      <c r="L1132" s="13" t="s">
        <v>402</v>
      </c>
      <c r="M1132" s="13" t="s">
        <v>403</v>
      </c>
      <c r="N1132" s="15">
        <v>0</v>
      </c>
      <c r="O1132" s="16">
        <v>0</v>
      </c>
      <c r="P1132" s="17">
        <v>5020.68918507526</v>
      </c>
      <c r="Q1132" s="17">
        <v>0</v>
      </c>
      <c r="R1132" s="13"/>
      <c r="S1132" s="13"/>
      <c r="T1132" s="13"/>
      <c r="U1132" s="13"/>
      <c r="V1132" s="13"/>
      <c r="W1132" s="13"/>
    </row>
    <row r="1133" spans="1:23" x14ac:dyDescent="0.2">
      <c r="A1133"/>
      <c r="B1133"/>
      <c r="C1133"/>
      <c r="D1133"/>
      <c r="E1133"/>
      <c r="F1133"/>
      <c r="G1133"/>
      <c r="H1133"/>
      <c r="I1133"/>
      <c r="J1133"/>
      <c r="K1133" s="13" t="s">
        <v>92</v>
      </c>
      <c r="L1133" s="13" t="s">
        <v>451</v>
      </c>
      <c r="M1133" s="13" t="s">
        <v>369</v>
      </c>
      <c r="N1133" s="15">
        <v>0</v>
      </c>
      <c r="O1133" s="16">
        <v>0</v>
      </c>
      <c r="P1133" s="17">
        <v>5020.68918507526</v>
      </c>
      <c r="Q1133" s="17">
        <v>0</v>
      </c>
      <c r="R1133" s="13"/>
      <c r="S1133" s="13"/>
      <c r="T1133" s="13"/>
      <c r="U1133" s="13"/>
      <c r="V1133" s="13"/>
      <c r="W1133" s="13"/>
    </row>
    <row r="1134" spans="1:23" x14ac:dyDescent="0.2">
      <c r="A1134"/>
      <c r="B1134"/>
      <c r="C1134"/>
      <c r="D1134"/>
      <c r="E1134"/>
      <c r="F1134"/>
      <c r="G1134"/>
      <c r="H1134"/>
      <c r="I1134"/>
      <c r="J1134"/>
      <c r="K1134" s="13" t="s">
        <v>92</v>
      </c>
      <c r="L1134" s="13" t="s">
        <v>607</v>
      </c>
      <c r="M1134" s="13" t="s">
        <v>431</v>
      </c>
      <c r="N1134" s="15">
        <v>2</v>
      </c>
      <c r="O1134" s="16">
        <v>0</v>
      </c>
      <c r="P1134" s="17">
        <v>0</v>
      </c>
      <c r="Q1134" s="17">
        <v>0</v>
      </c>
      <c r="R1134" s="13"/>
      <c r="S1134" s="13"/>
      <c r="T1134" s="13"/>
      <c r="U1134" s="13"/>
      <c r="V1134" s="13"/>
      <c r="W1134" s="13"/>
    </row>
    <row r="1135" spans="1:23" x14ac:dyDescent="0.2">
      <c r="A1135"/>
      <c r="B1135"/>
      <c r="C1135"/>
      <c r="D1135"/>
      <c r="E1135"/>
      <c r="F1135"/>
      <c r="G1135"/>
      <c r="H1135"/>
      <c r="I1135"/>
      <c r="J1135"/>
      <c r="K1135" s="13" t="s">
        <v>94</v>
      </c>
      <c r="L1135" s="13" t="s">
        <v>435</v>
      </c>
      <c r="M1135" s="13" t="s">
        <v>364</v>
      </c>
      <c r="N1135" s="15">
        <v>0</v>
      </c>
      <c r="O1135" s="16">
        <v>0</v>
      </c>
      <c r="P1135" s="17">
        <v>3431.3892999816817</v>
      </c>
      <c r="Q1135" s="17">
        <v>0</v>
      </c>
      <c r="R1135" s="13"/>
      <c r="S1135" s="13"/>
      <c r="T1135" s="13"/>
      <c r="U1135" s="13"/>
      <c r="V1135" s="13"/>
      <c r="W1135" s="13"/>
    </row>
    <row r="1136" spans="1:23" x14ac:dyDescent="0.2">
      <c r="A1136"/>
      <c r="B1136"/>
      <c r="C1136"/>
      <c r="D1136"/>
      <c r="E1136"/>
      <c r="F1136"/>
      <c r="G1136"/>
      <c r="H1136"/>
      <c r="I1136"/>
      <c r="J1136"/>
      <c r="K1136" s="13" t="s">
        <v>94</v>
      </c>
      <c r="L1136" s="13" t="s">
        <v>435</v>
      </c>
      <c r="M1136" s="13" t="s">
        <v>364</v>
      </c>
      <c r="N1136" s="15">
        <v>2</v>
      </c>
      <c r="O1136" s="16">
        <v>0</v>
      </c>
      <c r="P1136" s="17">
        <v>0</v>
      </c>
      <c r="Q1136" s="17">
        <v>0</v>
      </c>
      <c r="R1136" s="13"/>
      <c r="S1136" s="13"/>
      <c r="T1136" s="13"/>
      <c r="U1136" s="13"/>
      <c r="V1136" s="13"/>
      <c r="W1136" s="13"/>
    </row>
    <row r="1137" spans="1:23" x14ac:dyDescent="0.2">
      <c r="A1137"/>
      <c r="B1137"/>
      <c r="C1137"/>
      <c r="D1137"/>
      <c r="E1137"/>
      <c r="F1137"/>
      <c r="G1137"/>
      <c r="H1137"/>
      <c r="I1137"/>
      <c r="J1137"/>
      <c r="K1137" s="13" t="s">
        <v>94</v>
      </c>
      <c r="L1137" s="13" t="s">
        <v>391</v>
      </c>
      <c r="M1137" s="13" t="s">
        <v>358</v>
      </c>
      <c r="N1137" s="15">
        <v>0</v>
      </c>
      <c r="O1137" s="16">
        <v>0</v>
      </c>
      <c r="P1137" s="17">
        <v>757.62434997290165</v>
      </c>
      <c r="Q1137" s="17">
        <v>0</v>
      </c>
      <c r="R1137" s="13"/>
      <c r="S1137" s="13"/>
      <c r="T1137" s="13"/>
      <c r="U1137" s="13"/>
      <c r="V1137" s="13"/>
      <c r="W1137" s="13"/>
    </row>
    <row r="1138" spans="1:23" x14ac:dyDescent="0.2">
      <c r="A1138"/>
      <c r="B1138"/>
      <c r="C1138"/>
      <c r="D1138"/>
      <c r="E1138"/>
      <c r="F1138"/>
      <c r="G1138"/>
      <c r="H1138"/>
      <c r="I1138"/>
      <c r="J1138"/>
      <c r="K1138" s="13" t="s">
        <v>94</v>
      </c>
      <c r="L1138" s="13" t="s">
        <v>486</v>
      </c>
      <c r="M1138" s="13" t="s">
        <v>439</v>
      </c>
      <c r="N1138" s="15">
        <v>0</v>
      </c>
      <c r="O1138" s="16">
        <v>0</v>
      </c>
      <c r="P1138" s="17">
        <v>28.908599993972906</v>
      </c>
      <c r="Q1138" s="17">
        <v>0</v>
      </c>
      <c r="R1138" s="13"/>
      <c r="S1138" s="13"/>
      <c r="T1138" s="13"/>
      <c r="U1138" s="13"/>
      <c r="V1138" s="13"/>
      <c r="W1138" s="13"/>
    </row>
    <row r="1139" spans="1:23" x14ac:dyDescent="0.2">
      <c r="A1139"/>
      <c r="B1139"/>
      <c r="C1139"/>
      <c r="D1139"/>
      <c r="E1139"/>
      <c r="F1139"/>
      <c r="G1139"/>
      <c r="H1139"/>
      <c r="I1139"/>
      <c r="J1139"/>
      <c r="K1139" s="13" t="s">
        <v>94</v>
      </c>
      <c r="L1139" s="13" t="s">
        <v>401</v>
      </c>
      <c r="M1139" s="13" t="s">
        <v>360</v>
      </c>
      <c r="N1139" s="15">
        <v>0</v>
      </c>
      <c r="O1139" s="16">
        <v>0</v>
      </c>
      <c r="P1139" s="17">
        <v>1208.1770500134726</v>
      </c>
      <c r="Q1139" s="17">
        <v>0</v>
      </c>
      <c r="R1139" s="13"/>
      <c r="S1139" s="13"/>
      <c r="T1139" s="13"/>
      <c r="U1139" s="13"/>
      <c r="V1139" s="13"/>
      <c r="W1139" s="13"/>
    </row>
    <row r="1140" spans="1:23" x14ac:dyDescent="0.2">
      <c r="A1140"/>
      <c r="B1140"/>
      <c r="C1140"/>
      <c r="D1140"/>
      <c r="E1140"/>
      <c r="F1140"/>
      <c r="G1140"/>
      <c r="H1140"/>
      <c r="I1140"/>
      <c r="J1140"/>
      <c r="K1140" s="13" t="s">
        <v>94</v>
      </c>
      <c r="L1140" s="13" t="s">
        <v>402</v>
      </c>
      <c r="M1140" s="13" t="s">
        <v>403</v>
      </c>
      <c r="N1140" s="15">
        <v>0</v>
      </c>
      <c r="O1140" s="16">
        <v>0</v>
      </c>
      <c r="P1140" s="17">
        <v>346.4480806845695</v>
      </c>
      <c r="Q1140" s="17">
        <v>0</v>
      </c>
      <c r="R1140" s="13"/>
      <c r="S1140" s="13"/>
      <c r="T1140" s="13"/>
      <c r="U1140" s="13"/>
      <c r="V1140" s="13"/>
      <c r="W1140" s="13"/>
    </row>
    <row r="1141" spans="1:23" x14ac:dyDescent="0.2">
      <c r="A1141"/>
      <c r="B1141"/>
      <c r="C1141"/>
      <c r="D1141"/>
      <c r="E1141"/>
      <c r="F1141"/>
      <c r="G1141"/>
      <c r="H1141"/>
      <c r="I1141"/>
      <c r="J1141"/>
      <c r="K1141" s="13" t="s">
        <v>94</v>
      </c>
      <c r="L1141" s="13" t="s">
        <v>448</v>
      </c>
      <c r="M1141" s="13" t="s">
        <v>366</v>
      </c>
      <c r="N1141" s="15">
        <v>0</v>
      </c>
      <c r="O1141" s="16">
        <v>0</v>
      </c>
      <c r="P1141" s="17">
        <v>7061.3391998922561</v>
      </c>
      <c r="Q1141" s="17">
        <v>0</v>
      </c>
      <c r="R1141" s="13"/>
      <c r="S1141" s="13"/>
      <c r="T1141" s="13"/>
      <c r="U1141" s="13"/>
      <c r="V1141" s="13"/>
      <c r="W1141" s="13"/>
    </row>
    <row r="1142" spans="1:23" x14ac:dyDescent="0.2">
      <c r="A1142"/>
      <c r="B1142"/>
      <c r="C1142"/>
      <c r="D1142"/>
      <c r="E1142"/>
      <c r="F1142"/>
      <c r="G1142"/>
      <c r="H1142"/>
      <c r="I1142"/>
      <c r="J1142"/>
      <c r="K1142" s="13" t="s">
        <v>94</v>
      </c>
      <c r="L1142" s="13" t="s">
        <v>462</v>
      </c>
      <c r="M1142" s="13" t="s">
        <v>370</v>
      </c>
      <c r="N1142" s="15">
        <v>0</v>
      </c>
      <c r="O1142" s="16">
        <v>0</v>
      </c>
      <c r="P1142" s="17">
        <v>2337.3722999000856</v>
      </c>
      <c r="Q1142" s="17">
        <v>0</v>
      </c>
      <c r="R1142" s="13"/>
      <c r="S1142" s="13"/>
      <c r="T1142" s="13"/>
      <c r="U1142" s="13"/>
      <c r="V1142" s="13"/>
      <c r="W1142" s="13"/>
    </row>
    <row r="1143" spans="1:23" x14ac:dyDescent="0.2">
      <c r="A1143"/>
      <c r="B1143"/>
      <c r="C1143"/>
      <c r="D1143"/>
      <c r="E1143"/>
      <c r="F1143"/>
      <c r="G1143"/>
      <c r="H1143"/>
      <c r="I1143"/>
      <c r="J1143"/>
      <c r="K1143" s="13" t="s">
        <v>94</v>
      </c>
      <c r="L1143" s="13" t="s">
        <v>463</v>
      </c>
      <c r="M1143" s="13" t="s">
        <v>372</v>
      </c>
      <c r="N1143" s="15">
        <v>0</v>
      </c>
      <c r="O1143" s="16">
        <v>0</v>
      </c>
      <c r="P1143" s="17">
        <v>11793.438080449761</v>
      </c>
      <c r="Q1143" s="17">
        <v>0</v>
      </c>
      <c r="R1143" s="13"/>
      <c r="S1143" s="13"/>
      <c r="T1143" s="13"/>
      <c r="U1143" s="13"/>
      <c r="V1143" s="13"/>
      <c r="W1143" s="13"/>
    </row>
    <row r="1144" spans="1:23" x14ac:dyDescent="0.2">
      <c r="A1144"/>
      <c r="B1144"/>
      <c r="C1144"/>
      <c r="D1144"/>
      <c r="E1144"/>
      <c r="F1144"/>
      <c r="G1144"/>
      <c r="H1144"/>
      <c r="I1144"/>
      <c r="J1144"/>
      <c r="K1144" s="13" t="s">
        <v>94</v>
      </c>
      <c r="L1144" s="13" t="s">
        <v>381</v>
      </c>
      <c r="M1144" s="13" t="s">
        <v>382</v>
      </c>
      <c r="N1144" s="15">
        <v>35</v>
      </c>
      <c r="O1144" s="16">
        <v>0</v>
      </c>
      <c r="P1144" s="17">
        <v>0</v>
      </c>
      <c r="Q1144" s="17">
        <v>0</v>
      </c>
      <c r="R1144" s="13"/>
      <c r="S1144" s="13"/>
      <c r="T1144" s="13"/>
      <c r="U1144" s="13"/>
      <c r="V1144" s="13"/>
      <c r="W1144" s="13"/>
    </row>
    <row r="1145" spans="1:23" x14ac:dyDescent="0.2">
      <c r="A1145"/>
      <c r="B1145"/>
      <c r="C1145"/>
      <c r="D1145"/>
      <c r="E1145"/>
      <c r="F1145"/>
      <c r="G1145"/>
      <c r="H1145"/>
      <c r="I1145"/>
      <c r="J1145"/>
      <c r="K1145" s="13" t="s">
        <v>94</v>
      </c>
      <c r="L1145" s="13" t="s">
        <v>411</v>
      </c>
      <c r="M1145" s="13" t="s">
        <v>362</v>
      </c>
      <c r="N1145" s="15">
        <v>4</v>
      </c>
      <c r="O1145" s="16">
        <v>0</v>
      </c>
      <c r="P1145" s="17">
        <v>0</v>
      </c>
      <c r="Q1145" s="17">
        <v>0</v>
      </c>
      <c r="R1145" s="13"/>
      <c r="S1145" s="13"/>
      <c r="T1145" s="13"/>
      <c r="U1145" s="13"/>
      <c r="V1145" s="13"/>
      <c r="W1145" s="13"/>
    </row>
    <row r="1146" spans="1:23" x14ac:dyDescent="0.2">
      <c r="A1146"/>
      <c r="B1146"/>
      <c r="C1146"/>
      <c r="D1146"/>
      <c r="E1146"/>
      <c r="F1146"/>
      <c r="G1146"/>
      <c r="H1146"/>
      <c r="I1146"/>
      <c r="J1146"/>
      <c r="K1146" s="13" t="s">
        <v>94</v>
      </c>
      <c r="L1146" s="13" t="s">
        <v>608</v>
      </c>
      <c r="M1146" s="13" t="s">
        <v>432</v>
      </c>
      <c r="N1146" s="15">
        <v>13</v>
      </c>
      <c r="O1146" s="16">
        <v>0</v>
      </c>
      <c r="P1146" s="17">
        <v>0</v>
      </c>
      <c r="Q1146" s="17">
        <v>0</v>
      </c>
      <c r="R1146" s="13"/>
      <c r="S1146" s="13"/>
      <c r="T1146" s="13"/>
      <c r="U1146" s="13"/>
      <c r="V1146" s="13"/>
      <c r="W1146" s="13"/>
    </row>
    <row r="1147" spans="1:23" x14ac:dyDescent="0.2">
      <c r="A1147"/>
      <c r="B1147"/>
      <c r="C1147"/>
      <c r="D1147"/>
      <c r="E1147"/>
      <c r="F1147"/>
      <c r="G1147"/>
      <c r="H1147"/>
      <c r="I1147"/>
      <c r="J1147"/>
      <c r="K1147" s="13" t="s">
        <v>94</v>
      </c>
      <c r="L1147" s="13" t="s">
        <v>523</v>
      </c>
      <c r="M1147" s="13" t="s">
        <v>476</v>
      </c>
      <c r="N1147" s="15">
        <v>0</v>
      </c>
      <c r="O1147" s="16">
        <v>0</v>
      </c>
      <c r="P1147" s="17">
        <v>53.568499992505288</v>
      </c>
      <c r="Q1147" s="17">
        <v>0</v>
      </c>
      <c r="R1147" s="13"/>
      <c r="S1147" s="13"/>
      <c r="T1147" s="13"/>
      <c r="U1147" s="13"/>
      <c r="V1147" s="13"/>
      <c r="W1147" s="13"/>
    </row>
    <row r="1148" spans="1:23" x14ac:dyDescent="0.2">
      <c r="A1148"/>
      <c r="B1148"/>
      <c r="C1148"/>
      <c r="D1148"/>
      <c r="E1148"/>
      <c r="F1148"/>
      <c r="G1148"/>
      <c r="H1148"/>
      <c r="I1148"/>
      <c r="J1148"/>
      <c r="K1148" s="13" t="s">
        <v>94</v>
      </c>
      <c r="L1148" s="13" t="s">
        <v>421</v>
      </c>
      <c r="M1148" s="13" t="s">
        <v>443</v>
      </c>
      <c r="N1148" s="15">
        <v>2</v>
      </c>
      <c r="O1148" s="16">
        <v>0</v>
      </c>
      <c r="P1148" s="17">
        <v>0</v>
      </c>
      <c r="Q1148" s="17">
        <v>0</v>
      </c>
      <c r="R1148" s="13"/>
      <c r="S1148" s="13"/>
      <c r="T1148" s="13"/>
      <c r="U1148" s="13"/>
      <c r="V1148" s="13"/>
      <c r="W1148" s="13"/>
    </row>
    <row r="1149" spans="1:23" x14ac:dyDescent="0.2">
      <c r="A1149"/>
      <c r="B1149"/>
      <c r="C1149"/>
      <c r="D1149"/>
      <c r="E1149"/>
      <c r="F1149"/>
      <c r="G1149"/>
      <c r="H1149"/>
      <c r="I1149"/>
      <c r="J1149"/>
      <c r="K1149" s="13" t="s">
        <v>94</v>
      </c>
      <c r="L1149" s="13" t="s">
        <v>383</v>
      </c>
      <c r="M1149" s="13" t="s">
        <v>420</v>
      </c>
      <c r="N1149" s="15">
        <v>1</v>
      </c>
      <c r="O1149" s="16">
        <v>0</v>
      </c>
      <c r="P1149" s="17">
        <v>0</v>
      </c>
      <c r="Q1149" s="17">
        <v>0</v>
      </c>
      <c r="R1149" s="13"/>
      <c r="S1149" s="13"/>
      <c r="T1149" s="13"/>
      <c r="U1149" s="13"/>
      <c r="V1149" s="13"/>
      <c r="W1149" s="13"/>
    </row>
    <row r="1150" spans="1:23" x14ac:dyDescent="0.2">
      <c r="A1150"/>
      <c r="B1150"/>
      <c r="C1150"/>
      <c r="D1150"/>
      <c r="E1150"/>
      <c r="F1150"/>
      <c r="G1150"/>
      <c r="H1150"/>
      <c r="I1150"/>
      <c r="J1150"/>
      <c r="K1150" s="13" t="s">
        <v>94</v>
      </c>
      <c r="L1150" s="13" t="s">
        <v>614</v>
      </c>
      <c r="M1150" s="13" t="s">
        <v>447</v>
      </c>
      <c r="N1150" s="15">
        <v>1</v>
      </c>
      <c r="O1150" s="16">
        <v>0</v>
      </c>
      <c r="P1150" s="17">
        <v>0</v>
      </c>
      <c r="Q1150" s="17">
        <v>0</v>
      </c>
      <c r="R1150" s="13"/>
      <c r="S1150" s="13"/>
      <c r="T1150" s="13"/>
      <c r="U1150" s="13"/>
      <c r="V1150" s="13"/>
      <c r="W1150" s="13"/>
    </row>
    <row r="1151" spans="1:23" x14ac:dyDescent="0.2">
      <c r="A1151"/>
      <c r="B1151"/>
      <c r="C1151"/>
      <c r="D1151"/>
      <c r="E1151"/>
      <c r="F1151"/>
      <c r="G1151"/>
      <c r="H1151"/>
      <c r="I1151"/>
      <c r="J1151"/>
      <c r="K1151" s="13" t="s">
        <v>95</v>
      </c>
      <c r="L1151" s="13" t="s">
        <v>436</v>
      </c>
      <c r="M1151" s="13" t="s">
        <v>487</v>
      </c>
      <c r="N1151" s="15">
        <v>0</v>
      </c>
      <c r="O1151" s="16">
        <v>0</v>
      </c>
      <c r="P1151" s="17">
        <v>123.56024996312365</v>
      </c>
      <c r="Q1151" s="17">
        <v>0</v>
      </c>
      <c r="R1151" s="13"/>
      <c r="S1151" s="13"/>
      <c r="T1151" s="13"/>
      <c r="U1151" s="13"/>
      <c r="V1151" s="13"/>
      <c r="W1151" s="13"/>
    </row>
    <row r="1152" spans="1:23" x14ac:dyDescent="0.2">
      <c r="A1152"/>
      <c r="B1152"/>
      <c r="C1152"/>
      <c r="D1152"/>
      <c r="E1152"/>
      <c r="F1152"/>
      <c r="G1152"/>
      <c r="H1152"/>
      <c r="I1152"/>
      <c r="J1152"/>
      <c r="K1152" s="13" t="s">
        <v>95</v>
      </c>
      <c r="L1152" s="13" t="s">
        <v>399</v>
      </c>
      <c r="M1152" s="13" t="s">
        <v>400</v>
      </c>
      <c r="N1152" s="15">
        <v>0</v>
      </c>
      <c r="O1152" s="16">
        <v>0</v>
      </c>
      <c r="P1152" s="17">
        <v>174.73690000396982</v>
      </c>
      <c r="Q1152" s="17">
        <v>0</v>
      </c>
      <c r="R1152" s="13"/>
      <c r="S1152" s="13"/>
      <c r="T1152" s="13"/>
      <c r="U1152" s="13"/>
      <c r="V1152" s="13"/>
      <c r="W1152" s="13"/>
    </row>
    <row r="1153" spans="1:23" x14ac:dyDescent="0.2">
      <c r="A1153"/>
      <c r="B1153"/>
      <c r="C1153"/>
      <c r="D1153"/>
      <c r="E1153"/>
      <c r="F1153"/>
      <c r="G1153"/>
      <c r="H1153"/>
      <c r="I1153"/>
      <c r="J1153"/>
      <c r="K1153" s="13" t="s">
        <v>95</v>
      </c>
      <c r="L1153" s="13" t="s">
        <v>401</v>
      </c>
      <c r="M1153" s="13" t="s">
        <v>360</v>
      </c>
      <c r="N1153" s="15">
        <v>0</v>
      </c>
      <c r="O1153" s="16">
        <v>0</v>
      </c>
      <c r="P1153" s="17">
        <v>107.21094999134922</v>
      </c>
      <c r="Q1153" s="17">
        <v>0</v>
      </c>
      <c r="R1153" s="13"/>
      <c r="S1153" s="13"/>
      <c r="T1153" s="13"/>
      <c r="U1153" s="13"/>
      <c r="V1153" s="13"/>
      <c r="W1153" s="13"/>
    </row>
    <row r="1154" spans="1:23" x14ac:dyDescent="0.2">
      <c r="A1154"/>
      <c r="B1154"/>
      <c r="C1154"/>
      <c r="D1154"/>
      <c r="E1154"/>
      <c r="F1154"/>
      <c r="G1154"/>
      <c r="H1154"/>
      <c r="I1154"/>
      <c r="J1154"/>
      <c r="K1154" s="13" t="s">
        <v>95</v>
      </c>
      <c r="L1154" s="13" t="s">
        <v>402</v>
      </c>
      <c r="M1154" s="13" t="s">
        <v>403</v>
      </c>
      <c r="N1154" s="15">
        <v>0</v>
      </c>
      <c r="O1154" s="16">
        <v>0</v>
      </c>
      <c r="P1154" s="17">
        <v>951.65083779635495</v>
      </c>
      <c r="Q1154" s="17">
        <v>0</v>
      </c>
      <c r="R1154" s="13"/>
      <c r="S1154" s="13"/>
      <c r="T1154" s="13"/>
      <c r="U1154" s="13"/>
      <c r="V1154" s="13"/>
      <c r="W1154" s="13"/>
    </row>
    <row r="1155" spans="1:23" x14ac:dyDescent="0.2">
      <c r="A1155"/>
      <c r="B1155"/>
      <c r="C1155"/>
      <c r="D1155"/>
      <c r="E1155"/>
      <c r="F1155"/>
      <c r="G1155"/>
      <c r="H1155"/>
      <c r="I1155"/>
      <c r="J1155"/>
      <c r="K1155" s="13" t="s">
        <v>95</v>
      </c>
      <c r="L1155" s="13" t="s">
        <v>456</v>
      </c>
      <c r="M1155" s="13" t="s">
        <v>457</v>
      </c>
      <c r="N1155" s="15">
        <v>0</v>
      </c>
      <c r="O1155" s="16">
        <v>0</v>
      </c>
      <c r="P1155" s="17">
        <v>122.64710000271418</v>
      </c>
      <c r="Q1155" s="17">
        <v>0</v>
      </c>
      <c r="R1155" s="13"/>
      <c r="S1155" s="13"/>
      <c r="T1155" s="13"/>
      <c r="U1155" s="13"/>
      <c r="V1155" s="13"/>
      <c r="W1155" s="13"/>
    </row>
    <row r="1156" spans="1:23" x14ac:dyDescent="0.2">
      <c r="A1156"/>
      <c r="B1156"/>
      <c r="C1156"/>
      <c r="D1156"/>
      <c r="E1156"/>
      <c r="F1156"/>
      <c r="G1156"/>
      <c r="H1156"/>
      <c r="I1156"/>
      <c r="J1156"/>
      <c r="K1156" s="13" t="s">
        <v>95</v>
      </c>
      <c r="L1156" s="13" t="s">
        <v>404</v>
      </c>
      <c r="M1156" s="13" t="s">
        <v>405</v>
      </c>
      <c r="N1156" s="15">
        <v>0</v>
      </c>
      <c r="O1156" s="16">
        <v>0</v>
      </c>
      <c r="P1156" s="17">
        <v>36.443549988768474</v>
      </c>
      <c r="Q1156" s="17">
        <v>165.77374449404905</v>
      </c>
      <c r="R1156" s="13"/>
      <c r="S1156" s="13"/>
      <c r="T1156" s="13"/>
      <c r="U1156" s="13"/>
      <c r="V1156" s="13"/>
      <c r="W1156" s="13"/>
    </row>
    <row r="1157" spans="1:23" x14ac:dyDescent="0.2">
      <c r="A1157"/>
      <c r="B1157"/>
      <c r="C1157"/>
      <c r="D1157"/>
      <c r="E1157"/>
      <c r="F1157"/>
      <c r="G1157"/>
      <c r="H1157"/>
      <c r="I1157"/>
      <c r="J1157"/>
      <c r="K1157" s="13" t="s">
        <v>95</v>
      </c>
      <c r="L1157" s="13" t="s">
        <v>451</v>
      </c>
      <c r="M1157" s="13" t="s">
        <v>369</v>
      </c>
      <c r="N1157" s="15">
        <v>0</v>
      </c>
      <c r="O1157" s="16">
        <v>0</v>
      </c>
      <c r="P1157" s="17">
        <v>1516.2495877462802</v>
      </c>
      <c r="Q1157" s="17">
        <v>0</v>
      </c>
      <c r="R1157" s="13"/>
      <c r="S1157" s="13"/>
      <c r="T1157" s="13"/>
      <c r="U1157" s="13"/>
      <c r="V1157" s="13"/>
      <c r="W1157" s="13"/>
    </row>
    <row r="1158" spans="1:23" x14ac:dyDescent="0.2">
      <c r="A1158"/>
      <c r="B1158"/>
      <c r="C1158"/>
      <c r="D1158"/>
      <c r="E1158"/>
      <c r="F1158"/>
      <c r="G1158"/>
      <c r="H1158"/>
      <c r="I1158"/>
      <c r="J1158"/>
      <c r="K1158" s="13" t="s">
        <v>95</v>
      </c>
      <c r="L1158" s="13" t="s">
        <v>381</v>
      </c>
      <c r="M1158" s="13" t="s">
        <v>382</v>
      </c>
      <c r="N1158" s="15">
        <v>21</v>
      </c>
      <c r="O1158" s="16">
        <v>0</v>
      </c>
      <c r="P1158" s="17">
        <v>0</v>
      </c>
      <c r="Q1158" s="17">
        <v>0</v>
      </c>
      <c r="R1158" s="13"/>
      <c r="S1158" s="13"/>
      <c r="T1158" s="13"/>
      <c r="U1158" s="13"/>
      <c r="V1158" s="13"/>
      <c r="W1158" s="13"/>
    </row>
    <row r="1159" spans="1:23" x14ac:dyDescent="0.2">
      <c r="A1159"/>
      <c r="B1159"/>
      <c r="C1159"/>
      <c r="D1159"/>
      <c r="E1159"/>
      <c r="F1159"/>
      <c r="G1159"/>
      <c r="H1159"/>
      <c r="I1159"/>
      <c r="J1159"/>
      <c r="K1159" s="13" t="s">
        <v>95</v>
      </c>
      <c r="L1159" s="13" t="s">
        <v>421</v>
      </c>
      <c r="M1159" s="13" t="s">
        <v>443</v>
      </c>
      <c r="N1159" s="15">
        <v>1</v>
      </c>
      <c r="O1159" s="16">
        <v>0</v>
      </c>
      <c r="P1159" s="17">
        <v>0</v>
      </c>
      <c r="Q1159" s="17">
        <v>0</v>
      </c>
      <c r="R1159" s="13"/>
      <c r="S1159" s="13"/>
      <c r="T1159" s="13"/>
      <c r="U1159" s="13"/>
      <c r="V1159" s="13"/>
      <c r="W1159" s="13"/>
    </row>
    <row r="1160" spans="1:23" x14ac:dyDescent="0.2">
      <c r="A1160"/>
      <c r="B1160"/>
      <c r="C1160"/>
      <c r="D1160"/>
      <c r="E1160"/>
      <c r="F1160"/>
      <c r="G1160"/>
      <c r="H1160"/>
      <c r="I1160"/>
      <c r="J1160"/>
      <c r="K1160" s="13" t="s">
        <v>95</v>
      </c>
      <c r="L1160" s="13" t="s">
        <v>458</v>
      </c>
      <c r="M1160" s="13" t="s">
        <v>459</v>
      </c>
      <c r="N1160" s="15">
        <v>0</v>
      </c>
      <c r="O1160" s="16">
        <v>0</v>
      </c>
      <c r="P1160" s="17">
        <v>701.68409998699224</v>
      </c>
      <c r="Q1160" s="17">
        <v>0</v>
      </c>
      <c r="R1160" s="13"/>
      <c r="S1160" s="13"/>
      <c r="T1160" s="13"/>
      <c r="U1160" s="13"/>
      <c r="V1160" s="13"/>
      <c r="W1160" s="13"/>
    </row>
    <row r="1161" spans="1:23" x14ac:dyDescent="0.2">
      <c r="A1161"/>
      <c r="B1161"/>
      <c r="C1161"/>
      <c r="D1161"/>
      <c r="E1161"/>
      <c r="F1161"/>
      <c r="G1161"/>
      <c r="H1161"/>
      <c r="I1161"/>
      <c r="J1161"/>
      <c r="K1161" s="13" t="s">
        <v>96</v>
      </c>
      <c r="L1161" s="13" t="s">
        <v>435</v>
      </c>
      <c r="M1161" s="13" t="s">
        <v>364</v>
      </c>
      <c r="N1161" s="15">
        <v>0</v>
      </c>
      <c r="O1161" s="16">
        <v>0</v>
      </c>
      <c r="P1161" s="17">
        <v>48.122299992775474</v>
      </c>
      <c r="Q1161" s="17">
        <v>0</v>
      </c>
      <c r="R1161" s="13"/>
      <c r="S1161" s="13"/>
      <c r="T1161" s="13"/>
      <c r="U1161" s="13"/>
      <c r="V1161" s="13"/>
      <c r="W1161" s="13"/>
    </row>
    <row r="1162" spans="1:23" x14ac:dyDescent="0.2">
      <c r="A1162"/>
      <c r="B1162"/>
      <c r="C1162"/>
      <c r="D1162"/>
      <c r="E1162"/>
      <c r="F1162"/>
      <c r="G1162"/>
      <c r="H1162"/>
      <c r="I1162"/>
      <c r="J1162"/>
      <c r="K1162" s="13" t="s">
        <v>96</v>
      </c>
      <c r="L1162" s="13" t="s">
        <v>389</v>
      </c>
      <c r="M1162" s="13" t="s">
        <v>388</v>
      </c>
      <c r="N1162" s="15">
        <v>0</v>
      </c>
      <c r="O1162" s="16">
        <v>0</v>
      </c>
      <c r="P1162" s="17">
        <v>51.849653093365163</v>
      </c>
      <c r="Q1162" s="17">
        <v>0</v>
      </c>
      <c r="R1162" s="13"/>
      <c r="S1162" s="13"/>
      <c r="T1162" s="13"/>
      <c r="U1162" s="13"/>
      <c r="V1162" s="13"/>
      <c r="W1162" s="13"/>
    </row>
    <row r="1163" spans="1:23" x14ac:dyDescent="0.2">
      <c r="A1163"/>
      <c r="B1163"/>
      <c r="C1163"/>
      <c r="D1163"/>
      <c r="E1163"/>
      <c r="F1163"/>
      <c r="G1163"/>
      <c r="H1163"/>
      <c r="I1163"/>
      <c r="J1163"/>
      <c r="K1163" s="13" t="s">
        <v>96</v>
      </c>
      <c r="L1163" s="13" t="s">
        <v>391</v>
      </c>
      <c r="M1163" s="13" t="s">
        <v>358</v>
      </c>
      <c r="N1163" s="15">
        <v>0</v>
      </c>
      <c r="O1163" s="16">
        <v>0</v>
      </c>
      <c r="P1163" s="17">
        <v>150.59945001172093</v>
      </c>
      <c r="Q1163" s="17">
        <v>0</v>
      </c>
      <c r="R1163" s="13"/>
      <c r="S1163" s="13"/>
      <c r="T1163" s="13"/>
      <c r="U1163" s="13"/>
      <c r="V1163" s="13"/>
      <c r="W1163" s="13"/>
    </row>
    <row r="1164" spans="1:23" x14ac:dyDescent="0.2">
      <c r="A1164"/>
      <c r="B1164"/>
      <c r="C1164"/>
      <c r="D1164"/>
      <c r="E1164"/>
      <c r="F1164"/>
      <c r="G1164"/>
      <c r="H1164"/>
      <c r="I1164"/>
      <c r="J1164"/>
      <c r="K1164" s="13" t="s">
        <v>96</v>
      </c>
      <c r="L1164" s="13" t="s">
        <v>392</v>
      </c>
      <c r="M1164" s="13" t="s">
        <v>437</v>
      </c>
      <c r="N1164" s="15">
        <v>0</v>
      </c>
      <c r="O1164" s="16">
        <v>0</v>
      </c>
      <c r="P1164" s="17">
        <v>321.36054999892241</v>
      </c>
      <c r="Q1164" s="17">
        <v>0</v>
      </c>
      <c r="R1164" s="13"/>
      <c r="S1164" s="13"/>
      <c r="T1164" s="13"/>
      <c r="U1164" s="13"/>
      <c r="V1164" s="13"/>
      <c r="W1164" s="13"/>
    </row>
    <row r="1165" spans="1:23" x14ac:dyDescent="0.2">
      <c r="A1165"/>
      <c r="B1165"/>
      <c r="C1165"/>
      <c r="D1165"/>
      <c r="E1165"/>
      <c r="F1165"/>
      <c r="G1165"/>
      <c r="H1165"/>
      <c r="I1165"/>
      <c r="J1165"/>
      <c r="K1165" s="13" t="s">
        <v>96</v>
      </c>
      <c r="L1165" s="13" t="s">
        <v>519</v>
      </c>
      <c r="M1165" s="13" t="s">
        <v>478</v>
      </c>
      <c r="N1165" s="15">
        <v>0</v>
      </c>
      <c r="O1165" s="16">
        <v>0</v>
      </c>
      <c r="P1165" s="17">
        <v>180.97599998449823</v>
      </c>
      <c r="Q1165" s="17">
        <v>0</v>
      </c>
      <c r="R1165" s="13"/>
      <c r="S1165" s="13"/>
      <c r="T1165" s="13"/>
      <c r="U1165" s="13"/>
      <c r="V1165" s="13"/>
      <c r="W1165" s="13"/>
    </row>
    <row r="1166" spans="1:23" x14ac:dyDescent="0.2">
      <c r="A1166"/>
      <c r="B1166"/>
      <c r="C1166"/>
      <c r="D1166"/>
      <c r="E1166"/>
      <c r="F1166"/>
      <c r="G1166"/>
      <c r="H1166"/>
      <c r="I1166"/>
      <c r="J1166"/>
      <c r="K1166" s="13" t="s">
        <v>96</v>
      </c>
      <c r="L1166" s="13" t="s">
        <v>532</v>
      </c>
      <c r="M1166" s="13" t="s">
        <v>620</v>
      </c>
      <c r="N1166" s="15">
        <v>0</v>
      </c>
      <c r="O1166" s="16">
        <v>0</v>
      </c>
      <c r="P1166" s="17">
        <v>62.522150000030777</v>
      </c>
      <c r="Q1166" s="17">
        <v>0</v>
      </c>
      <c r="R1166" s="13"/>
      <c r="S1166" s="13"/>
      <c r="T1166" s="13"/>
      <c r="U1166" s="13"/>
      <c r="V1166" s="13"/>
      <c r="W1166" s="13"/>
    </row>
    <row r="1167" spans="1:23" x14ac:dyDescent="0.2">
      <c r="A1167"/>
      <c r="B1167"/>
      <c r="C1167"/>
      <c r="D1167"/>
      <c r="E1167"/>
      <c r="F1167"/>
      <c r="G1167"/>
      <c r="H1167"/>
      <c r="I1167"/>
      <c r="J1167"/>
      <c r="K1167" s="13" t="s">
        <v>96</v>
      </c>
      <c r="L1167" s="13" t="s">
        <v>399</v>
      </c>
      <c r="M1167" s="13" t="s">
        <v>400</v>
      </c>
      <c r="N1167" s="15">
        <v>0</v>
      </c>
      <c r="O1167" s="16">
        <v>0</v>
      </c>
      <c r="P1167" s="17">
        <v>6.8718500001489655</v>
      </c>
      <c r="Q1167" s="17">
        <v>0</v>
      </c>
      <c r="R1167" s="13"/>
      <c r="S1167" s="13"/>
      <c r="T1167" s="13"/>
      <c r="U1167" s="13"/>
      <c r="V1167" s="13"/>
      <c r="W1167" s="13"/>
    </row>
    <row r="1168" spans="1:23" x14ac:dyDescent="0.2">
      <c r="A1168"/>
      <c r="B1168"/>
      <c r="C1168"/>
      <c r="D1168"/>
      <c r="E1168"/>
      <c r="F1168"/>
      <c r="G1168"/>
      <c r="H1168"/>
      <c r="I1168"/>
      <c r="J1168"/>
      <c r="K1168" s="13" t="s">
        <v>96</v>
      </c>
      <c r="L1168" s="13" t="s">
        <v>401</v>
      </c>
      <c r="M1168" s="13" t="s">
        <v>360</v>
      </c>
      <c r="N1168" s="15">
        <v>0</v>
      </c>
      <c r="O1168" s="16">
        <v>0</v>
      </c>
      <c r="P1168" s="17">
        <v>313.75654997219709</v>
      </c>
      <c r="Q1168" s="17">
        <v>0</v>
      </c>
      <c r="R1168" s="13"/>
      <c r="S1168" s="13"/>
      <c r="T1168" s="13"/>
      <c r="U1168" s="13"/>
      <c r="V1168" s="13"/>
      <c r="W1168" s="13"/>
    </row>
    <row r="1169" spans="1:23" x14ac:dyDescent="0.2">
      <c r="A1169"/>
      <c r="B1169"/>
      <c r="C1169"/>
      <c r="D1169"/>
      <c r="E1169"/>
      <c r="F1169"/>
      <c r="G1169"/>
      <c r="H1169"/>
      <c r="I1169"/>
      <c r="J1169"/>
      <c r="K1169" s="13" t="s">
        <v>96</v>
      </c>
      <c r="L1169" s="13" t="s">
        <v>402</v>
      </c>
      <c r="M1169" s="13" t="s">
        <v>403</v>
      </c>
      <c r="N1169" s="15">
        <v>0</v>
      </c>
      <c r="O1169" s="16">
        <v>0</v>
      </c>
      <c r="P1169" s="17">
        <v>2927.9856499524276</v>
      </c>
      <c r="Q1169" s="17">
        <v>0</v>
      </c>
      <c r="R1169" s="13"/>
      <c r="S1169" s="13"/>
      <c r="T1169" s="13"/>
      <c r="U1169" s="13"/>
      <c r="V1169" s="13"/>
      <c r="W1169" s="13"/>
    </row>
    <row r="1170" spans="1:23" x14ac:dyDescent="0.2">
      <c r="A1170"/>
      <c r="B1170"/>
      <c r="C1170"/>
      <c r="D1170"/>
      <c r="E1170"/>
      <c r="F1170"/>
      <c r="G1170"/>
      <c r="H1170"/>
      <c r="I1170"/>
      <c r="J1170"/>
      <c r="K1170" s="13" t="s">
        <v>96</v>
      </c>
      <c r="L1170" s="13" t="s">
        <v>451</v>
      </c>
      <c r="M1170" s="13" t="s">
        <v>369</v>
      </c>
      <c r="N1170" s="15">
        <v>0</v>
      </c>
      <c r="O1170" s="16">
        <v>0</v>
      </c>
      <c r="P1170" s="17">
        <v>4015.9218530133107</v>
      </c>
      <c r="Q1170" s="17">
        <v>0</v>
      </c>
      <c r="R1170" s="13"/>
      <c r="S1170" s="13"/>
      <c r="T1170" s="13"/>
      <c r="U1170" s="13"/>
      <c r="V1170" s="13"/>
      <c r="W1170" s="13"/>
    </row>
    <row r="1171" spans="1:23" x14ac:dyDescent="0.2">
      <c r="A1171"/>
      <c r="B1171"/>
      <c r="C1171"/>
      <c r="D1171"/>
      <c r="E1171"/>
      <c r="F1171"/>
      <c r="G1171"/>
      <c r="H1171"/>
      <c r="I1171"/>
      <c r="J1171"/>
      <c r="K1171" s="13" t="s">
        <v>96</v>
      </c>
      <c r="L1171" s="13" t="s">
        <v>381</v>
      </c>
      <c r="M1171" s="13" t="s">
        <v>382</v>
      </c>
      <c r="N1171" s="15">
        <v>44</v>
      </c>
      <c r="O1171" s="16">
        <v>0</v>
      </c>
      <c r="P1171" s="17">
        <v>0</v>
      </c>
      <c r="Q1171" s="17">
        <v>0</v>
      </c>
      <c r="R1171" s="13"/>
      <c r="S1171" s="13"/>
      <c r="T1171" s="13"/>
      <c r="U1171" s="13"/>
      <c r="V1171" s="13"/>
      <c r="W1171" s="13"/>
    </row>
    <row r="1172" spans="1:23" x14ac:dyDescent="0.2">
      <c r="A1172"/>
      <c r="B1172"/>
      <c r="C1172"/>
      <c r="D1172"/>
      <c r="E1172"/>
      <c r="F1172"/>
      <c r="G1172"/>
      <c r="H1172"/>
      <c r="I1172"/>
      <c r="J1172"/>
      <c r="K1172" s="13" t="s">
        <v>96</v>
      </c>
      <c r="L1172" s="13" t="s">
        <v>413</v>
      </c>
      <c r="M1172" s="13" t="s">
        <v>428</v>
      </c>
      <c r="N1172" s="15">
        <v>1</v>
      </c>
      <c r="O1172" s="16">
        <v>0</v>
      </c>
      <c r="P1172" s="17">
        <v>0</v>
      </c>
      <c r="Q1172" s="17">
        <v>0</v>
      </c>
      <c r="R1172" s="13"/>
      <c r="S1172" s="13"/>
      <c r="T1172" s="13"/>
      <c r="U1172" s="13"/>
      <c r="V1172" s="13"/>
      <c r="W1172" s="13"/>
    </row>
    <row r="1173" spans="1:23" x14ac:dyDescent="0.2">
      <c r="A1173"/>
      <c r="B1173"/>
      <c r="C1173"/>
      <c r="D1173"/>
      <c r="E1173"/>
      <c r="F1173"/>
      <c r="G1173"/>
      <c r="H1173"/>
      <c r="I1173"/>
      <c r="J1173"/>
      <c r="K1173" s="13" t="s">
        <v>96</v>
      </c>
      <c r="L1173" s="13" t="s">
        <v>603</v>
      </c>
      <c r="M1173" s="13" t="s">
        <v>385</v>
      </c>
      <c r="N1173" s="15">
        <v>1</v>
      </c>
      <c r="O1173" s="16">
        <v>0</v>
      </c>
      <c r="P1173" s="17">
        <v>0</v>
      </c>
      <c r="Q1173" s="17">
        <v>0</v>
      </c>
      <c r="R1173" s="13"/>
      <c r="S1173" s="13"/>
      <c r="T1173" s="13"/>
      <c r="U1173" s="13"/>
      <c r="V1173" s="13"/>
      <c r="W1173" s="13"/>
    </row>
    <row r="1174" spans="1:23" x14ac:dyDescent="0.2">
      <c r="A1174"/>
      <c r="B1174"/>
      <c r="C1174"/>
      <c r="D1174"/>
      <c r="E1174"/>
      <c r="F1174"/>
      <c r="G1174"/>
      <c r="H1174"/>
      <c r="I1174"/>
      <c r="J1174"/>
      <c r="K1174" s="13" t="s">
        <v>96</v>
      </c>
      <c r="L1174" s="13" t="s">
        <v>606</v>
      </c>
      <c r="M1174" s="13" t="s">
        <v>430</v>
      </c>
      <c r="N1174" s="15">
        <v>3</v>
      </c>
      <c r="O1174" s="16">
        <v>0</v>
      </c>
      <c r="P1174" s="17">
        <v>0</v>
      </c>
      <c r="Q1174" s="17">
        <v>0</v>
      </c>
      <c r="R1174" s="13"/>
      <c r="S1174" s="13"/>
      <c r="T1174" s="13"/>
      <c r="U1174" s="13"/>
      <c r="V1174" s="13"/>
      <c r="W1174" s="13"/>
    </row>
    <row r="1175" spans="1:23" x14ac:dyDescent="0.2">
      <c r="A1175"/>
      <c r="B1175"/>
      <c r="C1175"/>
      <c r="D1175"/>
      <c r="E1175"/>
      <c r="F1175"/>
      <c r="G1175"/>
      <c r="H1175"/>
      <c r="I1175"/>
      <c r="J1175"/>
      <c r="K1175" s="13" t="s">
        <v>96</v>
      </c>
      <c r="L1175" s="13" t="s">
        <v>608</v>
      </c>
      <c r="M1175" s="13" t="s">
        <v>432</v>
      </c>
      <c r="N1175" s="15">
        <v>3</v>
      </c>
      <c r="O1175" s="16">
        <v>0</v>
      </c>
      <c r="P1175" s="17">
        <v>0</v>
      </c>
      <c r="Q1175" s="17">
        <v>0</v>
      </c>
      <c r="R1175" s="13"/>
      <c r="S1175" s="13"/>
      <c r="T1175" s="13"/>
      <c r="U1175" s="13"/>
      <c r="V1175" s="13"/>
      <c r="W1175" s="13"/>
    </row>
    <row r="1176" spans="1:23" x14ac:dyDescent="0.2">
      <c r="A1176"/>
      <c r="B1176"/>
      <c r="C1176"/>
      <c r="D1176"/>
      <c r="E1176"/>
      <c r="F1176"/>
      <c r="G1176"/>
      <c r="H1176"/>
      <c r="I1176"/>
      <c r="J1176"/>
      <c r="K1176" s="13" t="s">
        <v>96</v>
      </c>
      <c r="L1176" s="13" t="s">
        <v>615</v>
      </c>
      <c r="M1176" s="13" t="s">
        <v>449</v>
      </c>
      <c r="N1176" s="15">
        <v>1</v>
      </c>
      <c r="O1176" s="16">
        <v>0</v>
      </c>
      <c r="P1176" s="17">
        <v>0</v>
      </c>
      <c r="Q1176" s="17">
        <v>0</v>
      </c>
      <c r="R1176" s="13"/>
      <c r="S1176" s="13"/>
      <c r="T1176" s="13"/>
      <c r="U1176" s="13"/>
      <c r="V1176" s="13"/>
      <c r="W1176" s="13"/>
    </row>
    <row r="1177" spans="1:23" x14ac:dyDescent="0.2">
      <c r="A1177"/>
      <c r="B1177"/>
      <c r="C1177"/>
      <c r="D1177"/>
      <c r="E1177"/>
      <c r="F1177"/>
      <c r="G1177"/>
      <c r="H1177"/>
      <c r="I1177"/>
      <c r="J1177"/>
      <c r="K1177" s="13" t="s">
        <v>96</v>
      </c>
      <c r="L1177" s="13" t="s">
        <v>610</v>
      </c>
      <c r="M1177" s="13" t="s">
        <v>418</v>
      </c>
      <c r="N1177" s="15">
        <v>0</v>
      </c>
      <c r="O1177" s="16">
        <v>150.18807799583638</v>
      </c>
      <c r="P1177" s="17">
        <v>0</v>
      </c>
      <c r="Q1177" s="17">
        <v>0</v>
      </c>
      <c r="R1177" s="13"/>
      <c r="S1177" s="13"/>
      <c r="T1177" s="13"/>
      <c r="U1177" s="13"/>
      <c r="V1177" s="13"/>
      <c r="W1177" s="13"/>
    </row>
    <row r="1178" spans="1:23" x14ac:dyDescent="0.2">
      <c r="A1178"/>
      <c r="B1178"/>
      <c r="C1178"/>
      <c r="D1178"/>
      <c r="E1178"/>
      <c r="F1178"/>
      <c r="G1178"/>
      <c r="H1178"/>
      <c r="I1178"/>
      <c r="J1178"/>
      <c r="K1178" s="13" t="s">
        <v>96</v>
      </c>
      <c r="L1178" s="13" t="s">
        <v>421</v>
      </c>
      <c r="M1178" s="13" t="s">
        <v>443</v>
      </c>
      <c r="N1178" s="15">
        <v>4</v>
      </c>
      <c r="O1178" s="16">
        <v>0</v>
      </c>
      <c r="P1178" s="17">
        <v>0</v>
      </c>
      <c r="Q1178" s="17">
        <v>0</v>
      </c>
      <c r="R1178" s="13"/>
      <c r="S1178" s="13"/>
      <c r="T1178" s="13"/>
      <c r="U1178" s="13"/>
      <c r="V1178" s="13"/>
      <c r="W1178" s="13"/>
    </row>
    <row r="1179" spans="1:23" x14ac:dyDescent="0.2">
      <c r="A1179"/>
      <c r="B1179"/>
      <c r="C1179"/>
      <c r="D1179"/>
      <c r="E1179"/>
      <c r="F1179"/>
      <c r="G1179"/>
      <c r="H1179"/>
      <c r="I1179"/>
      <c r="J1179"/>
      <c r="K1179" s="13" t="s">
        <v>96</v>
      </c>
      <c r="L1179" s="13" t="s">
        <v>383</v>
      </c>
      <c r="M1179" s="13" t="s">
        <v>420</v>
      </c>
      <c r="N1179" s="15">
        <v>6</v>
      </c>
      <c r="O1179" s="16">
        <v>0</v>
      </c>
      <c r="P1179" s="17">
        <v>0</v>
      </c>
      <c r="Q1179" s="17">
        <v>0</v>
      </c>
      <c r="R1179" s="13"/>
      <c r="S1179" s="13"/>
      <c r="T1179" s="13"/>
      <c r="U1179" s="13"/>
      <c r="V1179" s="13"/>
      <c r="W1179" s="13"/>
    </row>
    <row r="1180" spans="1:23" x14ac:dyDescent="0.2">
      <c r="A1180"/>
      <c r="B1180"/>
      <c r="C1180"/>
      <c r="D1180"/>
      <c r="E1180"/>
      <c r="F1180"/>
      <c r="G1180"/>
      <c r="H1180"/>
      <c r="I1180"/>
      <c r="J1180"/>
      <c r="K1180" s="13" t="s">
        <v>96</v>
      </c>
      <c r="L1180" s="13" t="s">
        <v>613</v>
      </c>
      <c r="M1180" s="13" t="s">
        <v>444</v>
      </c>
      <c r="N1180" s="15">
        <v>0</v>
      </c>
      <c r="O1180" s="16">
        <v>88.368000643783887</v>
      </c>
      <c r="P1180" s="17">
        <v>0</v>
      </c>
      <c r="Q1180" s="17">
        <v>0</v>
      </c>
      <c r="R1180" s="13"/>
      <c r="S1180" s="13"/>
      <c r="T1180" s="13"/>
      <c r="U1180" s="13"/>
      <c r="V1180" s="13"/>
      <c r="W1180" s="13"/>
    </row>
    <row r="1181" spans="1:23" x14ac:dyDescent="0.2">
      <c r="A1181"/>
      <c r="B1181"/>
      <c r="C1181"/>
      <c r="D1181"/>
      <c r="E1181"/>
      <c r="F1181"/>
      <c r="G1181"/>
      <c r="H1181"/>
      <c r="I1181"/>
      <c r="J1181"/>
      <c r="K1181" s="13" t="s">
        <v>96</v>
      </c>
      <c r="L1181" s="13" t="s">
        <v>446</v>
      </c>
      <c r="M1181" s="13" t="s">
        <v>371</v>
      </c>
      <c r="N1181" s="15">
        <v>1</v>
      </c>
      <c r="O1181" s="16">
        <v>0</v>
      </c>
      <c r="P1181" s="17">
        <v>0</v>
      </c>
      <c r="Q1181" s="17">
        <v>0</v>
      </c>
      <c r="R1181" s="13"/>
      <c r="S1181" s="13"/>
      <c r="T1181" s="13"/>
      <c r="U1181" s="13"/>
      <c r="V1181" s="13"/>
      <c r="W1181" s="13"/>
    </row>
    <row r="1182" spans="1:23" x14ac:dyDescent="0.2">
      <c r="A1182"/>
      <c r="B1182"/>
      <c r="C1182"/>
      <c r="D1182"/>
      <c r="E1182"/>
      <c r="F1182"/>
      <c r="G1182"/>
      <c r="H1182"/>
      <c r="I1182"/>
      <c r="J1182"/>
      <c r="K1182" s="13" t="s">
        <v>96</v>
      </c>
      <c r="L1182" s="13" t="s">
        <v>614</v>
      </c>
      <c r="M1182" s="13" t="s">
        <v>447</v>
      </c>
      <c r="N1182" s="15">
        <v>1</v>
      </c>
      <c r="O1182" s="16">
        <v>0</v>
      </c>
      <c r="P1182" s="17">
        <v>0</v>
      </c>
      <c r="Q1182" s="17">
        <v>0</v>
      </c>
      <c r="R1182" s="13"/>
      <c r="S1182" s="13"/>
      <c r="T1182" s="13"/>
      <c r="U1182" s="13"/>
      <c r="V1182" s="13"/>
      <c r="W1182" s="13"/>
    </row>
    <row r="1183" spans="1:23" x14ac:dyDescent="0.2">
      <c r="A1183"/>
      <c r="B1183"/>
      <c r="C1183"/>
      <c r="D1183"/>
      <c r="E1183"/>
      <c r="F1183"/>
      <c r="G1183"/>
      <c r="H1183"/>
      <c r="I1183"/>
      <c r="J1183"/>
      <c r="K1183" s="13" t="s">
        <v>96</v>
      </c>
      <c r="L1183" s="13" t="s">
        <v>612</v>
      </c>
      <c r="M1183" s="13" t="s">
        <v>425</v>
      </c>
      <c r="N1183" s="15">
        <v>1</v>
      </c>
      <c r="O1183" s="16">
        <v>0</v>
      </c>
      <c r="P1183" s="17">
        <v>0</v>
      </c>
      <c r="Q1183" s="17">
        <v>0</v>
      </c>
      <c r="R1183" s="13"/>
      <c r="S1183" s="13"/>
      <c r="T1183" s="13"/>
      <c r="U1183" s="13"/>
      <c r="V1183" s="13"/>
      <c r="W1183" s="13"/>
    </row>
    <row r="1184" spans="1:23" x14ac:dyDescent="0.2">
      <c r="A1184"/>
      <c r="B1184"/>
      <c r="C1184"/>
      <c r="D1184"/>
      <c r="E1184"/>
      <c r="F1184"/>
      <c r="G1184"/>
      <c r="H1184"/>
      <c r="I1184"/>
      <c r="J1184"/>
      <c r="K1184" s="13" t="s">
        <v>96</v>
      </c>
      <c r="L1184" s="13" t="s">
        <v>454</v>
      </c>
      <c r="M1184" s="13" t="s">
        <v>455</v>
      </c>
      <c r="N1184" s="15">
        <v>0</v>
      </c>
      <c r="O1184" s="16">
        <v>0</v>
      </c>
      <c r="P1184" s="17">
        <v>60.733050004496405</v>
      </c>
      <c r="Q1184" s="17">
        <v>0</v>
      </c>
      <c r="R1184" s="13"/>
      <c r="S1184" s="13"/>
      <c r="T1184" s="13"/>
      <c r="U1184" s="13"/>
      <c r="V1184" s="13"/>
      <c r="W1184" s="13"/>
    </row>
    <row r="1185" spans="1:23" x14ac:dyDescent="0.2">
      <c r="A1185"/>
      <c r="B1185"/>
      <c r="C1185"/>
      <c r="D1185"/>
      <c r="E1185"/>
      <c r="F1185"/>
      <c r="G1185"/>
      <c r="H1185"/>
      <c r="I1185"/>
      <c r="J1185"/>
      <c r="K1185" s="13" t="s">
        <v>96</v>
      </c>
      <c r="L1185" s="13" t="s">
        <v>458</v>
      </c>
      <c r="M1185" s="13" t="s">
        <v>459</v>
      </c>
      <c r="N1185" s="15">
        <v>0</v>
      </c>
      <c r="O1185" s="16">
        <v>0</v>
      </c>
      <c r="P1185" s="17">
        <v>1648.7817999811791</v>
      </c>
      <c r="Q1185" s="17">
        <v>0</v>
      </c>
      <c r="R1185" s="13"/>
      <c r="S1185" s="13"/>
      <c r="T1185" s="13"/>
      <c r="U1185" s="13"/>
      <c r="V1185" s="13"/>
      <c r="W1185" s="13"/>
    </row>
    <row r="1186" spans="1:23" x14ac:dyDescent="0.2">
      <c r="A1186"/>
      <c r="B1186"/>
      <c r="C1186"/>
      <c r="D1186"/>
      <c r="E1186"/>
      <c r="F1186"/>
      <c r="G1186"/>
      <c r="H1186"/>
      <c r="I1186"/>
      <c r="J1186"/>
      <c r="K1186" s="13" t="s">
        <v>97</v>
      </c>
      <c r="L1186" s="13" t="s">
        <v>481</v>
      </c>
      <c r="M1186" s="13" t="s">
        <v>374</v>
      </c>
      <c r="N1186" s="15">
        <v>0</v>
      </c>
      <c r="O1186" s="16">
        <v>0</v>
      </c>
      <c r="P1186" s="17">
        <v>25.021999999992666</v>
      </c>
      <c r="Q1186" s="17">
        <v>0</v>
      </c>
      <c r="R1186" s="13"/>
      <c r="S1186" s="13"/>
      <c r="T1186" s="13"/>
      <c r="U1186" s="13"/>
      <c r="V1186" s="13"/>
      <c r="W1186" s="13"/>
    </row>
    <row r="1187" spans="1:23" x14ac:dyDescent="0.2">
      <c r="A1187"/>
      <c r="B1187"/>
      <c r="C1187"/>
      <c r="D1187"/>
      <c r="E1187"/>
      <c r="F1187"/>
      <c r="G1187"/>
      <c r="H1187"/>
      <c r="I1187"/>
      <c r="J1187"/>
      <c r="K1187" s="13" t="s">
        <v>97</v>
      </c>
      <c r="L1187" s="13" t="s">
        <v>401</v>
      </c>
      <c r="M1187" s="13" t="s">
        <v>360</v>
      </c>
      <c r="N1187" s="15">
        <v>0</v>
      </c>
      <c r="O1187" s="16">
        <v>0</v>
      </c>
      <c r="P1187" s="17">
        <v>194.61599995584226</v>
      </c>
      <c r="Q1187" s="17">
        <v>0</v>
      </c>
      <c r="R1187" s="13"/>
      <c r="S1187" s="13"/>
      <c r="T1187" s="13"/>
      <c r="U1187" s="13"/>
      <c r="V1187" s="13"/>
      <c r="W1187" s="13"/>
    </row>
    <row r="1188" spans="1:23" x14ac:dyDescent="0.2">
      <c r="A1188"/>
      <c r="B1188"/>
      <c r="C1188"/>
      <c r="D1188"/>
      <c r="E1188"/>
      <c r="F1188"/>
      <c r="G1188"/>
      <c r="H1188"/>
      <c r="I1188"/>
      <c r="J1188"/>
      <c r="K1188" s="13" t="s">
        <v>97</v>
      </c>
      <c r="L1188" s="13" t="s">
        <v>402</v>
      </c>
      <c r="M1188" s="13" t="s">
        <v>403</v>
      </c>
      <c r="N1188" s="15">
        <v>0</v>
      </c>
      <c r="O1188" s="16">
        <v>0</v>
      </c>
      <c r="P1188" s="17">
        <v>3281.8145499545508</v>
      </c>
      <c r="Q1188" s="17">
        <v>0</v>
      </c>
      <c r="R1188" s="13"/>
      <c r="S1188" s="13"/>
      <c r="T1188" s="13"/>
      <c r="U1188" s="13"/>
      <c r="V1188" s="13"/>
      <c r="W1188" s="13"/>
    </row>
    <row r="1189" spans="1:23" x14ac:dyDescent="0.2">
      <c r="A1189"/>
      <c r="B1189"/>
      <c r="C1189"/>
      <c r="D1189"/>
      <c r="E1189"/>
      <c r="F1189"/>
      <c r="G1189"/>
      <c r="H1189"/>
      <c r="I1189"/>
      <c r="J1189"/>
      <c r="K1189" s="13" t="s">
        <v>97</v>
      </c>
      <c r="L1189" s="13" t="s">
        <v>451</v>
      </c>
      <c r="M1189" s="13" t="s">
        <v>369</v>
      </c>
      <c r="N1189" s="15">
        <v>0</v>
      </c>
      <c r="O1189" s="16">
        <v>0</v>
      </c>
      <c r="P1189" s="17">
        <v>3476.430549910393</v>
      </c>
      <c r="Q1189" s="17">
        <v>0</v>
      </c>
      <c r="R1189" s="13"/>
      <c r="S1189" s="13"/>
      <c r="T1189" s="13"/>
      <c r="U1189" s="13"/>
      <c r="V1189" s="13"/>
      <c r="W1189" s="13"/>
    </row>
    <row r="1190" spans="1:23" x14ac:dyDescent="0.2">
      <c r="A1190"/>
      <c r="B1190"/>
      <c r="C1190"/>
      <c r="D1190"/>
      <c r="E1190"/>
      <c r="F1190"/>
      <c r="G1190"/>
      <c r="H1190"/>
      <c r="I1190"/>
      <c r="J1190"/>
      <c r="K1190" s="13" t="s">
        <v>97</v>
      </c>
      <c r="L1190" s="13" t="s">
        <v>411</v>
      </c>
      <c r="M1190" s="13" t="s">
        <v>362</v>
      </c>
      <c r="N1190" s="15">
        <v>1</v>
      </c>
      <c r="O1190" s="16">
        <v>0</v>
      </c>
      <c r="P1190" s="17">
        <v>0</v>
      </c>
      <c r="Q1190" s="17">
        <v>0</v>
      </c>
      <c r="R1190" s="13"/>
      <c r="S1190" s="13"/>
      <c r="T1190" s="13"/>
      <c r="U1190" s="13"/>
      <c r="V1190" s="13"/>
      <c r="W1190" s="13"/>
    </row>
    <row r="1191" spans="1:23" x14ac:dyDescent="0.2">
      <c r="A1191"/>
      <c r="B1191"/>
      <c r="C1191"/>
      <c r="D1191"/>
      <c r="E1191"/>
      <c r="F1191"/>
      <c r="G1191"/>
      <c r="H1191"/>
      <c r="I1191"/>
      <c r="J1191"/>
      <c r="K1191" s="13" t="s">
        <v>97</v>
      </c>
      <c r="L1191" s="13" t="s">
        <v>413</v>
      </c>
      <c r="M1191" s="13" t="s">
        <v>428</v>
      </c>
      <c r="N1191" s="15">
        <v>2</v>
      </c>
      <c r="O1191" s="16">
        <v>0</v>
      </c>
      <c r="P1191" s="17">
        <v>0</v>
      </c>
      <c r="Q1191" s="17">
        <v>0</v>
      </c>
      <c r="R1191" s="13"/>
      <c r="S1191" s="13"/>
      <c r="T1191" s="13"/>
      <c r="U1191" s="13"/>
      <c r="V1191" s="13"/>
      <c r="W1191" s="13"/>
    </row>
    <row r="1192" spans="1:23" x14ac:dyDescent="0.2">
      <c r="A1192"/>
      <c r="B1192"/>
      <c r="C1192"/>
      <c r="D1192"/>
      <c r="E1192"/>
      <c r="F1192"/>
      <c r="G1192"/>
      <c r="H1192"/>
      <c r="I1192"/>
      <c r="J1192"/>
      <c r="K1192" s="13" t="s">
        <v>97</v>
      </c>
      <c r="L1192" s="13" t="s">
        <v>383</v>
      </c>
      <c r="M1192" s="13" t="s">
        <v>420</v>
      </c>
      <c r="N1192" s="15">
        <v>3</v>
      </c>
      <c r="O1192" s="16">
        <v>0</v>
      </c>
      <c r="P1192" s="17">
        <v>0</v>
      </c>
      <c r="Q1192" s="17">
        <v>0</v>
      </c>
      <c r="R1192" s="13"/>
      <c r="S1192" s="13"/>
      <c r="T1192" s="13"/>
      <c r="U1192" s="13"/>
      <c r="V1192" s="13"/>
      <c r="W1192" s="13"/>
    </row>
    <row r="1193" spans="1:23" x14ac:dyDescent="0.2">
      <c r="A1193"/>
      <c r="B1193"/>
      <c r="C1193"/>
      <c r="D1193"/>
      <c r="E1193"/>
      <c r="F1193"/>
      <c r="G1193"/>
      <c r="H1193"/>
      <c r="I1193"/>
      <c r="J1193"/>
      <c r="K1193" s="13" t="s">
        <v>97</v>
      </c>
      <c r="L1193" s="13" t="s">
        <v>614</v>
      </c>
      <c r="M1193" s="13" t="s">
        <v>447</v>
      </c>
      <c r="N1193" s="15">
        <v>4</v>
      </c>
      <c r="O1193" s="16">
        <v>0</v>
      </c>
      <c r="P1193" s="17">
        <v>0</v>
      </c>
      <c r="Q1193" s="17">
        <v>0</v>
      </c>
      <c r="R1193" s="13"/>
      <c r="S1193" s="13"/>
      <c r="T1193" s="13"/>
      <c r="U1193" s="13"/>
      <c r="V1193" s="13"/>
      <c r="W1193" s="13"/>
    </row>
    <row r="1194" spans="1:23" x14ac:dyDescent="0.2">
      <c r="A1194"/>
      <c r="B1194"/>
      <c r="C1194"/>
      <c r="D1194"/>
      <c r="E1194"/>
      <c r="F1194"/>
      <c r="G1194"/>
      <c r="H1194"/>
      <c r="I1194"/>
      <c r="J1194"/>
      <c r="K1194" s="13" t="s">
        <v>98</v>
      </c>
      <c r="L1194" s="13" t="s">
        <v>435</v>
      </c>
      <c r="M1194" s="13" t="s">
        <v>364</v>
      </c>
      <c r="N1194" s="15">
        <v>0</v>
      </c>
      <c r="O1194" s="16">
        <v>0</v>
      </c>
      <c r="P1194" s="17">
        <v>4.1288500000711998</v>
      </c>
      <c r="Q1194" s="17">
        <v>0</v>
      </c>
      <c r="R1194" s="13"/>
      <c r="S1194" s="13"/>
      <c r="T1194" s="13"/>
      <c r="U1194" s="13"/>
      <c r="V1194" s="13"/>
      <c r="W1194" s="13"/>
    </row>
    <row r="1195" spans="1:23" x14ac:dyDescent="0.2">
      <c r="A1195"/>
      <c r="B1195"/>
      <c r="C1195"/>
      <c r="D1195"/>
      <c r="E1195"/>
      <c r="F1195"/>
      <c r="G1195"/>
      <c r="H1195"/>
      <c r="I1195"/>
      <c r="J1195"/>
      <c r="K1195" s="13" t="s">
        <v>98</v>
      </c>
      <c r="L1195" s="13" t="s">
        <v>435</v>
      </c>
      <c r="M1195" s="13" t="s">
        <v>364</v>
      </c>
      <c r="N1195" s="15">
        <v>1</v>
      </c>
      <c r="O1195" s="16">
        <v>0</v>
      </c>
      <c r="P1195" s="17">
        <v>0</v>
      </c>
      <c r="Q1195" s="17">
        <v>0</v>
      </c>
      <c r="R1195" s="13"/>
      <c r="S1195" s="13"/>
      <c r="T1195" s="13"/>
      <c r="U1195" s="13"/>
      <c r="V1195" s="13"/>
      <c r="W1195" s="13"/>
    </row>
    <row r="1196" spans="1:23" x14ac:dyDescent="0.2">
      <c r="A1196"/>
      <c r="B1196"/>
      <c r="C1196"/>
      <c r="D1196"/>
      <c r="E1196"/>
      <c r="F1196"/>
      <c r="G1196"/>
      <c r="H1196"/>
      <c r="I1196"/>
      <c r="J1196"/>
      <c r="K1196" s="13" t="s">
        <v>98</v>
      </c>
      <c r="L1196" s="13" t="s">
        <v>481</v>
      </c>
      <c r="M1196" s="13" t="s">
        <v>374</v>
      </c>
      <c r="N1196" s="15">
        <v>0</v>
      </c>
      <c r="O1196" s="16">
        <v>0</v>
      </c>
      <c r="P1196" s="17">
        <v>8.9424000002070336</v>
      </c>
      <c r="Q1196" s="17">
        <v>0</v>
      </c>
      <c r="R1196" s="13"/>
      <c r="S1196" s="13"/>
      <c r="T1196" s="13"/>
      <c r="U1196" s="13"/>
      <c r="V1196" s="13"/>
      <c r="W1196" s="13"/>
    </row>
    <row r="1197" spans="1:23" x14ac:dyDescent="0.2">
      <c r="A1197"/>
      <c r="B1197"/>
      <c r="C1197"/>
      <c r="D1197"/>
      <c r="E1197"/>
      <c r="F1197"/>
      <c r="G1197"/>
      <c r="H1197"/>
      <c r="I1197"/>
      <c r="J1197"/>
      <c r="K1197" s="13" t="s">
        <v>98</v>
      </c>
      <c r="L1197" s="13" t="s">
        <v>389</v>
      </c>
      <c r="M1197" s="13" t="s">
        <v>388</v>
      </c>
      <c r="N1197" s="15">
        <v>0</v>
      </c>
      <c r="O1197" s="16">
        <v>0</v>
      </c>
      <c r="P1197" s="17">
        <v>42.219949999495256</v>
      </c>
      <c r="Q1197" s="17">
        <v>0</v>
      </c>
      <c r="R1197" s="13"/>
      <c r="S1197" s="13"/>
      <c r="T1197" s="13"/>
      <c r="U1197" s="13"/>
      <c r="V1197" s="13"/>
      <c r="W1197" s="13"/>
    </row>
    <row r="1198" spans="1:23" x14ac:dyDescent="0.2">
      <c r="A1198"/>
      <c r="B1198"/>
      <c r="C1198"/>
      <c r="D1198"/>
      <c r="E1198"/>
      <c r="F1198"/>
      <c r="G1198"/>
      <c r="H1198"/>
      <c r="I1198"/>
      <c r="J1198"/>
      <c r="K1198" s="13" t="s">
        <v>98</v>
      </c>
      <c r="L1198" s="13" t="s">
        <v>392</v>
      </c>
      <c r="M1198" s="13" t="s">
        <v>437</v>
      </c>
      <c r="N1198" s="15">
        <v>0</v>
      </c>
      <c r="O1198" s="16">
        <v>0</v>
      </c>
      <c r="P1198" s="17">
        <v>48.378753727952407</v>
      </c>
      <c r="Q1198" s="17">
        <v>0</v>
      </c>
      <c r="R1198" s="13"/>
      <c r="S1198" s="13"/>
      <c r="T1198" s="13"/>
      <c r="U1198" s="13"/>
      <c r="V1198" s="13"/>
      <c r="W1198" s="13"/>
    </row>
    <row r="1199" spans="1:23" x14ac:dyDescent="0.2">
      <c r="A1199"/>
      <c r="B1199"/>
      <c r="C1199"/>
      <c r="D1199"/>
      <c r="E1199"/>
      <c r="F1199"/>
      <c r="G1199"/>
      <c r="H1199"/>
      <c r="I1199"/>
      <c r="J1199"/>
      <c r="K1199" s="13" t="s">
        <v>98</v>
      </c>
      <c r="L1199" s="13" t="s">
        <v>519</v>
      </c>
      <c r="M1199" s="13" t="s">
        <v>478</v>
      </c>
      <c r="N1199" s="15">
        <v>0</v>
      </c>
      <c r="O1199" s="16">
        <v>0</v>
      </c>
      <c r="P1199" s="17">
        <v>88.791500008711836</v>
      </c>
      <c r="Q1199" s="17">
        <v>0</v>
      </c>
      <c r="R1199" s="13"/>
      <c r="S1199" s="13"/>
      <c r="T1199" s="13"/>
      <c r="U1199" s="13"/>
      <c r="V1199" s="13"/>
      <c r="W1199" s="13"/>
    </row>
    <row r="1200" spans="1:23" x14ac:dyDescent="0.2">
      <c r="A1200"/>
      <c r="B1200"/>
      <c r="C1200"/>
      <c r="D1200"/>
      <c r="E1200"/>
      <c r="F1200"/>
      <c r="G1200"/>
      <c r="H1200"/>
      <c r="I1200"/>
      <c r="J1200"/>
      <c r="K1200" s="13" t="s">
        <v>98</v>
      </c>
      <c r="L1200" s="13" t="s">
        <v>465</v>
      </c>
      <c r="M1200" s="13" t="s">
        <v>514</v>
      </c>
      <c r="N1200" s="15">
        <v>0</v>
      </c>
      <c r="O1200" s="16">
        <v>0</v>
      </c>
      <c r="P1200" s="17">
        <v>13.438500001788835</v>
      </c>
      <c r="Q1200" s="17">
        <v>0</v>
      </c>
      <c r="R1200" s="13"/>
      <c r="S1200" s="13"/>
      <c r="T1200" s="13"/>
      <c r="U1200" s="13"/>
      <c r="V1200" s="13"/>
      <c r="W1200" s="13"/>
    </row>
    <row r="1201" spans="1:23" x14ac:dyDescent="0.2">
      <c r="A1201"/>
      <c r="B1201"/>
      <c r="C1201"/>
      <c r="D1201"/>
      <c r="E1201"/>
      <c r="F1201"/>
      <c r="G1201"/>
      <c r="H1201"/>
      <c r="I1201"/>
      <c r="J1201"/>
      <c r="K1201" s="13" t="s">
        <v>98</v>
      </c>
      <c r="L1201" s="13" t="s">
        <v>512</v>
      </c>
      <c r="M1201" s="13" t="s">
        <v>466</v>
      </c>
      <c r="N1201" s="15">
        <v>0</v>
      </c>
      <c r="O1201" s="16">
        <v>0</v>
      </c>
      <c r="P1201" s="17">
        <v>30.972800007630418</v>
      </c>
      <c r="Q1201" s="17">
        <v>0</v>
      </c>
      <c r="R1201" s="13"/>
      <c r="S1201" s="13"/>
      <c r="T1201" s="13"/>
      <c r="U1201" s="13"/>
      <c r="V1201" s="13"/>
      <c r="W1201" s="13"/>
    </row>
    <row r="1202" spans="1:23" x14ac:dyDescent="0.2">
      <c r="A1202"/>
      <c r="B1202"/>
      <c r="C1202"/>
      <c r="D1202"/>
      <c r="E1202"/>
      <c r="F1202"/>
      <c r="G1202"/>
      <c r="H1202"/>
      <c r="I1202"/>
      <c r="J1202"/>
      <c r="K1202" s="13" t="s">
        <v>98</v>
      </c>
      <c r="L1202" s="13" t="s">
        <v>394</v>
      </c>
      <c r="M1202" s="13" t="s">
        <v>359</v>
      </c>
      <c r="N1202" s="15">
        <v>0</v>
      </c>
      <c r="O1202" s="16">
        <v>0</v>
      </c>
      <c r="P1202" s="17">
        <v>1.3042499996755506</v>
      </c>
      <c r="Q1202" s="17">
        <v>0</v>
      </c>
      <c r="R1202" s="13"/>
      <c r="S1202" s="13"/>
      <c r="T1202" s="13"/>
      <c r="U1202" s="13"/>
      <c r="V1202" s="13"/>
      <c r="W1202" s="13"/>
    </row>
    <row r="1203" spans="1:23" x14ac:dyDescent="0.2">
      <c r="A1203"/>
      <c r="B1203"/>
      <c r="C1203"/>
      <c r="D1203"/>
      <c r="E1203"/>
      <c r="F1203"/>
      <c r="G1203"/>
      <c r="H1203"/>
      <c r="I1203"/>
      <c r="J1203"/>
      <c r="K1203" s="13" t="s">
        <v>98</v>
      </c>
      <c r="L1203" s="13" t="s">
        <v>399</v>
      </c>
      <c r="M1203" s="13" t="s">
        <v>400</v>
      </c>
      <c r="N1203" s="15">
        <v>0</v>
      </c>
      <c r="O1203" s="16">
        <v>0</v>
      </c>
      <c r="P1203" s="17">
        <v>11.255550001151207</v>
      </c>
      <c r="Q1203" s="17">
        <v>0</v>
      </c>
      <c r="R1203" s="13"/>
      <c r="S1203" s="13"/>
      <c r="T1203" s="13"/>
      <c r="U1203" s="13"/>
      <c r="V1203" s="13"/>
      <c r="W1203" s="13"/>
    </row>
    <row r="1204" spans="1:23" x14ac:dyDescent="0.2">
      <c r="A1204"/>
      <c r="B1204"/>
      <c r="C1204"/>
      <c r="D1204"/>
      <c r="E1204"/>
      <c r="F1204"/>
      <c r="G1204"/>
      <c r="H1204"/>
      <c r="I1204"/>
      <c r="J1204"/>
      <c r="K1204" s="13" t="s">
        <v>98</v>
      </c>
      <c r="L1204" s="13" t="s">
        <v>401</v>
      </c>
      <c r="M1204" s="13" t="s">
        <v>360</v>
      </c>
      <c r="N1204" s="15">
        <v>0</v>
      </c>
      <c r="O1204" s="16">
        <v>0</v>
      </c>
      <c r="P1204" s="17">
        <v>287.63259996825315</v>
      </c>
      <c r="Q1204" s="17">
        <v>0</v>
      </c>
      <c r="R1204" s="13"/>
      <c r="S1204" s="13"/>
      <c r="T1204" s="13"/>
      <c r="U1204" s="13"/>
      <c r="V1204" s="13"/>
      <c r="W1204" s="13"/>
    </row>
    <row r="1205" spans="1:23" x14ac:dyDescent="0.2">
      <c r="A1205"/>
      <c r="B1205"/>
      <c r="C1205"/>
      <c r="D1205"/>
      <c r="E1205"/>
      <c r="F1205"/>
      <c r="G1205"/>
      <c r="H1205"/>
      <c r="I1205"/>
      <c r="J1205"/>
      <c r="K1205" s="13" t="s">
        <v>98</v>
      </c>
      <c r="L1205" s="13" t="s">
        <v>402</v>
      </c>
      <c r="M1205" s="13" t="s">
        <v>403</v>
      </c>
      <c r="N1205" s="15">
        <v>0</v>
      </c>
      <c r="O1205" s="16">
        <v>0</v>
      </c>
      <c r="P1205" s="17">
        <v>1499.3133499974197</v>
      </c>
      <c r="Q1205" s="17">
        <v>0</v>
      </c>
      <c r="R1205" s="13"/>
      <c r="S1205" s="13"/>
      <c r="T1205" s="13"/>
      <c r="U1205" s="13"/>
      <c r="V1205" s="13"/>
      <c r="W1205" s="13"/>
    </row>
    <row r="1206" spans="1:23" x14ac:dyDescent="0.2">
      <c r="A1206"/>
      <c r="B1206"/>
      <c r="C1206"/>
      <c r="D1206"/>
      <c r="E1206"/>
      <c r="F1206"/>
      <c r="G1206"/>
      <c r="H1206"/>
      <c r="I1206"/>
      <c r="J1206"/>
      <c r="K1206" s="13" t="s">
        <v>98</v>
      </c>
      <c r="L1206" s="13" t="s">
        <v>462</v>
      </c>
      <c r="M1206" s="13" t="s">
        <v>370</v>
      </c>
      <c r="N1206" s="15">
        <v>0</v>
      </c>
      <c r="O1206" s="16">
        <v>0</v>
      </c>
      <c r="P1206" s="17">
        <v>48.192499997630954</v>
      </c>
      <c r="Q1206" s="17">
        <v>0</v>
      </c>
      <c r="R1206" s="13"/>
      <c r="S1206" s="13"/>
      <c r="T1206" s="13"/>
      <c r="U1206" s="13"/>
      <c r="V1206" s="13"/>
      <c r="W1206" s="13"/>
    </row>
    <row r="1207" spans="1:23" x14ac:dyDescent="0.2">
      <c r="A1207"/>
      <c r="B1207"/>
      <c r="C1207"/>
      <c r="D1207"/>
      <c r="E1207"/>
      <c r="F1207"/>
      <c r="G1207"/>
      <c r="H1207"/>
      <c r="I1207"/>
      <c r="J1207"/>
      <c r="K1207" s="13" t="s">
        <v>98</v>
      </c>
      <c r="L1207" s="13" t="s">
        <v>451</v>
      </c>
      <c r="M1207" s="13" t="s">
        <v>369</v>
      </c>
      <c r="N1207" s="15">
        <v>0</v>
      </c>
      <c r="O1207" s="16">
        <v>0</v>
      </c>
      <c r="P1207" s="17">
        <v>2071.4997537097092</v>
      </c>
      <c r="Q1207" s="17">
        <v>0</v>
      </c>
      <c r="R1207" s="13"/>
      <c r="S1207" s="13"/>
      <c r="T1207" s="13"/>
      <c r="U1207" s="13"/>
      <c r="V1207" s="13"/>
      <c r="W1207" s="13"/>
    </row>
    <row r="1208" spans="1:23" x14ac:dyDescent="0.2">
      <c r="A1208"/>
      <c r="B1208"/>
      <c r="C1208"/>
      <c r="D1208"/>
      <c r="E1208"/>
      <c r="F1208"/>
      <c r="G1208"/>
      <c r="H1208"/>
      <c r="I1208"/>
      <c r="J1208"/>
      <c r="K1208" s="13" t="s">
        <v>98</v>
      </c>
      <c r="L1208" s="13" t="s">
        <v>381</v>
      </c>
      <c r="M1208" s="13" t="s">
        <v>382</v>
      </c>
      <c r="N1208" s="15">
        <v>12</v>
      </c>
      <c r="O1208" s="16">
        <v>0</v>
      </c>
      <c r="P1208" s="17">
        <v>0</v>
      </c>
      <c r="Q1208" s="17">
        <v>0</v>
      </c>
      <c r="R1208" s="13"/>
      <c r="S1208" s="13"/>
      <c r="T1208" s="13"/>
      <c r="U1208" s="13"/>
      <c r="V1208" s="13"/>
      <c r="W1208" s="13"/>
    </row>
    <row r="1209" spans="1:23" x14ac:dyDescent="0.2">
      <c r="A1209"/>
      <c r="B1209"/>
      <c r="C1209"/>
      <c r="D1209"/>
      <c r="E1209"/>
      <c r="F1209"/>
      <c r="G1209"/>
      <c r="H1209"/>
      <c r="I1209"/>
      <c r="J1209"/>
      <c r="K1209" s="13" t="s">
        <v>98</v>
      </c>
      <c r="L1209" s="13" t="s">
        <v>411</v>
      </c>
      <c r="M1209" s="13" t="s">
        <v>362</v>
      </c>
      <c r="N1209" s="15">
        <v>1</v>
      </c>
      <c r="O1209" s="16">
        <v>0</v>
      </c>
      <c r="P1209" s="17">
        <v>0</v>
      </c>
      <c r="Q1209" s="17">
        <v>0</v>
      </c>
      <c r="R1209" s="13"/>
      <c r="S1209" s="13"/>
      <c r="T1209" s="13"/>
      <c r="U1209" s="13"/>
      <c r="V1209" s="13"/>
      <c r="W1209" s="13"/>
    </row>
    <row r="1210" spans="1:23" x14ac:dyDescent="0.2">
      <c r="A1210"/>
      <c r="B1210"/>
      <c r="C1210"/>
      <c r="D1210"/>
      <c r="E1210"/>
      <c r="F1210"/>
      <c r="G1210"/>
      <c r="H1210"/>
      <c r="I1210"/>
      <c r="J1210"/>
      <c r="K1210" s="13" t="s">
        <v>98</v>
      </c>
      <c r="L1210" s="13" t="s">
        <v>413</v>
      </c>
      <c r="M1210" s="13" t="s">
        <v>428</v>
      </c>
      <c r="N1210" s="15">
        <v>1</v>
      </c>
      <c r="O1210" s="16">
        <v>0</v>
      </c>
      <c r="P1210" s="17">
        <v>0</v>
      </c>
      <c r="Q1210" s="17">
        <v>0</v>
      </c>
      <c r="R1210" s="13"/>
      <c r="S1210" s="13"/>
      <c r="T1210" s="13"/>
      <c r="U1210" s="13"/>
      <c r="V1210" s="13"/>
      <c r="W1210" s="13"/>
    </row>
    <row r="1211" spans="1:23" x14ac:dyDescent="0.2">
      <c r="A1211"/>
      <c r="B1211"/>
      <c r="C1211"/>
      <c r="D1211"/>
      <c r="E1211"/>
      <c r="F1211"/>
      <c r="G1211"/>
      <c r="H1211"/>
      <c r="I1211"/>
      <c r="J1211"/>
      <c r="K1211" s="13" t="s">
        <v>98</v>
      </c>
      <c r="L1211" s="13" t="s">
        <v>615</v>
      </c>
      <c r="M1211" s="13" t="s">
        <v>449</v>
      </c>
      <c r="N1211" s="15">
        <v>1</v>
      </c>
      <c r="O1211" s="16">
        <v>0</v>
      </c>
      <c r="P1211" s="17">
        <v>0</v>
      </c>
      <c r="Q1211" s="17">
        <v>0</v>
      </c>
      <c r="R1211" s="13"/>
      <c r="S1211" s="13"/>
      <c r="T1211" s="13"/>
      <c r="U1211" s="13"/>
      <c r="V1211" s="13"/>
      <c r="W1211" s="13"/>
    </row>
    <row r="1212" spans="1:23" x14ac:dyDescent="0.2">
      <c r="A1212"/>
      <c r="B1212"/>
      <c r="C1212"/>
      <c r="D1212"/>
      <c r="E1212"/>
      <c r="F1212"/>
      <c r="G1212"/>
      <c r="H1212"/>
      <c r="I1212"/>
      <c r="J1212"/>
      <c r="K1212" s="13" t="s">
        <v>98</v>
      </c>
      <c r="L1212" s="13" t="s">
        <v>421</v>
      </c>
      <c r="M1212" s="13" t="s">
        <v>443</v>
      </c>
      <c r="N1212" s="15">
        <v>6</v>
      </c>
      <c r="O1212" s="16">
        <v>0</v>
      </c>
      <c r="P1212" s="17">
        <v>0</v>
      </c>
      <c r="Q1212" s="17">
        <v>0</v>
      </c>
      <c r="R1212" s="13"/>
      <c r="S1212" s="13"/>
      <c r="T1212" s="13"/>
      <c r="U1212" s="13"/>
      <c r="V1212" s="13"/>
      <c r="W1212" s="13"/>
    </row>
    <row r="1213" spans="1:23" x14ac:dyDescent="0.2">
      <c r="A1213"/>
      <c r="B1213"/>
      <c r="C1213"/>
      <c r="D1213"/>
      <c r="E1213"/>
      <c r="F1213"/>
      <c r="G1213"/>
      <c r="H1213"/>
      <c r="I1213"/>
      <c r="J1213"/>
      <c r="K1213" s="13" t="s">
        <v>98</v>
      </c>
      <c r="L1213" s="13" t="s">
        <v>383</v>
      </c>
      <c r="M1213" s="13" t="s">
        <v>420</v>
      </c>
      <c r="N1213" s="15">
        <v>3</v>
      </c>
      <c r="O1213" s="16">
        <v>0</v>
      </c>
      <c r="P1213" s="17">
        <v>0</v>
      </c>
      <c r="Q1213" s="17">
        <v>0</v>
      </c>
      <c r="R1213" s="13"/>
      <c r="S1213" s="13"/>
      <c r="T1213" s="13"/>
      <c r="U1213" s="13"/>
      <c r="V1213" s="13"/>
      <c r="W1213" s="13"/>
    </row>
    <row r="1214" spans="1:23" x14ac:dyDescent="0.2">
      <c r="A1214"/>
      <c r="B1214"/>
      <c r="C1214"/>
      <c r="D1214"/>
      <c r="E1214"/>
      <c r="F1214"/>
      <c r="G1214"/>
      <c r="H1214"/>
      <c r="I1214"/>
      <c r="J1214"/>
      <c r="K1214" s="13" t="s">
        <v>98</v>
      </c>
      <c r="L1214" s="13" t="s">
        <v>528</v>
      </c>
      <c r="M1214" s="13" t="s">
        <v>384</v>
      </c>
      <c r="N1214" s="15">
        <v>0</v>
      </c>
      <c r="O1214" s="16">
        <v>121.08206411418115</v>
      </c>
      <c r="P1214" s="17">
        <v>0</v>
      </c>
      <c r="Q1214" s="17">
        <v>0</v>
      </c>
      <c r="R1214" s="13"/>
      <c r="S1214" s="13"/>
      <c r="T1214" s="13"/>
      <c r="U1214" s="13"/>
      <c r="V1214" s="13"/>
      <c r="W1214" s="13"/>
    </row>
    <row r="1215" spans="1:23" x14ac:dyDescent="0.2">
      <c r="A1215"/>
      <c r="B1215"/>
      <c r="C1215"/>
      <c r="D1215"/>
      <c r="E1215"/>
      <c r="F1215"/>
      <c r="G1215"/>
      <c r="H1215"/>
      <c r="I1215"/>
      <c r="J1215"/>
      <c r="K1215" s="13" t="s">
        <v>98</v>
      </c>
      <c r="L1215" s="13" t="s">
        <v>613</v>
      </c>
      <c r="M1215" s="13" t="s">
        <v>444</v>
      </c>
      <c r="N1215" s="15">
        <v>0</v>
      </c>
      <c r="O1215" s="16">
        <v>54.598893594586443</v>
      </c>
      <c r="P1215" s="17">
        <v>0</v>
      </c>
      <c r="Q1215" s="17">
        <v>0</v>
      </c>
      <c r="R1215" s="13"/>
      <c r="S1215" s="13"/>
      <c r="T1215" s="13"/>
      <c r="U1215" s="13"/>
      <c r="V1215" s="13"/>
      <c r="W1215" s="13"/>
    </row>
    <row r="1216" spans="1:23" x14ac:dyDescent="0.2">
      <c r="A1216"/>
      <c r="B1216"/>
      <c r="C1216"/>
      <c r="D1216"/>
      <c r="E1216"/>
      <c r="F1216"/>
      <c r="G1216"/>
      <c r="H1216"/>
      <c r="I1216"/>
      <c r="J1216"/>
      <c r="K1216" s="13" t="s">
        <v>98</v>
      </c>
      <c r="L1216" s="13" t="s">
        <v>446</v>
      </c>
      <c r="M1216" s="13" t="s">
        <v>371</v>
      </c>
      <c r="N1216" s="15">
        <v>4</v>
      </c>
      <c r="O1216" s="16">
        <v>0</v>
      </c>
      <c r="P1216" s="17">
        <v>0</v>
      </c>
      <c r="Q1216" s="17">
        <v>0</v>
      </c>
      <c r="R1216" s="13"/>
      <c r="S1216" s="13"/>
      <c r="T1216" s="13"/>
      <c r="U1216" s="13"/>
      <c r="V1216" s="13"/>
      <c r="W1216" s="13"/>
    </row>
    <row r="1217" spans="1:23" x14ac:dyDescent="0.2">
      <c r="A1217"/>
      <c r="B1217"/>
      <c r="C1217"/>
      <c r="D1217"/>
      <c r="E1217"/>
      <c r="F1217"/>
      <c r="G1217"/>
      <c r="H1217"/>
      <c r="I1217"/>
      <c r="J1217"/>
      <c r="K1217" s="13" t="s">
        <v>98</v>
      </c>
      <c r="L1217" s="13" t="s">
        <v>614</v>
      </c>
      <c r="M1217" s="13" t="s">
        <v>447</v>
      </c>
      <c r="N1217" s="15">
        <v>1</v>
      </c>
      <c r="O1217" s="16">
        <v>0</v>
      </c>
      <c r="P1217" s="17">
        <v>0</v>
      </c>
      <c r="Q1217" s="17">
        <v>0</v>
      </c>
      <c r="R1217" s="13"/>
      <c r="S1217" s="13"/>
      <c r="T1217" s="13"/>
      <c r="U1217" s="13"/>
      <c r="V1217" s="13"/>
      <c r="W1217" s="13"/>
    </row>
    <row r="1218" spans="1:23" x14ac:dyDescent="0.2">
      <c r="A1218"/>
      <c r="B1218"/>
      <c r="C1218"/>
      <c r="D1218"/>
      <c r="E1218"/>
      <c r="F1218"/>
      <c r="G1218"/>
      <c r="H1218"/>
      <c r="I1218"/>
      <c r="J1218"/>
      <c r="K1218" s="13" t="s">
        <v>98</v>
      </c>
      <c r="L1218" s="13" t="s">
        <v>454</v>
      </c>
      <c r="M1218" s="13" t="s">
        <v>455</v>
      </c>
      <c r="N1218" s="15">
        <v>0</v>
      </c>
      <c r="O1218" s="16">
        <v>0</v>
      </c>
      <c r="P1218" s="17">
        <v>846.31954996970558</v>
      </c>
      <c r="Q1218" s="17">
        <v>0</v>
      </c>
      <c r="R1218" s="13"/>
      <c r="S1218" s="13"/>
      <c r="T1218" s="13"/>
      <c r="U1218" s="13"/>
      <c r="V1218" s="13"/>
      <c r="W1218" s="13"/>
    </row>
    <row r="1219" spans="1:23" x14ac:dyDescent="0.2">
      <c r="A1219"/>
      <c r="B1219"/>
      <c r="C1219"/>
      <c r="D1219"/>
      <c r="E1219"/>
      <c r="F1219"/>
      <c r="G1219"/>
      <c r="H1219"/>
      <c r="I1219"/>
      <c r="J1219"/>
      <c r="K1219" s="13" t="s">
        <v>99</v>
      </c>
      <c r="L1219" s="13" t="s">
        <v>435</v>
      </c>
      <c r="M1219" s="13" t="s">
        <v>364</v>
      </c>
      <c r="N1219" s="15">
        <v>0</v>
      </c>
      <c r="O1219" s="16">
        <v>0</v>
      </c>
      <c r="P1219" s="17">
        <v>4.2263999991708205</v>
      </c>
      <c r="Q1219" s="17">
        <v>0</v>
      </c>
      <c r="R1219" s="13"/>
      <c r="S1219" s="13"/>
      <c r="T1219" s="13"/>
      <c r="U1219" s="13"/>
      <c r="V1219" s="13"/>
      <c r="W1219" s="13"/>
    </row>
    <row r="1220" spans="1:23" x14ac:dyDescent="0.2">
      <c r="A1220"/>
      <c r="B1220"/>
      <c r="C1220"/>
      <c r="D1220"/>
      <c r="E1220"/>
      <c r="F1220"/>
      <c r="G1220"/>
      <c r="H1220"/>
      <c r="I1220"/>
      <c r="J1220"/>
      <c r="K1220" s="13" t="s">
        <v>99</v>
      </c>
      <c r="L1220" s="13" t="s">
        <v>389</v>
      </c>
      <c r="M1220" s="13" t="s">
        <v>388</v>
      </c>
      <c r="N1220" s="15">
        <v>0</v>
      </c>
      <c r="O1220" s="16">
        <v>0</v>
      </c>
      <c r="P1220" s="17">
        <v>5.2110500030037228</v>
      </c>
      <c r="Q1220" s="17">
        <v>0</v>
      </c>
      <c r="R1220" s="13"/>
      <c r="S1220" s="13"/>
      <c r="T1220" s="13"/>
      <c r="U1220" s="13"/>
      <c r="V1220" s="13"/>
      <c r="W1220" s="13"/>
    </row>
    <row r="1221" spans="1:23" x14ac:dyDescent="0.2">
      <c r="A1221"/>
      <c r="B1221"/>
      <c r="C1221"/>
      <c r="D1221"/>
      <c r="E1221"/>
      <c r="F1221"/>
      <c r="G1221"/>
      <c r="H1221"/>
      <c r="I1221"/>
      <c r="J1221"/>
      <c r="K1221" s="13" t="s">
        <v>99</v>
      </c>
      <c r="L1221" s="13" t="s">
        <v>391</v>
      </c>
      <c r="M1221" s="13" t="s">
        <v>358</v>
      </c>
      <c r="N1221" s="15">
        <v>0</v>
      </c>
      <c r="O1221" s="16">
        <v>0</v>
      </c>
      <c r="P1221" s="17">
        <v>42.443950007236751</v>
      </c>
      <c r="Q1221" s="17">
        <v>0</v>
      </c>
      <c r="R1221" s="13"/>
      <c r="S1221" s="13"/>
      <c r="T1221" s="13"/>
      <c r="U1221" s="13"/>
      <c r="V1221" s="13"/>
      <c r="W1221" s="13"/>
    </row>
    <row r="1222" spans="1:23" x14ac:dyDescent="0.2">
      <c r="A1222"/>
      <c r="B1222"/>
      <c r="C1222"/>
      <c r="D1222"/>
      <c r="E1222"/>
      <c r="F1222"/>
      <c r="G1222"/>
      <c r="H1222"/>
      <c r="I1222"/>
      <c r="J1222"/>
      <c r="K1222" s="13" t="s">
        <v>99</v>
      </c>
      <c r="L1222" s="13" t="s">
        <v>392</v>
      </c>
      <c r="M1222" s="13" t="s">
        <v>437</v>
      </c>
      <c r="N1222" s="15">
        <v>0</v>
      </c>
      <c r="O1222" s="16">
        <v>0</v>
      </c>
      <c r="P1222" s="17">
        <v>352.63039998905305</v>
      </c>
      <c r="Q1222" s="17">
        <v>0</v>
      </c>
      <c r="R1222" s="13"/>
      <c r="S1222" s="13"/>
      <c r="T1222" s="13"/>
      <c r="U1222" s="13"/>
      <c r="V1222" s="13"/>
      <c r="W1222" s="13"/>
    </row>
    <row r="1223" spans="1:23" x14ac:dyDescent="0.2">
      <c r="A1223"/>
      <c r="B1223"/>
      <c r="C1223"/>
      <c r="D1223"/>
      <c r="E1223"/>
      <c r="F1223"/>
      <c r="G1223"/>
      <c r="H1223"/>
      <c r="I1223"/>
      <c r="J1223"/>
      <c r="K1223" s="13" t="s">
        <v>99</v>
      </c>
      <c r="L1223" s="13" t="s">
        <v>399</v>
      </c>
      <c r="M1223" s="13" t="s">
        <v>400</v>
      </c>
      <c r="N1223" s="15">
        <v>0</v>
      </c>
      <c r="O1223" s="16">
        <v>0</v>
      </c>
      <c r="P1223" s="17">
        <v>4.7430499998048656</v>
      </c>
      <c r="Q1223" s="17">
        <v>0</v>
      </c>
      <c r="R1223" s="13"/>
      <c r="S1223" s="13"/>
      <c r="T1223" s="13"/>
      <c r="U1223" s="13"/>
      <c r="V1223" s="13"/>
      <c r="W1223" s="13"/>
    </row>
    <row r="1224" spans="1:23" x14ac:dyDescent="0.2">
      <c r="A1224"/>
      <c r="B1224"/>
      <c r="C1224"/>
      <c r="D1224"/>
      <c r="E1224"/>
      <c r="F1224"/>
      <c r="G1224"/>
      <c r="H1224"/>
      <c r="I1224"/>
      <c r="J1224"/>
      <c r="K1224" s="13" t="s">
        <v>99</v>
      </c>
      <c r="L1224" s="13" t="s">
        <v>401</v>
      </c>
      <c r="M1224" s="13" t="s">
        <v>360</v>
      </c>
      <c r="N1224" s="15">
        <v>0</v>
      </c>
      <c r="O1224" s="16">
        <v>0</v>
      </c>
      <c r="P1224" s="17">
        <v>615.36290002492001</v>
      </c>
      <c r="Q1224" s="17">
        <v>0</v>
      </c>
      <c r="R1224" s="13"/>
      <c r="S1224" s="13"/>
      <c r="T1224" s="13"/>
      <c r="U1224" s="13"/>
      <c r="V1224" s="13"/>
      <c r="W1224" s="13"/>
    </row>
    <row r="1225" spans="1:23" x14ac:dyDescent="0.2">
      <c r="A1225"/>
      <c r="B1225"/>
      <c r="C1225"/>
      <c r="D1225"/>
      <c r="E1225"/>
      <c r="F1225"/>
      <c r="G1225"/>
      <c r="H1225"/>
      <c r="I1225"/>
      <c r="J1225"/>
      <c r="K1225" s="13" t="s">
        <v>99</v>
      </c>
      <c r="L1225" s="13" t="s">
        <v>402</v>
      </c>
      <c r="M1225" s="13" t="s">
        <v>403</v>
      </c>
      <c r="N1225" s="15">
        <v>0</v>
      </c>
      <c r="O1225" s="16">
        <v>0</v>
      </c>
      <c r="P1225" s="17">
        <v>2076.9277999454703</v>
      </c>
      <c r="Q1225" s="17">
        <v>0</v>
      </c>
      <c r="R1225" s="13"/>
      <c r="S1225" s="13"/>
      <c r="T1225" s="13"/>
      <c r="U1225" s="13"/>
      <c r="V1225" s="13"/>
      <c r="W1225" s="13"/>
    </row>
    <row r="1226" spans="1:23" x14ac:dyDescent="0.2">
      <c r="A1226"/>
      <c r="B1226"/>
      <c r="C1226"/>
      <c r="D1226"/>
      <c r="E1226"/>
      <c r="F1226"/>
      <c r="G1226"/>
      <c r="H1226"/>
      <c r="I1226"/>
      <c r="J1226"/>
      <c r="K1226" s="13" t="s">
        <v>99</v>
      </c>
      <c r="L1226" s="13" t="s">
        <v>404</v>
      </c>
      <c r="M1226" s="13" t="s">
        <v>405</v>
      </c>
      <c r="N1226" s="15">
        <v>0</v>
      </c>
      <c r="O1226" s="16">
        <v>0</v>
      </c>
      <c r="P1226" s="17">
        <v>43.525849991023577</v>
      </c>
      <c r="Q1226" s="17">
        <v>126.85849147723333</v>
      </c>
      <c r="R1226" s="13"/>
      <c r="S1226" s="13"/>
      <c r="T1226" s="13"/>
      <c r="U1226" s="13"/>
      <c r="V1226" s="13"/>
      <c r="W1226" s="13"/>
    </row>
    <row r="1227" spans="1:23" x14ac:dyDescent="0.2">
      <c r="A1227"/>
      <c r="B1227"/>
      <c r="C1227"/>
      <c r="D1227"/>
      <c r="E1227"/>
      <c r="F1227"/>
      <c r="G1227"/>
      <c r="H1227"/>
      <c r="I1227"/>
      <c r="J1227"/>
      <c r="K1227" s="13" t="s">
        <v>99</v>
      </c>
      <c r="L1227" s="13" t="s">
        <v>451</v>
      </c>
      <c r="M1227" s="13" t="s">
        <v>369</v>
      </c>
      <c r="N1227" s="15">
        <v>0</v>
      </c>
      <c r="O1227" s="16">
        <v>0</v>
      </c>
      <c r="P1227" s="17">
        <v>3140.8449999605123</v>
      </c>
      <c r="Q1227" s="17">
        <v>0</v>
      </c>
      <c r="R1227" s="13"/>
      <c r="S1227" s="13"/>
      <c r="T1227" s="13"/>
      <c r="U1227" s="13"/>
      <c r="V1227" s="13"/>
      <c r="W1227" s="13"/>
    </row>
    <row r="1228" spans="1:23" x14ac:dyDescent="0.2">
      <c r="A1228"/>
      <c r="B1228"/>
      <c r="C1228"/>
      <c r="D1228"/>
      <c r="E1228"/>
      <c r="F1228"/>
      <c r="G1228"/>
      <c r="H1228"/>
      <c r="I1228"/>
      <c r="J1228"/>
      <c r="K1228" s="13" t="s">
        <v>99</v>
      </c>
      <c r="L1228" s="13" t="s">
        <v>381</v>
      </c>
      <c r="M1228" s="13" t="s">
        <v>382</v>
      </c>
      <c r="N1228" s="15">
        <v>15</v>
      </c>
      <c r="O1228" s="16">
        <v>0</v>
      </c>
      <c r="P1228" s="17">
        <v>0</v>
      </c>
      <c r="Q1228" s="17">
        <v>0</v>
      </c>
      <c r="R1228" s="13"/>
      <c r="S1228" s="13"/>
      <c r="T1228" s="13"/>
      <c r="U1228" s="13"/>
      <c r="V1228" s="13"/>
      <c r="W1228" s="13"/>
    </row>
    <row r="1229" spans="1:23" x14ac:dyDescent="0.2">
      <c r="A1229"/>
      <c r="B1229"/>
      <c r="C1229"/>
      <c r="D1229"/>
      <c r="E1229"/>
      <c r="F1229"/>
      <c r="G1229"/>
      <c r="H1229"/>
      <c r="I1229"/>
      <c r="J1229"/>
      <c r="K1229" s="13" t="s">
        <v>99</v>
      </c>
      <c r="L1229" s="13" t="s">
        <v>615</v>
      </c>
      <c r="M1229" s="13" t="s">
        <v>449</v>
      </c>
      <c r="N1229" s="15">
        <v>1</v>
      </c>
      <c r="O1229" s="16">
        <v>0</v>
      </c>
      <c r="P1229" s="17">
        <v>0</v>
      </c>
      <c r="Q1229" s="17">
        <v>0</v>
      </c>
      <c r="R1229" s="13"/>
      <c r="S1229" s="13"/>
      <c r="T1229" s="13"/>
      <c r="U1229" s="13"/>
      <c r="V1229" s="13"/>
      <c r="W1229" s="13"/>
    </row>
    <row r="1230" spans="1:23" x14ac:dyDescent="0.2">
      <c r="A1230"/>
      <c r="B1230"/>
      <c r="C1230"/>
      <c r="D1230"/>
      <c r="E1230"/>
      <c r="F1230"/>
      <c r="G1230"/>
      <c r="H1230"/>
      <c r="I1230"/>
      <c r="J1230"/>
      <c r="K1230" s="13" t="s">
        <v>99</v>
      </c>
      <c r="L1230" s="13" t="s">
        <v>458</v>
      </c>
      <c r="M1230" s="13" t="s">
        <v>459</v>
      </c>
      <c r="N1230" s="15">
        <v>0</v>
      </c>
      <c r="O1230" s="16">
        <v>0</v>
      </c>
      <c r="P1230" s="17">
        <v>1321.1466499780893</v>
      </c>
      <c r="Q1230" s="17">
        <v>0</v>
      </c>
      <c r="R1230" s="13"/>
      <c r="S1230" s="13"/>
      <c r="T1230" s="13"/>
      <c r="U1230" s="13"/>
      <c r="V1230" s="13"/>
      <c r="W1230" s="13"/>
    </row>
    <row r="1231" spans="1:23" x14ac:dyDescent="0.2">
      <c r="A1231"/>
      <c r="B1231"/>
      <c r="C1231"/>
      <c r="D1231"/>
      <c r="E1231"/>
      <c r="F1231"/>
      <c r="G1231"/>
      <c r="H1231"/>
      <c r="I1231"/>
      <c r="J1231"/>
      <c r="K1231" s="13" t="s">
        <v>100</v>
      </c>
      <c r="L1231" s="13" t="s">
        <v>389</v>
      </c>
      <c r="M1231" s="13" t="s">
        <v>388</v>
      </c>
      <c r="N1231" s="15">
        <v>0</v>
      </c>
      <c r="O1231" s="16">
        <v>0</v>
      </c>
      <c r="P1231" s="17">
        <v>14.551300006653229</v>
      </c>
      <c r="Q1231" s="17">
        <v>0</v>
      </c>
      <c r="R1231" s="13"/>
      <c r="S1231" s="13"/>
      <c r="T1231" s="13"/>
      <c r="U1231" s="13"/>
      <c r="V1231" s="13"/>
      <c r="W1231" s="13"/>
    </row>
    <row r="1232" spans="1:23" x14ac:dyDescent="0.2">
      <c r="A1232"/>
      <c r="B1232"/>
      <c r="C1232"/>
      <c r="D1232"/>
      <c r="E1232"/>
      <c r="F1232"/>
      <c r="G1232"/>
      <c r="H1232"/>
      <c r="I1232"/>
      <c r="J1232"/>
      <c r="K1232" s="13" t="s">
        <v>100</v>
      </c>
      <c r="L1232" s="13" t="s">
        <v>486</v>
      </c>
      <c r="M1232" s="13" t="s">
        <v>439</v>
      </c>
      <c r="N1232" s="15">
        <v>0</v>
      </c>
      <c r="O1232" s="16">
        <v>0</v>
      </c>
      <c r="P1232" s="17">
        <v>6.9260499999926441</v>
      </c>
      <c r="Q1232" s="17">
        <v>0</v>
      </c>
      <c r="R1232" s="13"/>
      <c r="S1232" s="13"/>
      <c r="T1232" s="13"/>
      <c r="U1232" s="13"/>
      <c r="V1232" s="13"/>
      <c r="W1232" s="13"/>
    </row>
    <row r="1233" spans="1:23" x14ac:dyDescent="0.2">
      <c r="A1233"/>
      <c r="B1233"/>
      <c r="C1233"/>
      <c r="D1233"/>
      <c r="E1233"/>
      <c r="F1233"/>
      <c r="G1233"/>
      <c r="H1233"/>
      <c r="I1233"/>
      <c r="J1233"/>
      <c r="K1233" s="13" t="s">
        <v>100</v>
      </c>
      <c r="L1233" s="13" t="s">
        <v>397</v>
      </c>
      <c r="M1233" s="13" t="s">
        <v>398</v>
      </c>
      <c r="N1233" s="15">
        <v>0</v>
      </c>
      <c r="O1233" s="16">
        <v>0</v>
      </c>
      <c r="P1233" s="17">
        <v>117.07064999711011</v>
      </c>
      <c r="Q1233" s="17">
        <v>0</v>
      </c>
      <c r="R1233" s="13"/>
      <c r="S1233" s="13"/>
      <c r="T1233" s="13"/>
      <c r="U1233" s="13"/>
      <c r="V1233" s="13"/>
      <c r="W1233" s="13"/>
    </row>
    <row r="1234" spans="1:23" x14ac:dyDescent="0.2">
      <c r="A1234"/>
      <c r="B1234"/>
      <c r="C1234"/>
      <c r="D1234"/>
      <c r="E1234"/>
      <c r="F1234"/>
      <c r="G1234"/>
      <c r="H1234"/>
      <c r="I1234"/>
      <c r="J1234"/>
      <c r="K1234" s="13" t="s">
        <v>100</v>
      </c>
      <c r="L1234" s="13" t="s">
        <v>402</v>
      </c>
      <c r="M1234" s="13" t="s">
        <v>403</v>
      </c>
      <c r="N1234" s="15">
        <v>0</v>
      </c>
      <c r="O1234" s="16">
        <v>0</v>
      </c>
      <c r="P1234" s="17">
        <v>195.30194999693725</v>
      </c>
      <c r="Q1234" s="17">
        <v>0</v>
      </c>
      <c r="R1234" s="13"/>
      <c r="S1234" s="13"/>
      <c r="T1234" s="13"/>
      <c r="U1234" s="13"/>
      <c r="V1234" s="13"/>
      <c r="W1234" s="13"/>
    </row>
    <row r="1235" spans="1:23" x14ac:dyDescent="0.2">
      <c r="A1235"/>
      <c r="B1235"/>
      <c r="C1235"/>
      <c r="D1235"/>
      <c r="E1235"/>
      <c r="F1235"/>
      <c r="G1235"/>
      <c r="H1235"/>
      <c r="I1235"/>
      <c r="J1235"/>
      <c r="K1235" s="13" t="s">
        <v>100</v>
      </c>
      <c r="L1235" s="13" t="s">
        <v>451</v>
      </c>
      <c r="M1235" s="13" t="s">
        <v>369</v>
      </c>
      <c r="N1235" s="15">
        <v>0</v>
      </c>
      <c r="O1235" s="16">
        <v>0</v>
      </c>
      <c r="P1235" s="17">
        <v>333.84995000069324</v>
      </c>
      <c r="Q1235" s="17">
        <v>0</v>
      </c>
      <c r="R1235" s="13"/>
      <c r="S1235" s="13"/>
      <c r="T1235" s="13"/>
      <c r="U1235" s="13"/>
      <c r="V1235" s="13"/>
      <c r="W1235" s="13"/>
    </row>
    <row r="1236" spans="1:23" x14ac:dyDescent="0.2">
      <c r="A1236"/>
      <c r="B1236"/>
      <c r="C1236"/>
      <c r="D1236"/>
      <c r="E1236"/>
      <c r="F1236"/>
      <c r="G1236"/>
      <c r="H1236"/>
      <c r="I1236"/>
      <c r="J1236"/>
      <c r="K1236" s="13" t="s">
        <v>100</v>
      </c>
      <c r="L1236" s="13" t="s">
        <v>381</v>
      </c>
      <c r="M1236" s="13" t="s">
        <v>382</v>
      </c>
      <c r="N1236" s="15">
        <v>3</v>
      </c>
      <c r="O1236" s="16">
        <v>0</v>
      </c>
      <c r="P1236" s="17">
        <v>0</v>
      </c>
      <c r="Q1236" s="17">
        <v>0</v>
      </c>
      <c r="R1236" s="13"/>
      <c r="S1236" s="13"/>
      <c r="T1236" s="13"/>
      <c r="U1236" s="13"/>
      <c r="V1236" s="13"/>
      <c r="W1236" s="13"/>
    </row>
    <row r="1237" spans="1:23" x14ac:dyDescent="0.2">
      <c r="A1237"/>
      <c r="B1237"/>
      <c r="C1237"/>
      <c r="D1237"/>
      <c r="E1237"/>
      <c r="F1237"/>
      <c r="G1237"/>
      <c r="H1237"/>
      <c r="I1237"/>
      <c r="J1237"/>
      <c r="K1237" s="13" t="s">
        <v>100</v>
      </c>
      <c r="L1237" s="13" t="s">
        <v>614</v>
      </c>
      <c r="M1237" s="13" t="s">
        <v>447</v>
      </c>
      <c r="N1237" s="15">
        <v>1</v>
      </c>
      <c r="O1237" s="16">
        <v>0</v>
      </c>
      <c r="P1237" s="17">
        <v>0</v>
      </c>
      <c r="Q1237" s="17">
        <v>0</v>
      </c>
      <c r="R1237" s="13"/>
      <c r="S1237" s="13"/>
      <c r="T1237" s="13"/>
      <c r="U1237" s="13"/>
      <c r="V1237" s="13"/>
      <c r="W1237" s="13"/>
    </row>
    <row r="1238" spans="1:23" x14ac:dyDescent="0.2">
      <c r="A1238"/>
      <c r="B1238"/>
      <c r="C1238"/>
      <c r="D1238"/>
      <c r="E1238"/>
      <c r="F1238"/>
      <c r="G1238"/>
      <c r="H1238"/>
      <c r="I1238"/>
      <c r="J1238"/>
      <c r="K1238" s="13" t="s">
        <v>100</v>
      </c>
      <c r="L1238" s="13" t="s">
        <v>502</v>
      </c>
      <c r="M1238" s="13" t="s">
        <v>367</v>
      </c>
      <c r="N1238" s="15">
        <v>1</v>
      </c>
      <c r="O1238" s="16">
        <v>0</v>
      </c>
      <c r="P1238" s="17">
        <v>0</v>
      </c>
      <c r="Q1238" s="17">
        <v>0</v>
      </c>
      <c r="R1238" s="13"/>
      <c r="S1238" s="13"/>
      <c r="T1238" s="13"/>
      <c r="U1238" s="13"/>
      <c r="V1238" s="13"/>
      <c r="W1238" s="13"/>
    </row>
    <row r="1239" spans="1:23" x14ac:dyDescent="0.2">
      <c r="A1239"/>
      <c r="B1239"/>
      <c r="C1239"/>
      <c r="D1239"/>
      <c r="E1239"/>
      <c r="F1239"/>
      <c r="G1239"/>
      <c r="H1239"/>
      <c r="I1239"/>
      <c r="J1239"/>
      <c r="K1239" s="13" t="s">
        <v>100</v>
      </c>
      <c r="L1239" s="13" t="s">
        <v>458</v>
      </c>
      <c r="M1239" s="13" t="s">
        <v>459</v>
      </c>
      <c r="N1239" s="15">
        <v>0</v>
      </c>
      <c r="O1239" s="16">
        <v>0</v>
      </c>
      <c r="P1239" s="17">
        <v>1139.5667499915185</v>
      </c>
      <c r="Q1239" s="17">
        <v>0</v>
      </c>
      <c r="R1239" s="13"/>
      <c r="S1239" s="13"/>
      <c r="T1239" s="13"/>
      <c r="U1239" s="13"/>
      <c r="V1239" s="13"/>
      <c r="W1239" s="13"/>
    </row>
    <row r="1240" spans="1:23" x14ac:dyDescent="0.2">
      <c r="A1240"/>
      <c r="B1240"/>
      <c r="C1240"/>
      <c r="D1240"/>
      <c r="E1240"/>
      <c r="F1240"/>
      <c r="G1240"/>
      <c r="H1240"/>
      <c r="I1240"/>
      <c r="J1240"/>
      <c r="K1240" s="13" t="s">
        <v>101</v>
      </c>
      <c r="L1240" s="13" t="s">
        <v>389</v>
      </c>
      <c r="M1240" s="13" t="s">
        <v>388</v>
      </c>
      <c r="N1240" s="15">
        <v>0</v>
      </c>
      <c r="O1240" s="16">
        <v>0</v>
      </c>
      <c r="P1240" s="17">
        <v>12.324299996897143</v>
      </c>
      <c r="Q1240" s="17">
        <v>0</v>
      </c>
      <c r="R1240" s="13"/>
      <c r="S1240" s="13"/>
      <c r="T1240" s="13"/>
      <c r="U1240" s="13"/>
      <c r="V1240" s="13"/>
      <c r="W1240" s="13"/>
    </row>
    <row r="1241" spans="1:23" x14ac:dyDescent="0.2">
      <c r="A1241"/>
      <c r="B1241"/>
      <c r="C1241"/>
      <c r="D1241"/>
      <c r="E1241"/>
      <c r="F1241"/>
      <c r="G1241"/>
      <c r="H1241"/>
      <c r="I1241"/>
      <c r="J1241"/>
      <c r="K1241" s="13" t="s">
        <v>101</v>
      </c>
      <c r="L1241" s="13" t="s">
        <v>391</v>
      </c>
      <c r="M1241" s="13" t="s">
        <v>358</v>
      </c>
      <c r="N1241" s="15">
        <v>0</v>
      </c>
      <c r="O1241" s="16">
        <v>0</v>
      </c>
      <c r="P1241" s="17">
        <v>95.543549990841811</v>
      </c>
      <c r="Q1241" s="17">
        <v>0</v>
      </c>
      <c r="R1241" s="13"/>
      <c r="S1241" s="13"/>
      <c r="T1241" s="13"/>
      <c r="U1241" s="13"/>
      <c r="V1241" s="13"/>
      <c r="W1241" s="13"/>
    </row>
    <row r="1242" spans="1:23" x14ac:dyDescent="0.2">
      <c r="A1242"/>
      <c r="B1242"/>
      <c r="C1242"/>
      <c r="D1242"/>
      <c r="E1242"/>
      <c r="F1242"/>
      <c r="G1242"/>
      <c r="H1242"/>
      <c r="I1242"/>
      <c r="J1242"/>
      <c r="K1242" s="13" t="s">
        <v>101</v>
      </c>
      <c r="L1242" s="13" t="s">
        <v>402</v>
      </c>
      <c r="M1242" s="13" t="s">
        <v>403</v>
      </c>
      <c r="N1242" s="15">
        <v>0</v>
      </c>
      <c r="O1242" s="16">
        <v>0</v>
      </c>
      <c r="P1242" s="17">
        <v>701.39471648638448</v>
      </c>
      <c r="Q1242" s="17">
        <v>0</v>
      </c>
      <c r="R1242" s="13"/>
      <c r="S1242" s="13"/>
      <c r="T1242" s="13"/>
      <c r="U1242" s="13"/>
      <c r="V1242" s="13"/>
      <c r="W1242" s="13"/>
    </row>
    <row r="1243" spans="1:23" x14ac:dyDescent="0.2">
      <c r="A1243"/>
      <c r="B1243"/>
      <c r="C1243"/>
      <c r="D1243"/>
      <c r="E1243"/>
      <c r="F1243"/>
      <c r="G1243"/>
      <c r="H1243"/>
      <c r="I1243"/>
      <c r="J1243"/>
      <c r="K1243" s="13" t="s">
        <v>101</v>
      </c>
      <c r="L1243" s="13" t="s">
        <v>462</v>
      </c>
      <c r="M1243" s="13" t="s">
        <v>370</v>
      </c>
      <c r="N1243" s="15">
        <v>0</v>
      </c>
      <c r="O1243" s="16">
        <v>0</v>
      </c>
      <c r="P1243" s="17">
        <v>70.038300021646222</v>
      </c>
      <c r="Q1243" s="17">
        <v>0</v>
      </c>
      <c r="R1243" s="13"/>
      <c r="S1243" s="13"/>
      <c r="T1243" s="13"/>
      <c r="U1243" s="13"/>
      <c r="V1243" s="13"/>
      <c r="W1243" s="13"/>
    </row>
    <row r="1244" spans="1:23" x14ac:dyDescent="0.2">
      <c r="A1244"/>
      <c r="B1244"/>
      <c r="C1244"/>
      <c r="D1244"/>
      <c r="E1244"/>
      <c r="F1244"/>
      <c r="G1244"/>
      <c r="H1244"/>
      <c r="I1244"/>
      <c r="J1244"/>
      <c r="K1244" s="13" t="s">
        <v>101</v>
      </c>
      <c r="L1244" s="13" t="s">
        <v>451</v>
      </c>
      <c r="M1244" s="13" t="s">
        <v>369</v>
      </c>
      <c r="N1244" s="15">
        <v>0</v>
      </c>
      <c r="O1244" s="16">
        <v>0</v>
      </c>
      <c r="P1244" s="17">
        <v>879.30086649576958</v>
      </c>
      <c r="Q1244" s="17">
        <v>0</v>
      </c>
      <c r="R1244" s="13"/>
      <c r="S1244" s="13"/>
      <c r="T1244" s="13"/>
      <c r="U1244" s="13"/>
      <c r="V1244" s="13"/>
      <c r="W1244" s="13"/>
    </row>
    <row r="1245" spans="1:23" x14ac:dyDescent="0.2">
      <c r="A1245"/>
      <c r="B1245"/>
      <c r="C1245"/>
      <c r="D1245"/>
      <c r="E1245"/>
      <c r="F1245"/>
      <c r="G1245"/>
      <c r="H1245"/>
      <c r="I1245"/>
      <c r="J1245"/>
      <c r="K1245" s="13" t="s">
        <v>101</v>
      </c>
      <c r="L1245" s="13" t="s">
        <v>383</v>
      </c>
      <c r="M1245" s="13" t="s">
        <v>420</v>
      </c>
      <c r="N1245" s="15">
        <v>2</v>
      </c>
      <c r="O1245" s="16">
        <v>0</v>
      </c>
      <c r="P1245" s="17">
        <v>0</v>
      </c>
      <c r="Q1245" s="17">
        <v>0</v>
      </c>
      <c r="R1245" s="13"/>
      <c r="S1245" s="13"/>
      <c r="T1245" s="13"/>
      <c r="U1245" s="13"/>
      <c r="V1245" s="13"/>
      <c r="W1245" s="13"/>
    </row>
    <row r="1246" spans="1:23" x14ac:dyDescent="0.2">
      <c r="A1246"/>
      <c r="B1246"/>
      <c r="C1246"/>
      <c r="D1246"/>
      <c r="E1246"/>
      <c r="F1246"/>
      <c r="G1246"/>
      <c r="H1246"/>
      <c r="I1246"/>
      <c r="J1246"/>
      <c r="K1246" s="13" t="s">
        <v>101</v>
      </c>
      <c r="L1246" s="13" t="s">
        <v>528</v>
      </c>
      <c r="M1246" s="13" t="s">
        <v>384</v>
      </c>
      <c r="N1246" s="15">
        <v>0</v>
      </c>
      <c r="O1246" s="16">
        <v>55.103633410633059</v>
      </c>
      <c r="P1246" s="17">
        <v>0</v>
      </c>
      <c r="Q1246" s="17">
        <v>0</v>
      </c>
      <c r="R1246" s="13"/>
      <c r="S1246" s="13"/>
      <c r="T1246" s="13"/>
      <c r="U1246" s="13"/>
      <c r="V1246" s="13"/>
      <c r="W1246" s="13"/>
    </row>
    <row r="1247" spans="1:23" x14ac:dyDescent="0.2">
      <c r="A1247"/>
      <c r="B1247"/>
      <c r="C1247"/>
      <c r="D1247"/>
      <c r="E1247"/>
      <c r="F1247"/>
      <c r="G1247"/>
      <c r="H1247"/>
      <c r="I1247"/>
      <c r="J1247"/>
      <c r="K1247" s="13" t="s">
        <v>101</v>
      </c>
      <c r="L1247" s="13" t="s">
        <v>458</v>
      </c>
      <c r="M1247" s="13" t="s">
        <v>459</v>
      </c>
      <c r="N1247" s="15">
        <v>0</v>
      </c>
      <c r="O1247" s="16">
        <v>0</v>
      </c>
      <c r="P1247" s="17">
        <v>880.14154999716834</v>
      </c>
      <c r="Q1247" s="17">
        <v>0</v>
      </c>
      <c r="R1247" s="13"/>
      <c r="S1247" s="13"/>
      <c r="T1247" s="13"/>
      <c r="U1247" s="13"/>
      <c r="V1247" s="13"/>
      <c r="W1247" s="13"/>
    </row>
    <row r="1248" spans="1:23" x14ac:dyDescent="0.2">
      <c r="A1248"/>
      <c r="B1248"/>
      <c r="C1248"/>
      <c r="D1248"/>
      <c r="E1248"/>
      <c r="F1248"/>
      <c r="G1248"/>
      <c r="H1248"/>
      <c r="I1248"/>
      <c r="J1248"/>
      <c r="K1248" s="13" t="s">
        <v>102</v>
      </c>
      <c r="L1248" s="13" t="s">
        <v>481</v>
      </c>
      <c r="M1248" s="13" t="s">
        <v>374</v>
      </c>
      <c r="N1248" s="15">
        <v>0</v>
      </c>
      <c r="O1248" s="16">
        <v>0</v>
      </c>
      <c r="P1248" s="17">
        <v>291.26365000157489</v>
      </c>
      <c r="Q1248" s="17">
        <v>0</v>
      </c>
      <c r="R1248" s="13"/>
      <c r="S1248" s="13"/>
      <c r="T1248" s="13"/>
      <c r="U1248" s="13"/>
      <c r="V1248" s="13"/>
      <c r="W1248" s="13"/>
    </row>
    <row r="1249" spans="1:23" x14ac:dyDescent="0.2">
      <c r="A1249"/>
      <c r="B1249"/>
      <c r="C1249"/>
      <c r="D1249"/>
      <c r="E1249"/>
      <c r="F1249"/>
      <c r="G1249"/>
      <c r="H1249"/>
      <c r="I1249"/>
      <c r="J1249"/>
      <c r="K1249" s="13" t="s">
        <v>102</v>
      </c>
      <c r="L1249" s="13" t="s">
        <v>402</v>
      </c>
      <c r="M1249" s="13" t="s">
        <v>403</v>
      </c>
      <c r="N1249" s="15">
        <v>0</v>
      </c>
      <c r="O1249" s="16">
        <v>0</v>
      </c>
      <c r="P1249" s="17">
        <v>573.2662000035341</v>
      </c>
      <c r="Q1249" s="17">
        <v>0</v>
      </c>
      <c r="R1249" s="13"/>
      <c r="S1249" s="13"/>
      <c r="T1249" s="13"/>
      <c r="U1249" s="13"/>
      <c r="V1249" s="13"/>
      <c r="W1249" s="13"/>
    </row>
    <row r="1250" spans="1:23" x14ac:dyDescent="0.2">
      <c r="A1250"/>
      <c r="B1250"/>
      <c r="C1250"/>
      <c r="D1250"/>
      <c r="E1250"/>
      <c r="F1250"/>
      <c r="G1250"/>
      <c r="H1250"/>
      <c r="I1250"/>
      <c r="J1250"/>
      <c r="K1250" s="13" t="s">
        <v>102</v>
      </c>
      <c r="L1250" s="13" t="s">
        <v>448</v>
      </c>
      <c r="M1250" s="13" t="s">
        <v>366</v>
      </c>
      <c r="N1250" s="15">
        <v>0</v>
      </c>
      <c r="O1250" s="16">
        <v>0</v>
      </c>
      <c r="P1250" s="17">
        <v>1098.6925999984912</v>
      </c>
      <c r="Q1250" s="17">
        <v>0</v>
      </c>
      <c r="R1250" s="13"/>
      <c r="S1250" s="13"/>
      <c r="T1250" s="13"/>
      <c r="U1250" s="13"/>
      <c r="V1250" s="13"/>
      <c r="W1250" s="13"/>
    </row>
    <row r="1251" spans="1:23" x14ac:dyDescent="0.2">
      <c r="A1251"/>
      <c r="B1251"/>
      <c r="C1251"/>
      <c r="D1251"/>
      <c r="E1251"/>
      <c r="F1251"/>
      <c r="G1251"/>
      <c r="H1251"/>
      <c r="I1251"/>
      <c r="J1251"/>
      <c r="K1251" s="13" t="s">
        <v>102</v>
      </c>
      <c r="L1251" s="13" t="s">
        <v>451</v>
      </c>
      <c r="M1251" s="13" t="s">
        <v>369</v>
      </c>
      <c r="N1251" s="15">
        <v>0</v>
      </c>
      <c r="O1251" s="16">
        <v>0</v>
      </c>
      <c r="P1251" s="17">
        <v>1671.9588000020253</v>
      </c>
      <c r="Q1251" s="17">
        <v>0</v>
      </c>
      <c r="R1251" s="13"/>
      <c r="S1251" s="13"/>
      <c r="T1251" s="13"/>
      <c r="U1251" s="13"/>
      <c r="V1251" s="13"/>
      <c r="W1251" s="13"/>
    </row>
    <row r="1252" spans="1:23" x14ac:dyDescent="0.2">
      <c r="A1252"/>
      <c r="B1252"/>
      <c r="C1252"/>
      <c r="D1252"/>
      <c r="E1252"/>
      <c r="F1252"/>
      <c r="G1252"/>
      <c r="H1252"/>
      <c r="I1252"/>
      <c r="J1252"/>
      <c r="K1252" s="13" t="s">
        <v>102</v>
      </c>
      <c r="L1252" s="13" t="s">
        <v>381</v>
      </c>
      <c r="M1252" s="13" t="s">
        <v>382</v>
      </c>
      <c r="N1252" s="15">
        <v>5</v>
      </c>
      <c r="O1252" s="16">
        <v>0</v>
      </c>
      <c r="P1252" s="17">
        <v>0</v>
      </c>
      <c r="Q1252" s="17">
        <v>0</v>
      </c>
      <c r="R1252" s="13"/>
      <c r="S1252" s="13"/>
      <c r="T1252" s="13"/>
      <c r="U1252" s="13"/>
      <c r="V1252" s="13"/>
      <c r="W1252" s="13"/>
    </row>
    <row r="1253" spans="1:23" x14ac:dyDescent="0.2">
      <c r="A1253"/>
      <c r="B1253"/>
      <c r="C1253"/>
      <c r="D1253"/>
      <c r="E1253"/>
      <c r="F1253"/>
      <c r="G1253"/>
      <c r="H1253"/>
      <c r="I1253"/>
      <c r="J1253"/>
      <c r="K1253" s="13" t="s">
        <v>102</v>
      </c>
      <c r="L1253" s="13" t="s">
        <v>413</v>
      </c>
      <c r="M1253" s="13" t="s">
        <v>428</v>
      </c>
      <c r="N1253" s="15">
        <v>2</v>
      </c>
      <c r="O1253" s="16">
        <v>0</v>
      </c>
      <c r="P1253" s="17">
        <v>0</v>
      </c>
      <c r="Q1253" s="17">
        <v>0</v>
      </c>
      <c r="R1253" s="13"/>
      <c r="S1253" s="13"/>
      <c r="T1253" s="13"/>
      <c r="U1253" s="13"/>
      <c r="V1253" s="13"/>
      <c r="W1253" s="13"/>
    </row>
    <row r="1254" spans="1:23" x14ac:dyDescent="0.2">
      <c r="A1254"/>
      <c r="B1254"/>
      <c r="C1254"/>
      <c r="D1254"/>
      <c r="E1254"/>
      <c r="F1254"/>
      <c r="G1254"/>
      <c r="H1254"/>
      <c r="I1254"/>
      <c r="J1254"/>
      <c r="K1254" s="13" t="s">
        <v>102</v>
      </c>
      <c r="L1254" s="13" t="s">
        <v>603</v>
      </c>
      <c r="M1254" s="13" t="s">
        <v>385</v>
      </c>
      <c r="N1254" s="15">
        <v>4</v>
      </c>
      <c r="O1254" s="16">
        <v>0</v>
      </c>
      <c r="P1254" s="17">
        <v>0</v>
      </c>
      <c r="Q1254" s="17">
        <v>0</v>
      </c>
      <c r="R1254" s="13"/>
      <c r="S1254" s="13"/>
      <c r="T1254" s="13"/>
      <c r="U1254" s="13"/>
      <c r="V1254" s="13"/>
      <c r="W1254" s="13"/>
    </row>
    <row r="1255" spans="1:23" x14ac:dyDescent="0.2">
      <c r="A1255"/>
      <c r="B1255"/>
      <c r="C1255"/>
      <c r="D1255"/>
      <c r="E1255"/>
      <c r="F1255"/>
      <c r="G1255"/>
      <c r="H1255"/>
      <c r="I1255"/>
      <c r="J1255"/>
      <c r="K1255" s="13" t="s">
        <v>102</v>
      </c>
      <c r="L1255" s="13" t="s">
        <v>467</v>
      </c>
      <c r="M1255" s="13" t="s">
        <v>422</v>
      </c>
      <c r="N1255" s="15">
        <v>0</v>
      </c>
      <c r="O1255" s="16">
        <v>125.65877705527868</v>
      </c>
      <c r="P1255" s="17">
        <v>0</v>
      </c>
      <c r="Q1255" s="17">
        <v>0</v>
      </c>
      <c r="R1255" s="13"/>
      <c r="S1255" s="13"/>
      <c r="T1255" s="13"/>
      <c r="U1255" s="13"/>
      <c r="V1255" s="13"/>
      <c r="W1255" s="13"/>
    </row>
    <row r="1256" spans="1:23" x14ac:dyDescent="0.2">
      <c r="A1256"/>
      <c r="B1256"/>
      <c r="C1256"/>
      <c r="D1256"/>
      <c r="E1256"/>
      <c r="F1256"/>
      <c r="G1256"/>
      <c r="H1256"/>
      <c r="I1256"/>
      <c r="J1256"/>
      <c r="K1256" s="13" t="s">
        <v>102</v>
      </c>
      <c r="L1256" s="13" t="s">
        <v>458</v>
      </c>
      <c r="M1256" s="13" t="s">
        <v>459</v>
      </c>
      <c r="N1256" s="15">
        <v>0</v>
      </c>
      <c r="O1256" s="16">
        <v>0</v>
      </c>
      <c r="P1256" s="17">
        <v>1070.6514499968935</v>
      </c>
      <c r="Q1256" s="17">
        <v>0</v>
      </c>
      <c r="R1256" s="13"/>
      <c r="S1256" s="13"/>
      <c r="T1256" s="13"/>
      <c r="U1256" s="13"/>
      <c r="V1256" s="13"/>
      <c r="W1256" s="13"/>
    </row>
    <row r="1257" spans="1:23" x14ac:dyDescent="0.2">
      <c r="A1257"/>
      <c r="B1257"/>
      <c r="C1257"/>
      <c r="D1257"/>
      <c r="E1257"/>
      <c r="F1257"/>
      <c r="G1257"/>
      <c r="H1257"/>
      <c r="I1257"/>
      <c r="J1257"/>
      <c r="K1257" s="13" t="s">
        <v>103</v>
      </c>
      <c r="L1257" s="13" t="s">
        <v>435</v>
      </c>
      <c r="M1257" s="13" t="s">
        <v>364</v>
      </c>
      <c r="N1257" s="15">
        <v>3</v>
      </c>
      <c r="O1257" s="16">
        <v>0</v>
      </c>
      <c r="P1257" s="17">
        <v>0</v>
      </c>
      <c r="Q1257" s="17">
        <v>0</v>
      </c>
      <c r="R1257" s="13"/>
      <c r="S1257" s="13"/>
      <c r="T1257" s="13"/>
      <c r="U1257" s="13"/>
      <c r="V1257" s="13"/>
      <c r="W1257" s="13"/>
    </row>
    <row r="1258" spans="1:23" x14ac:dyDescent="0.2">
      <c r="A1258"/>
      <c r="B1258"/>
      <c r="C1258"/>
      <c r="D1258"/>
      <c r="E1258"/>
      <c r="F1258"/>
      <c r="G1258"/>
      <c r="H1258"/>
      <c r="I1258"/>
      <c r="J1258"/>
      <c r="K1258" s="13" t="s">
        <v>103</v>
      </c>
      <c r="L1258" s="13" t="s">
        <v>389</v>
      </c>
      <c r="M1258" s="13" t="s">
        <v>388</v>
      </c>
      <c r="N1258" s="15">
        <v>0</v>
      </c>
      <c r="O1258" s="16">
        <v>0</v>
      </c>
      <c r="P1258" s="17">
        <v>8.9834999998644918</v>
      </c>
      <c r="Q1258" s="17">
        <v>0</v>
      </c>
      <c r="R1258" s="13"/>
      <c r="S1258" s="13"/>
      <c r="T1258" s="13"/>
      <c r="U1258" s="13"/>
      <c r="V1258" s="13"/>
      <c r="W1258" s="13"/>
    </row>
    <row r="1259" spans="1:23" x14ac:dyDescent="0.2">
      <c r="A1259"/>
      <c r="B1259"/>
      <c r="C1259"/>
      <c r="D1259"/>
      <c r="E1259"/>
      <c r="F1259"/>
      <c r="G1259"/>
      <c r="H1259"/>
      <c r="I1259"/>
      <c r="J1259"/>
      <c r="K1259" s="13" t="s">
        <v>103</v>
      </c>
      <c r="L1259" s="13" t="s">
        <v>519</v>
      </c>
      <c r="M1259" s="13" t="s">
        <v>478</v>
      </c>
      <c r="N1259" s="15">
        <v>0</v>
      </c>
      <c r="O1259" s="16">
        <v>0</v>
      </c>
      <c r="P1259" s="17">
        <v>55.344649999882925</v>
      </c>
      <c r="Q1259" s="17">
        <v>0</v>
      </c>
      <c r="R1259" s="13"/>
      <c r="S1259" s="13"/>
      <c r="T1259" s="13"/>
      <c r="U1259" s="13"/>
      <c r="V1259" s="13"/>
      <c r="W1259" s="13"/>
    </row>
    <row r="1260" spans="1:23" x14ac:dyDescent="0.2">
      <c r="A1260"/>
      <c r="B1260"/>
      <c r="C1260"/>
      <c r="D1260"/>
      <c r="E1260"/>
      <c r="F1260"/>
      <c r="G1260"/>
      <c r="H1260"/>
      <c r="I1260"/>
      <c r="J1260"/>
      <c r="K1260" s="13" t="s">
        <v>103</v>
      </c>
      <c r="L1260" s="13" t="s">
        <v>401</v>
      </c>
      <c r="M1260" s="13" t="s">
        <v>360</v>
      </c>
      <c r="N1260" s="15">
        <v>0</v>
      </c>
      <c r="O1260" s="16">
        <v>0</v>
      </c>
      <c r="P1260" s="17">
        <v>9.4963000013924201</v>
      </c>
      <c r="Q1260" s="17">
        <v>0</v>
      </c>
      <c r="R1260" s="13"/>
      <c r="S1260" s="13"/>
      <c r="T1260" s="13"/>
      <c r="U1260" s="13"/>
      <c r="V1260" s="13"/>
      <c r="W1260" s="13"/>
    </row>
    <row r="1261" spans="1:23" x14ac:dyDescent="0.2">
      <c r="A1261"/>
      <c r="B1261"/>
      <c r="C1261"/>
      <c r="D1261"/>
      <c r="E1261"/>
      <c r="F1261"/>
      <c r="G1261"/>
      <c r="H1261"/>
      <c r="I1261"/>
      <c r="J1261"/>
      <c r="K1261" s="13" t="s">
        <v>103</v>
      </c>
      <c r="L1261" s="13" t="s">
        <v>402</v>
      </c>
      <c r="M1261" s="13" t="s">
        <v>403</v>
      </c>
      <c r="N1261" s="15">
        <v>0</v>
      </c>
      <c r="O1261" s="16">
        <v>0</v>
      </c>
      <c r="P1261" s="17">
        <v>916.50253035282788</v>
      </c>
      <c r="Q1261" s="17">
        <v>0</v>
      </c>
      <c r="R1261" s="13"/>
      <c r="S1261" s="13"/>
      <c r="T1261" s="13"/>
      <c r="U1261" s="13"/>
      <c r="V1261" s="13"/>
      <c r="W1261" s="13"/>
    </row>
    <row r="1262" spans="1:23" x14ac:dyDescent="0.2">
      <c r="A1262"/>
      <c r="B1262"/>
      <c r="C1262"/>
      <c r="D1262"/>
      <c r="E1262"/>
      <c r="F1262"/>
      <c r="G1262"/>
      <c r="H1262"/>
      <c r="I1262"/>
      <c r="J1262"/>
      <c r="K1262" s="13" t="s">
        <v>103</v>
      </c>
      <c r="L1262" s="13" t="s">
        <v>456</v>
      </c>
      <c r="M1262" s="13" t="s">
        <v>457</v>
      </c>
      <c r="N1262" s="15">
        <v>0</v>
      </c>
      <c r="O1262" s="16">
        <v>0</v>
      </c>
      <c r="P1262" s="17">
        <v>265.9076999917271</v>
      </c>
      <c r="Q1262" s="17">
        <v>0</v>
      </c>
      <c r="R1262" s="13"/>
      <c r="S1262" s="13"/>
      <c r="T1262" s="13"/>
      <c r="U1262" s="13"/>
      <c r="V1262" s="13"/>
      <c r="W1262" s="13"/>
    </row>
    <row r="1263" spans="1:23" x14ac:dyDescent="0.2">
      <c r="A1263"/>
      <c r="B1263"/>
      <c r="C1263"/>
      <c r="D1263"/>
      <c r="E1263"/>
      <c r="F1263"/>
      <c r="G1263"/>
      <c r="H1263"/>
      <c r="I1263"/>
      <c r="J1263"/>
      <c r="K1263" s="13" t="s">
        <v>103</v>
      </c>
      <c r="L1263" s="13" t="s">
        <v>451</v>
      </c>
      <c r="M1263" s="13" t="s">
        <v>369</v>
      </c>
      <c r="N1263" s="15">
        <v>0</v>
      </c>
      <c r="O1263" s="16">
        <v>0</v>
      </c>
      <c r="P1263" s="17">
        <v>1256.2346803456949</v>
      </c>
      <c r="Q1263" s="17">
        <v>0</v>
      </c>
      <c r="R1263" s="13"/>
      <c r="S1263" s="13"/>
      <c r="T1263" s="13"/>
      <c r="U1263" s="13"/>
      <c r="V1263" s="13"/>
      <c r="W1263" s="13"/>
    </row>
    <row r="1264" spans="1:23" x14ac:dyDescent="0.2">
      <c r="A1264"/>
      <c r="B1264"/>
      <c r="C1264"/>
      <c r="D1264"/>
      <c r="E1264"/>
      <c r="F1264"/>
      <c r="G1264"/>
      <c r="H1264"/>
      <c r="I1264"/>
      <c r="J1264"/>
      <c r="K1264" s="13" t="s">
        <v>103</v>
      </c>
      <c r="L1264" s="13" t="s">
        <v>381</v>
      </c>
      <c r="M1264" s="13" t="s">
        <v>382</v>
      </c>
      <c r="N1264" s="15">
        <v>23</v>
      </c>
      <c r="O1264" s="16">
        <v>0</v>
      </c>
      <c r="P1264" s="17">
        <v>0</v>
      </c>
      <c r="Q1264" s="17">
        <v>0</v>
      </c>
      <c r="R1264" s="13"/>
      <c r="S1264" s="13"/>
      <c r="T1264" s="13"/>
      <c r="U1264" s="13"/>
      <c r="V1264" s="13"/>
      <c r="W1264" s="13"/>
    </row>
    <row r="1265" spans="1:23" x14ac:dyDescent="0.2">
      <c r="A1265"/>
      <c r="B1265"/>
      <c r="C1265"/>
      <c r="D1265"/>
      <c r="E1265"/>
      <c r="F1265"/>
      <c r="G1265"/>
      <c r="H1265"/>
      <c r="I1265"/>
      <c r="J1265"/>
      <c r="K1265" s="13" t="s">
        <v>103</v>
      </c>
      <c r="L1265" s="13" t="s">
        <v>608</v>
      </c>
      <c r="M1265" s="13" t="s">
        <v>432</v>
      </c>
      <c r="N1265" s="15">
        <v>5</v>
      </c>
      <c r="O1265" s="16">
        <v>0</v>
      </c>
      <c r="P1265" s="17">
        <v>0</v>
      </c>
      <c r="Q1265" s="17">
        <v>0</v>
      </c>
      <c r="R1265" s="13"/>
      <c r="S1265" s="13"/>
      <c r="T1265" s="13"/>
      <c r="U1265" s="13"/>
      <c r="V1265" s="13"/>
      <c r="W1265" s="13"/>
    </row>
    <row r="1266" spans="1:23" x14ac:dyDescent="0.2">
      <c r="A1266"/>
      <c r="B1266"/>
      <c r="C1266"/>
      <c r="D1266"/>
      <c r="E1266"/>
      <c r="F1266"/>
      <c r="G1266"/>
      <c r="H1266"/>
      <c r="I1266"/>
      <c r="J1266"/>
      <c r="K1266" s="13" t="s">
        <v>103</v>
      </c>
      <c r="L1266" s="13" t="s">
        <v>615</v>
      </c>
      <c r="M1266" s="13" t="s">
        <v>449</v>
      </c>
      <c r="N1266" s="15">
        <v>1</v>
      </c>
      <c r="O1266" s="16">
        <v>0</v>
      </c>
      <c r="P1266" s="17">
        <v>0</v>
      </c>
      <c r="Q1266" s="17">
        <v>0</v>
      </c>
      <c r="R1266" s="13"/>
      <c r="S1266" s="13"/>
      <c r="T1266" s="13"/>
      <c r="U1266" s="13"/>
      <c r="V1266" s="13"/>
      <c r="W1266" s="13"/>
    </row>
    <row r="1267" spans="1:23" x14ac:dyDescent="0.2">
      <c r="A1267"/>
      <c r="B1267"/>
      <c r="C1267"/>
      <c r="D1267"/>
      <c r="E1267"/>
      <c r="F1267"/>
      <c r="G1267"/>
      <c r="H1267"/>
      <c r="I1267"/>
      <c r="J1267"/>
      <c r="K1267" s="13" t="s">
        <v>103</v>
      </c>
      <c r="L1267" s="13" t="s">
        <v>421</v>
      </c>
      <c r="M1267" s="13" t="s">
        <v>443</v>
      </c>
      <c r="N1267" s="15">
        <v>3</v>
      </c>
      <c r="O1267" s="16">
        <v>0</v>
      </c>
      <c r="P1267" s="17">
        <v>0</v>
      </c>
      <c r="Q1267" s="17">
        <v>0</v>
      </c>
      <c r="R1267" s="13"/>
      <c r="S1267" s="13"/>
      <c r="T1267" s="13"/>
      <c r="U1267" s="13"/>
      <c r="V1267" s="13"/>
      <c r="W1267" s="13"/>
    </row>
    <row r="1268" spans="1:23" x14ac:dyDescent="0.2">
      <c r="A1268"/>
      <c r="B1268"/>
      <c r="C1268"/>
      <c r="D1268"/>
      <c r="E1268"/>
      <c r="F1268"/>
      <c r="G1268"/>
      <c r="H1268"/>
      <c r="I1268"/>
      <c r="J1268"/>
      <c r="K1268" s="13" t="s">
        <v>103</v>
      </c>
      <c r="L1268" s="13" t="s">
        <v>383</v>
      </c>
      <c r="M1268" s="13" t="s">
        <v>420</v>
      </c>
      <c r="N1268" s="15">
        <v>6</v>
      </c>
      <c r="O1268" s="16">
        <v>0</v>
      </c>
      <c r="P1268" s="17">
        <v>0</v>
      </c>
      <c r="Q1268" s="17">
        <v>0</v>
      </c>
      <c r="R1268" s="13"/>
      <c r="S1268" s="13"/>
      <c r="T1268" s="13"/>
      <c r="U1268" s="13"/>
      <c r="V1268" s="13"/>
      <c r="W1268" s="13"/>
    </row>
    <row r="1269" spans="1:23" x14ac:dyDescent="0.2">
      <c r="A1269"/>
      <c r="B1269"/>
      <c r="C1269"/>
      <c r="D1269"/>
      <c r="E1269"/>
      <c r="F1269"/>
      <c r="G1269"/>
      <c r="H1269"/>
      <c r="I1269"/>
      <c r="J1269"/>
      <c r="K1269" s="13" t="s">
        <v>103</v>
      </c>
      <c r="L1269" s="13" t="s">
        <v>613</v>
      </c>
      <c r="M1269" s="13" t="s">
        <v>444</v>
      </c>
      <c r="N1269" s="15">
        <v>0</v>
      </c>
      <c r="O1269" s="16">
        <v>92.898805522926224</v>
      </c>
      <c r="P1269" s="17">
        <v>0</v>
      </c>
      <c r="Q1269" s="17">
        <v>0</v>
      </c>
      <c r="R1269" s="13"/>
      <c r="S1269" s="13"/>
      <c r="T1269" s="13"/>
      <c r="U1269" s="13"/>
      <c r="V1269" s="13"/>
      <c r="W1269" s="13"/>
    </row>
    <row r="1270" spans="1:23" x14ac:dyDescent="0.2">
      <c r="A1270"/>
      <c r="B1270"/>
      <c r="C1270"/>
      <c r="D1270"/>
      <c r="E1270"/>
      <c r="F1270"/>
      <c r="G1270"/>
      <c r="H1270"/>
      <c r="I1270"/>
      <c r="J1270"/>
      <c r="K1270" s="13" t="s">
        <v>103</v>
      </c>
      <c r="L1270" s="13" t="s">
        <v>614</v>
      </c>
      <c r="M1270" s="13" t="s">
        <v>447</v>
      </c>
      <c r="N1270" s="15">
        <v>3</v>
      </c>
      <c r="O1270" s="16">
        <v>0</v>
      </c>
      <c r="P1270" s="17">
        <v>0</v>
      </c>
      <c r="Q1270" s="17">
        <v>0</v>
      </c>
      <c r="R1270" s="13"/>
      <c r="S1270" s="13"/>
      <c r="T1270" s="13"/>
      <c r="U1270" s="13"/>
      <c r="V1270" s="13"/>
      <c r="W1270" s="13"/>
    </row>
    <row r="1271" spans="1:23" x14ac:dyDescent="0.2">
      <c r="A1271"/>
      <c r="B1271"/>
      <c r="C1271"/>
      <c r="D1271"/>
      <c r="E1271"/>
      <c r="F1271"/>
      <c r="G1271"/>
      <c r="H1271"/>
      <c r="I1271"/>
      <c r="J1271"/>
      <c r="K1271" s="13" t="s">
        <v>103</v>
      </c>
      <c r="L1271" s="13" t="s">
        <v>458</v>
      </c>
      <c r="M1271" s="13" t="s">
        <v>459</v>
      </c>
      <c r="N1271" s="15">
        <v>0</v>
      </c>
      <c r="O1271" s="16">
        <v>0</v>
      </c>
      <c r="P1271" s="17">
        <v>661.67399996780591</v>
      </c>
      <c r="Q1271" s="17">
        <v>0</v>
      </c>
      <c r="R1271" s="13"/>
      <c r="S1271" s="13"/>
      <c r="T1271" s="13"/>
      <c r="U1271" s="13"/>
      <c r="V1271" s="13"/>
      <c r="W1271" s="13"/>
    </row>
    <row r="1272" spans="1:23" x14ac:dyDescent="0.2">
      <c r="A1272"/>
      <c r="B1272"/>
      <c r="C1272"/>
      <c r="D1272"/>
      <c r="E1272"/>
      <c r="F1272"/>
      <c r="G1272"/>
      <c r="H1272"/>
      <c r="I1272"/>
      <c r="J1272"/>
      <c r="K1272" s="13" t="s">
        <v>104</v>
      </c>
      <c r="L1272" s="13" t="s">
        <v>481</v>
      </c>
      <c r="M1272" s="13" t="s">
        <v>374</v>
      </c>
      <c r="N1272" s="15">
        <v>0</v>
      </c>
      <c r="O1272" s="16">
        <v>0</v>
      </c>
      <c r="P1272" s="17">
        <v>10.736800001088925</v>
      </c>
      <c r="Q1272" s="17">
        <v>0</v>
      </c>
      <c r="R1272" s="13"/>
      <c r="S1272" s="13"/>
      <c r="T1272" s="13"/>
      <c r="U1272" s="13"/>
      <c r="V1272" s="13"/>
      <c r="W1272" s="13"/>
    </row>
    <row r="1273" spans="1:23" x14ac:dyDescent="0.2">
      <c r="A1273"/>
      <c r="B1273"/>
      <c r="C1273"/>
      <c r="D1273"/>
      <c r="E1273"/>
      <c r="F1273"/>
      <c r="G1273"/>
      <c r="H1273"/>
      <c r="I1273"/>
      <c r="J1273"/>
      <c r="K1273" s="13" t="s">
        <v>104</v>
      </c>
      <c r="L1273" s="13" t="s">
        <v>387</v>
      </c>
      <c r="M1273" s="13" t="s">
        <v>386</v>
      </c>
      <c r="N1273" s="15">
        <v>0</v>
      </c>
      <c r="O1273" s="16">
        <v>0</v>
      </c>
      <c r="P1273" s="17">
        <v>3785.4302000272241</v>
      </c>
      <c r="Q1273" s="17">
        <v>0</v>
      </c>
      <c r="R1273" s="13"/>
      <c r="S1273" s="13"/>
      <c r="T1273" s="13"/>
      <c r="U1273" s="13"/>
      <c r="V1273" s="13"/>
      <c r="W1273" s="13"/>
    </row>
    <row r="1274" spans="1:23" x14ac:dyDescent="0.2">
      <c r="A1274"/>
      <c r="B1274"/>
      <c r="C1274"/>
      <c r="D1274"/>
      <c r="E1274"/>
      <c r="F1274"/>
      <c r="G1274"/>
      <c r="H1274"/>
      <c r="I1274"/>
      <c r="J1274"/>
      <c r="K1274" s="13" t="s">
        <v>104</v>
      </c>
      <c r="L1274" s="13" t="s">
        <v>399</v>
      </c>
      <c r="M1274" s="13" t="s">
        <v>400</v>
      </c>
      <c r="N1274" s="15">
        <v>0</v>
      </c>
      <c r="O1274" s="16">
        <v>0</v>
      </c>
      <c r="P1274" s="17">
        <v>69.25725000601355</v>
      </c>
      <c r="Q1274" s="17">
        <v>0</v>
      </c>
      <c r="R1274" s="13"/>
      <c r="S1274" s="13"/>
      <c r="T1274" s="13"/>
      <c r="U1274" s="13"/>
      <c r="V1274" s="13"/>
      <c r="W1274" s="13"/>
    </row>
    <row r="1275" spans="1:23" x14ac:dyDescent="0.2">
      <c r="A1275"/>
      <c r="B1275"/>
      <c r="C1275"/>
      <c r="D1275"/>
      <c r="E1275"/>
      <c r="F1275"/>
      <c r="G1275"/>
      <c r="H1275"/>
      <c r="I1275"/>
      <c r="J1275"/>
      <c r="K1275" s="13" t="s">
        <v>104</v>
      </c>
      <c r="L1275" s="13" t="s">
        <v>401</v>
      </c>
      <c r="M1275" s="13" t="s">
        <v>360</v>
      </c>
      <c r="N1275" s="15">
        <v>0</v>
      </c>
      <c r="O1275" s="16">
        <v>0</v>
      </c>
      <c r="P1275" s="17">
        <v>2613.5998499937259</v>
      </c>
      <c r="Q1275" s="17">
        <v>0</v>
      </c>
      <c r="R1275" s="13"/>
      <c r="S1275" s="13"/>
      <c r="T1275" s="13"/>
      <c r="U1275" s="13"/>
      <c r="V1275" s="13"/>
      <c r="W1275" s="13"/>
    </row>
    <row r="1276" spans="1:23" x14ac:dyDescent="0.2">
      <c r="A1276"/>
      <c r="B1276"/>
      <c r="C1276"/>
      <c r="D1276"/>
      <c r="E1276"/>
      <c r="F1276"/>
      <c r="G1276"/>
      <c r="H1276"/>
      <c r="I1276"/>
      <c r="J1276"/>
      <c r="K1276" s="13" t="s">
        <v>104</v>
      </c>
      <c r="L1276" s="13" t="s">
        <v>402</v>
      </c>
      <c r="M1276" s="13" t="s">
        <v>403</v>
      </c>
      <c r="N1276" s="15">
        <v>0</v>
      </c>
      <c r="O1276" s="16">
        <v>0</v>
      </c>
      <c r="P1276" s="17">
        <v>5326.6441499161647</v>
      </c>
      <c r="Q1276" s="17">
        <v>0</v>
      </c>
      <c r="R1276" s="13"/>
      <c r="S1276" s="13"/>
      <c r="T1276" s="13"/>
      <c r="U1276" s="13"/>
      <c r="V1276" s="13"/>
      <c r="W1276" s="13"/>
    </row>
    <row r="1277" spans="1:23" x14ac:dyDescent="0.2">
      <c r="A1277"/>
      <c r="B1277"/>
      <c r="C1277"/>
      <c r="D1277"/>
      <c r="E1277"/>
      <c r="F1277"/>
      <c r="G1277"/>
      <c r="H1277"/>
      <c r="I1277"/>
      <c r="J1277"/>
      <c r="K1277" s="13" t="s">
        <v>104</v>
      </c>
      <c r="L1277" s="13" t="s">
        <v>462</v>
      </c>
      <c r="M1277" s="13" t="s">
        <v>370</v>
      </c>
      <c r="N1277" s="15">
        <v>0</v>
      </c>
      <c r="O1277" s="16">
        <v>0</v>
      </c>
      <c r="P1277" s="17">
        <v>494.12149997795484</v>
      </c>
      <c r="Q1277" s="17">
        <v>0</v>
      </c>
      <c r="R1277" s="13"/>
      <c r="S1277" s="13"/>
      <c r="T1277" s="13"/>
      <c r="U1277" s="13"/>
      <c r="V1277" s="13"/>
      <c r="W1277" s="13"/>
    </row>
    <row r="1278" spans="1:23" x14ac:dyDescent="0.2">
      <c r="A1278"/>
      <c r="B1278"/>
      <c r="C1278"/>
      <c r="D1278"/>
      <c r="E1278"/>
      <c r="F1278"/>
      <c r="G1278"/>
      <c r="H1278"/>
      <c r="I1278"/>
      <c r="J1278"/>
      <c r="K1278" s="13" t="s">
        <v>104</v>
      </c>
      <c r="L1278" s="13" t="s">
        <v>451</v>
      </c>
      <c r="M1278" s="13" t="s">
        <v>369</v>
      </c>
      <c r="N1278" s="15">
        <v>0</v>
      </c>
      <c r="O1278" s="16">
        <v>0</v>
      </c>
      <c r="P1278" s="17">
        <v>12289.052949921081</v>
      </c>
      <c r="Q1278" s="17">
        <v>0</v>
      </c>
      <c r="R1278" s="13"/>
      <c r="S1278" s="13"/>
      <c r="T1278" s="13"/>
      <c r="U1278" s="13"/>
      <c r="V1278" s="13"/>
      <c r="W1278" s="13"/>
    </row>
    <row r="1279" spans="1:23" x14ac:dyDescent="0.2">
      <c r="A1279"/>
      <c r="B1279"/>
      <c r="C1279"/>
      <c r="D1279"/>
      <c r="E1279"/>
      <c r="F1279"/>
      <c r="G1279"/>
      <c r="H1279"/>
      <c r="I1279"/>
      <c r="J1279"/>
      <c r="K1279" s="13" t="s">
        <v>104</v>
      </c>
      <c r="L1279" s="13" t="s">
        <v>381</v>
      </c>
      <c r="M1279" s="13" t="s">
        <v>382</v>
      </c>
      <c r="N1279" s="15">
        <v>10</v>
      </c>
      <c r="O1279" s="16">
        <v>0</v>
      </c>
      <c r="P1279" s="17">
        <v>0</v>
      </c>
      <c r="Q1279" s="17">
        <v>0</v>
      </c>
      <c r="R1279" s="13"/>
      <c r="S1279" s="13"/>
      <c r="T1279" s="13"/>
      <c r="U1279" s="13"/>
      <c r="V1279" s="13"/>
      <c r="W1279" s="13"/>
    </row>
    <row r="1280" spans="1:23" x14ac:dyDescent="0.2">
      <c r="A1280"/>
      <c r="B1280"/>
      <c r="C1280"/>
      <c r="D1280"/>
      <c r="E1280"/>
      <c r="F1280"/>
      <c r="G1280"/>
      <c r="H1280"/>
      <c r="I1280"/>
      <c r="J1280"/>
      <c r="K1280" s="13" t="s">
        <v>104</v>
      </c>
      <c r="L1280" s="13" t="s">
        <v>411</v>
      </c>
      <c r="M1280" s="13" t="s">
        <v>362</v>
      </c>
      <c r="N1280" s="15">
        <v>1</v>
      </c>
      <c r="O1280" s="16">
        <v>0</v>
      </c>
      <c r="P1280" s="17">
        <v>0</v>
      </c>
      <c r="Q1280" s="17">
        <v>0</v>
      </c>
      <c r="R1280" s="13"/>
      <c r="S1280" s="13"/>
      <c r="T1280" s="13"/>
      <c r="U1280" s="13"/>
      <c r="V1280" s="13"/>
      <c r="W1280" s="13"/>
    </row>
    <row r="1281" spans="1:23" x14ac:dyDescent="0.2">
      <c r="A1281"/>
      <c r="B1281"/>
      <c r="C1281"/>
      <c r="D1281"/>
      <c r="E1281"/>
      <c r="F1281"/>
      <c r="G1281"/>
      <c r="H1281"/>
      <c r="I1281"/>
      <c r="J1281"/>
      <c r="K1281" s="13" t="s">
        <v>104</v>
      </c>
      <c r="L1281" s="13" t="s">
        <v>413</v>
      </c>
      <c r="M1281" s="13" t="s">
        <v>428</v>
      </c>
      <c r="N1281" s="15">
        <v>3</v>
      </c>
      <c r="O1281" s="16">
        <v>0</v>
      </c>
      <c r="P1281" s="17">
        <v>0</v>
      </c>
      <c r="Q1281" s="17">
        <v>0</v>
      </c>
      <c r="R1281" s="13"/>
      <c r="S1281" s="13"/>
      <c r="T1281" s="13"/>
      <c r="U1281" s="13"/>
      <c r="V1281" s="13"/>
      <c r="W1281" s="13"/>
    </row>
    <row r="1282" spans="1:23" x14ac:dyDescent="0.2">
      <c r="A1282"/>
      <c r="B1282"/>
      <c r="C1282"/>
      <c r="D1282"/>
      <c r="E1282"/>
      <c r="F1282"/>
      <c r="G1282"/>
      <c r="H1282"/>
      <c r="I1282"/>
      <c r="J1282"/>
      <c r="K1282" s="13" t="s">
        <v>104</v>
      </c>
      <c r="L1282" s="13" t="s">
        <v>608</v>
      </c>
      <c r="M1282" s="13" t="s">
        <v>432</v>
      </c>
      <c r="N1282" s="15">
        <v>9</v>
      </c>
      <c r="O1282" s="16">
        <v>0</v>
      </c>
      <c r="P1282" s="17">
        <v>0</v>
      </c>
      <c r="Q1282" s="17">
        <v>0</v>
      </c>
      <c r="R1282" s="13"/>
      <c r="S1282" s="13"/>
      <c r="T1282" s="13"/>
      <c r="U1282" s="13"/>
      <c r="V1282" s="13"/>
      <c r="W1282" s="13"/>
    </row>
    <row r="1283" spans="1:23" x14ac:dyDescent="0.2">
      <c r="A1283"/>
      <c r="B1283"/>
      <c r="C1283"/>
      <c r="D1283"/>
      <c r="E1283"/>
      <c r="F1283"/>
      <c r="G1283"/>
      <c r="H1283"/>
      <c r="I1283"/>
      <c r="J1283"/>
      <c r="K1283" s="13" t="s">
        <v>104</v>
      </c>
      <c r="L1283" s="13" t="s">
        <v>613</v>
      </c>
      <c r="M1283" s="13" t="s">
        <v>444</v>
      </c>
      <c r="N1283" s="15">
        <v>0</v>
      </c>
      <c r="O1283" s="16">
        <v>102.80180477440484</v>
      </c>
      <c r="P1283" s="17">
        <v>0</v>
      </c>
      <c r="Q1283" s="17">
        <v>0</v>
      </c>
      <c r="R1283" s="13"/>
      <c r="S1283" s="13"/>
      <c r="T1283" s="13"/>
      <c r="U1283" s="13"/>
      <c r="V1283" s="13"/>
      <c r="W1283" s="13"/>
    </row>
    <row r="1284" spans="1:23" x14ac:dyDescent="0.2">
      <c r="A1284"/>
      <c r="B1284"/>
      <c r="C1284"/>
      <c r="D1284"/>
      <c r="E1284"/>
      <c r="F1284"/>
      <c r="G1284"/>
      <c r="H1284"/>
      <c r="I1284"/>
      <c r="J1284"/>
      <c r="K1284" s="13" t="s">
        <v>104</v>
      </c>
      <c r="L1284" s="13" t="s">
        <v>458</v>
      </c>
      <c r="M1284" s="13" t="s">
        <v>459</v>
      </c>
      <c r="N1284" s="15">
        <v>0</v>
      </c>
      <c r="O1284" s="16">
        <v>0</v>
      </c>
      <c r="P1284" s="17">
        <v>2183.9578999659734</v>
      </c>
      <c r="Q1284" s="17">
        <v>0</v>
      </c>
      <c r="R1284" s="13"/>
      <c r="S1284" s="13"/>
      <c r="T1284" s="13"/>
      <c r="U1284" s="13"/>
      <c r="V1284" s="13"/>
      <c r="W1284" s="13"/>
    </row>
    <row r="1285" spans="1:23" x14ac:dyDescent="0.2">
      <c r="A1285"/>
      <c r="B1285"/>
      <c r="C1285"/>
      <c r="D1285"/>
      <c r="E1285"/>
      <c r="F1285"/>
      <c r="G1285"/>
      <c r="H1285"/>
      <c r="I1285"/>
      <c r="J1285"/>
      <c r="K1285" s="13" t="s">
        <v>105</v>
      </c>
      <c r="L1285" s="13" t="s">
        <v>387</v>
      </c>
      <c r="M1285" s="13" t="s">
        <v>386</v>
      </c>
      <c r="N1285" s="15">
        <v>0</v>
      </c>
      <c r="O1285" s="16">
        <v>0</v>
      </c>
      <c r="P1285" s="17">
        <v>1104.5749499892936</v>
      </c>
      <c r="Q1285" s="17">
        <v>0</v>
      </c>
      <c r="R1285" s="13"/>
      <c r="S1285" s="13"/>
      <c r="T1285" s="13"/>
      <c r="U1285" s="13"/>
      <c r="V1285" s="13"/>
      <c r="W1285" s="13"/>
    </row>
    <row r="1286" spans="1:23" x14ac:dyDescent="0.2">
      <c r="A1286"/>
      <c r="B1286"/>
      <c r="C1286"/>
      <c r="D1286"/>
      <c r="E1286"/>
      <c r="F1286"/>
      <c r="G1286"/>
      <c r="H1286"/>
      <c r="I1286"/>
      <c r="J1286"/>
      <c r="K1286" s="13" t="s">
        <v>105</v>
      </c>
      <c r="L1286" s="13" t="s">
        <v>391</v>
      </c>
      <c r="M1286" s="13" t="s">
        <v>358</v>
      </c>
      <c r="N1286" s="15">
        <v>0</v>
      </c>
      <c r="O1286" s="16">
        <v>0</v>
      </c>
      <c r="P1286" s="17">
        <v>12.028949999798975</v>
      </c>
      <c r="Q1286" s="17">
        <v>0</v>
      </c>
      <c r="R1286" s="13"/>
      <c r="S1286" s="13"/>
      <c r="T1286" s="13"/>
      <c r="U1286" s="13"/>
      <c r="V1286" s="13"/>
      <c r="W1286" s="13"/>
    </row>
    <row r="1287" spans="1:23" x14ac:dyDescent="0.2">
      <c r="A1287"/>
      <c r="B1287"/>
      <c r="C1287"/>
      <c r="D1287"/>
      <c r="E1287"/>
      <c r="F1287"/>
      <c r="G1287"/>
      <c r="H1287"/>
      <c r="I1287"/>
      <c r="J1287"/>
      <c r="K1287" s="13" t="s">
        <v>105</v>
      </c>
      <c r="L1287" s="13" t="s">
        <v>397</v>
      </c>
      <c r="M1287" s="13" t="s">
        <v>398</v>
      </c>
      <c r="N1287" s="15">
        <v>0</v>
      </c>
      <c r="O1287" s="16">
        <v>0</v>
      </c>
      <c r="P1287" s="17">
        <v>49.153799997374335</v>
      </c>
      <c r="Q1287" s="17">
        <v>0</v>
      </c>
      <c r="R1287" s="13"/>
      <c r="S1287" s="13"/>
      <c r="T1287" s="13"/>
      <c r="U1287" s="13"/>
      <c r="V1287" s="13"/>
      <c r="W1287" s="13"/>
    </row>
    <row r="1288" spans="1:23" x14ac:dyDescent="0.2">
      <c r="A1288"/>
      <c r="B1288"/>
      <c r="C1288"/>
      <c r="D1288"/>
      <c r="E1288"/>
      <c r="F1288"/>
      <c r="G1288"/>
      <c r="H1288"/>
      <c r="I1288"/>
      <c r="J1288"/>
      <c r="K1288" s="13" t="s">
        <v>105</v>
      </c>
      <c r="L1288" s="13" t="s">
        <v>399</v>
      </c>
      <c r="M1288" s="13" t="s">
        <v>400</v>
      </c>
      <c r="N1288" s="15">
        <v>0</v>
      </c>
      <c r="O1288" s="16">
        <v>0</v>
      </c>
      <c r="P1288" s="17">
        <v>13.510149999581182</v>
      </c>
      <c r="Q1288" s="17">
        <v>0</v>
      </c>
      <c r="R1288" s="13"/>
      <c r="S1288" s="13"/>
      <c r="T1288" s="13"/>
      <c r="U1288" s="13"/>
      <c r="V1288" s="13"/>
      <c r="W1288" s="13"/>
    </row>
    <row r="1289" spans="1:23" x14ac:dyDescent="0.2">
      <c r="A1289"/>
      <c r="B1289"/>
      <c r="C1289"/>
      <c r="D1289"/>
      <c r="E1289"/>
      <c r="F1289"/>
      <c r="G1289"/>
      <c r="H1289"/>
      <c r="I1289"/>
      <c r="J1289"/>
      <c r="K1289" s="13" t="s">
        <v>105</v>
      </c>
      <c r="L1289" s="13" t="s">
        <v>401</v>
      </c>
      <c r="M1289" s="13" t="s">
        <v>360</v>
      </c>
      <c r="N1289" s="15">
        <v>0</v>
      </c>
      <c r="O1289" s="16">
        <v>0</v>
      </c>
      <c r="P1289" s="17">
        <v>445.49195000789655</v>
      </c>
      <c r="Q1289" s="17">
        <v>0</v>
      </c>
      <c r="R1289" s="13"/>
      <c r="S1289" s="13"/>
      <c r="T1289" s="13"/>
      <c r="U1289" s="13"/>
      <c r="V1289" s="13"/>
      <c r="W1289" s="13"/>
    </row>
    <row r="1290" spans="1:23" x14ac:dyDescent="0.2">
      <c r="A1290"/>
      <c r="B1290"/>
      <c r="C1290"/>
      <c r="D1290"/>
      <c r="E1290"/>
      <c r="F1290"/>
      <c r="G1290"/>
      <c r="H1290"/>
      <c r="I1290"/>
      <c r="J1290"/>
      <c r="K1290" s="13" t="s">
        <v>105</v>
      </c>
      <c r="L1290" s="13" t="s">
        <v>402</v>
      </c>
      <c r="M1290" s="13" t="s">
        <v>403</v>
      </c>
      <c r="N1290" s="15">
        <v>0</v>
      </c>
      <c r="O1290" s="16">
        <v>0</v>
      </c>
      <c r="P1290" s="17">
        <v>1499.0762499772293</v>
      </c>
      <c r="Q1290" s="17">
        <v>0</v>
      </c>
      <c r="R1290" s="13"/>
      <c r="S1290" s="13"/>
      <c r="T1290" s="13"/>
      <c r="U1290" s="13"/>
      <c r="V1290" s="13"/>
      <c r="W1290" s="13"/>
    </row>
    <row r="1291" spans="1:23" x14ac:dyDescent="0.2">
      <c r="A1291"/>
      <c r="B1291"/>
      <c r="C1291"/>
      <c r="D1291"/>
      <c r="E1291"/>
      <c r="F1291"/>
      <c r="G1291"/>
      <c r="H1291"/>
      <c r="I1291"/>
      <c r="J1291"/>
      <c r="K1291" s="13" t="s">
        <v>105</v>
      </c>
      <c r="L1291" s="13" t="s">
        <v>448</v>
      </c>
      <c r="M1291" s="13" t="s">
        <v>366</v>
      </c>
      <c r="N1291" s="15">
        <v>0</v>
      </c>
      <c r="O1291" s="16">
        <v>0</v>
      </c>
      <c r="P1291" s="17">
        <v>1801.5669999752492</v>
      </c>
      <c r="Q1291" s="17">
        <v>0</v>
      </c>
      <c r="R1291" s="13"/>
      <c r="S1291" s="13"/>
      <c r="T1291" s="13"/>
      <c r="U1291" s="13"/>
      <c r="V1291" s="13"/>
      <c r="W1291" s="13"/>
    </row>
    <row r="1292" spans="1:23" x14ac:dyDescent="0.2">
      <c r="A1292"/>
      <c r="B1292"/>
      <c r="C1292"/>
      <c r="D1292"/>
      <c r="E1292"/>
      <c r="F1292"/>
      <c r="G1292"/>
      <c r="H1292"/>
      <c r="I1292"/>
      <c r="J1292"/>
      <c r="K1292" s="13" t="s">
        <v>105</v>
      </c>
      <c r="L1292" s="13" t="s">
        <v>404</v>
      </c>
      <c r="M1292" s="13" t="s">
        <v>405</v>
      </c>
      <c r="N1292" s="15">
        <v>0</v>
      </c>
      <c r="O1292" s="16">
        <v>0</v>
      </c>
      <c r="P1292" s="17">
        <v>361.4193000124244</v>
      </c>
      <c r="Q1292" s="17">
        <v>732.03883081483025</v>
      </c>
      <c r="R1292" s="13"/>
      <c r="S1292" s="13"/>
      <c r="T1292" s="13"/>
      <c r="U1292" s="13"/>
      <c r="V1292" s="13"/>
      <c r="W1292" s="13"/>
    </row>
    <row r="1293" spans="1:23" x14ac:dyDescent="0.2">
      <c r="A1293"/>
      <c r="B1293"/>
      <c r="C1293"/>
      <c r="D1293"/>
      <c r="E1293"/>
      <c r="F1293"/>
      <c r="G1293"/>
      <c r="H1293"/>
      <c r="I1293"/>
      <c r="J1293"/>
      <c r="K1293" s="13" t="s">
        <v>105</v>
      </c>
      <c r="L1293" s="13" t="s">
        <v>451</v>
      </c>
      <c r="M1293" s="13" t="s">
        <v>369</v>
      </c>
      <c r="N1293" s="15">
        <v>0</v>
      </c>
      <c r="O1293" s="16">
        <v>0</v>
      </c>
      <c r="P1293" s="17">
        <v>5316.5792999563118</v>
      </c>
      <c r="Q1293" s="17">
        <v>0</v>
      </c>
      <c r="R1293" s="13"/>
      <c r="S1293" s="13"/>
      <c r="T1293" s="13"/>
      <c r="U1293" s="13"/>
      <c r="V1293" s="13"/>
      <c r="W1293" s="13"/>
    </row>
    <row r="1294" spans="1:23" x14ac:dyDescent="0.2">
      <c r="A1294"/>
      <c r="B1294"/>
      <c r="C1294"/>
      <c r="D1294"/>
      <c r="E1294"/>
      <c r="F1294"/>
      <c r="G1294"/>
      <c r="H1294"/>
      <c r="I1294"/>
      <c r="J1294"/>
      <c r="K1294" s="13" t="s">
        <v>105</v>
      </c>
      <c r="L1294" s="13" t="s">
        <v>381</v>
      </c>
      <c r="M1294" s="13" t="s">
        <v>382</v>
      </c>
      <c r="N1294" s="15">
        <v>5</v>
      </c>
      <c r="O1294" s="16">
        <v>0</v>
      </c>
      <c r="P1294" s="17">
        <v>0</v>
      </c>
      <c r="Q1294" s="17">
        <v>0</v>
      </c>
      <c r="R1294" s="13"/>
      <c r="S1294" s="13"/>
      <c r="T1294" s="13"/>
      <c r="U1294" s="13"/>
      <c r="V1294" s="13"/>
      <c r="W1294" s="13"/>
    </row>
    <row r="1295" spans="1:23" x14ac:dyDescent="0.2">
      <c r="A1295"/>
      <c r="B1295"/>
      <c r="C1295"/>
      <c r="D1295"/>
      <c r="E1295"/>
      <c r="F1295"/>
      <c r="G1295"/>
      <c r="H1295"/>
      <c r="I1295"/>
      <c r="J1295"/>
      <c r="K1295" s="13" t="s">
        <v>105</v>
      </c>
      <c r="L1295" s="13" t="s">
        <v>475</v>
      </c>
      <c r="M1295" s="13" t="s">
        <v>470</v>
      </c>
      <c r="N1295" s="15">
        <v>3</v>
      </c>
      <c r="O1295" s="16">
        <v>0</v>
      </c>
      <c r="P1295" s="17">
        <v>0</v>
      </c>
      <c r="Q1295" s="17">
        <v>0</v>
      </c>
      <c r="R1295" s="13"/>
      <c r="S1295" s="13"/>
      <c r="T1295" s="13"/>
      <c r="U1295" s="13"/>
      <c r="V1295" s="13"/>
      <c r="W1295" s="13"/>
    </row>
    <row r="1296" spans="1:23" x14ac:dyDescent="0.2">
      <c r="A1296"/>
      <c r="B1296"/>
      <c r="C1296"/>
      <c r="D1296"/>
      <c r="E1296"/>
      <c r="F1296"/>
      <c r="G1296"/>
      <c r="H1296"/>
      <c r="I1296"/>
      <c r="J1296"/>
      <c r="K1296" s="13" t="s">
        <v>105</v>
      </c>
      <c r="L1296" s="13" t="s">
        <v>606</v>
      </c>
      <c r="M1296" s="13" t="s">
        <v>430</v>
      </c>
      <c r="N1296" s="15">
        <v>4</v>
      </c>
      <c r="O1296" s="16">
        <v>0</v>
      </c>
      <c r="P1296" s="17">
        <v>0</v>
      </c>
      <c r="Q1296" s="17">
        <v>0</v>
      </c>
      <c r="R1296" s="13"/>
      <c r="S1296" s="13"/>
      <c r="T1296" s="13"/>
      <c r="U1296" s="13"/>
      <c r="V1296" s="13"/>
      <c r="W1296" s="13"/>
    </row>
    <row r="1297" spans="1:23" x14ac:dyDescent="0.2">
      <c r="A1297"/>
      <c r="B1297"/>
      <c r="C1297"/>
      <c r="D1297"/>
      <c r="E1297"/>
      <c r="F1297"/>
      <c r="G1297"/>
      <c r="H1297"/>
      <c r="I1297"/>
      <c r="J1297"/>
      <c r="K1297" s="13" t="s">
        <v>105</v>
      </c>
      <c r="L1297" s="13" t="s">
        <v>415</v>
      </c>
      <c r="M1297" s="13" t="s">
        <v>412</v>
      </c>
      <c r="N1297" s="15">
        <v>0</v>
      </c>
      <c r="O1297" s="16">
        <v>0</v>
      </c>
      <c r="P1297" s="17">
        <v>29.756949997464616</v>
      </c>
      <c r="Q1297" s="17">
        <v>0</v>
      </c>
      <c r="R1297" s="13"/>
      <c r="S1297" s="13"/>
      <c r="T1297" s="13"/>
      <c r="U1297" s="13"/>
      <c r="V1297" s="13"/>
      <c r="W1297" s="13"/>
    </row>
    <row r="1298" spans="1:23" x14ac:dyDescent="0.2">
      <c r="A1298"/>
      <c r="B1298"/>
      <c r="C1298"/>
      <c r="D1298"/>
      <c r="E1298"/>
      <c r="F1298"/>
      <c r="G1298"/>
      <c r="H1298"/>
      <c r="I1298"/>
      <c r="J1298"/>
      <c r="K1298" s="13" t="s">
        <v>105</v>
      </c>
      <c r="L1298" s="13" t="s">
        <v>467</v>
      </c>
      <c r="M1298" s="13" t="s">
        <v>422</v>
      </c>
      <c r="N1298" s="15">
        <v>0</v>
      </c>
      <c r="O1298" s="16">
        <v>6.0591253492019792</v>
      </c>
      <c r="P1298" s="17">
        <v>0</v>
      </c>
      <c r="Q1298" s="17">
        <v>0</v>
      </c>
      <c r="R1298" s="13"/>
      <c r="S1298" s="13"/>
      <c r="T1298" s="13"/>
      <c r="U1298" s="13"/>
      <c r="V1298" s="13"/>
      <c r="W1298" s="13"/>
    </row>
    <row r="1299" spans="1:23" x14ac:dyDescent="0.2">
      <c r="A1299"/>
      <c r="B1299"/>
      <c r="C1299"/>
      <c r="D1299"/>
      <c r="E1299"/>
      <c r="F1299"/>
      <c r="G1299"/>
      <c r="H1299"/>
      <c r="I1299"/>
      <c r="J1299"/>
      <c r="K1299" s="13" t="s">
        <v>105</v>
      </c>
      <c r="L1299" s="13" t="s">
        <v>528</v>
      </c>
      <c r="M1299" s="13" t="s">
        <v>384</v>
      </c>
      <c r="N1299" s="15">
        <v>0</v>
      </c>
      <c r="O1299" s="16">
        <v>27.347603188316516</v>
      </c>
      <c r="P1299" s="17">
        <v>0</v>
      </c>
      <c r="Q1299" s="17">
        <v>0</v>
      </c>
      <c r="R1299" s="13"/>
      <c r="S1299" s="13"/>
      <c r="T1299" s="13"/>
      <c r="U1299" s="13"/>
      <c r="V1299" s="13"/>
      <c r="W1299" s="13"/>
    </row>
    <row r="1300" spans="1:23" x14ac:dyDescent="0.2">
      <c r="A1300"/>
      <c r="B1300"/>
      <c r="C1300"/>
      <c r="D1300"/>
      <c r="E1300"/>
      <c r="F1300"/>
      <c r="G1300"/>
      <c r="H1300"/>
      <c r="I1300"/>
      <c r="J1300"/>
      <c r="K1300" s="13" t="s">
        <v>105</v>
      </c>
      <c r="L1300" s="13" t="s">
        <v>613</v>
      </c>
      <c r="M1300" s="13" t="s">
        <v>444</v>
      </c>
      <c r="N1300" s="15">
        <v>0</v>
      </c>
      <c r="O1300" s="16">
        <v>3.5518586689731748</v>
      </c>
      <c r="P1300" s="17">
        <v>0</v>
      </c>
      <c r="Q1300" s="17">
        <v>0</v>
      </c>
      <c r="R1300" s="13"/>
      <c r="S1300" s="13"/>
      <c r="T1300" s="13"/>
      <c r="U1300" s="13"/>
      <c r="V1300" s="13"/>
      <c r="W1300" s="13"/>
    </row>
    <row r="1301" spans="1:23" x14ac:dyDescent="0.2">
      <c r="A1301"/>
      <c r="B1301"/>
      <c r="C1301"/>
      <c r="D1301"/>
      <c r="E1301"/>
      <c r="F1301"/>
      <c r="G1301"/>
      <c r="H1301"/>
      <c r="I1301"/>
      <c r="J1301"/>
      <c r="K1301" s="13" t="s">
        <v>106</v>
      </c>
      <c r="L1301" s="13" t="s">
        <v>481</v>
      </c>
      <c r="M1301" s="13" t="s">
        <v>374</v>
      </c>
      <c r="N1301" s="15">
        <v>0</v>
      </c>
      <c r="O1301" s="16">
        <v>0</v>
      </c>
      <c r="P1301" s="17">
        <v>72336.248504254399</v>
      </c>
      <c r="Q1301" s="17">
        <v>0</v>
      </c>
      <c r="R1301" s="13"/>
      <c r="S1301" s="13"/>
      <c r="T1301" s="13"/>
      <c r="U1301" s="13"/>
      <c r="V1301" s="13"/>
      <c r="W1301" s="13"/>
    </row>
    <row r="1302" spans="1:23" x14ac:dyDescent="0.2">
      <c r="A1302"/>
      <c r="B1302"/>
      <c r="C1302"/>
      <c r="D1302"/>
      <c r="E1302"/>
      <c r="F1302"/>
      <c r="G1302"/>
      <c r="H1302"/>
      <c r="I1302"/>
      <c r="J1302"/>
      <c r="K1302" s="13" t="s">
        <v>106</v>
      </c>
      <c r="L1302" s="13" t="s">
        <v>436</v>
      </c>
      <c r="M1302" s="13" t="s">
        <v>487</v>
      </c>
      <c r="N1302" s="15">
        <v>0</v>
      </c>
      <c r="O1302" s="16">
        <v>0</v>
      </c>
      <c r="P1302" s="17">
        <v>2157.2352944202612</v>
      </c>
      <c r="Q1302" s="17">
        <v>0</v>
      </c>
      <c r="R1302" s="13"/>
      <c r="S1302" s="13"/>
      <c r="T1302" s="13"/>
      <c r="U1302" s="13"/>
      <c r="V1302" s="13"/>
      <c r="W1302" s="13"/>
    </row>
    <row r="1303" spans="1:23" x14ac:dyDescent="0.2">
      <c r="A1303"/>
      <c r="B1303"/>
      <c r="C1303"/>
      <c r="D1303"/>
      <c r="E1303"/>
      <c r="F1303"/>
      <c r="G1303"/>
      <c r="H1303"/>
      <c r="I1303"/>
      <c r="J1303"/>
      <c r="K1303" s="13" t="s">
        <v>106</v>
      </c>
      <c r="L1303" s="13" t="s">
        <v>401</v>
      </c>
      <c r="M1303" s="13" t="s">
        <v>360</v>
      </c>
      <c r="N1303" s="15">
        <v>0</v>
      </c>
      <c r="O1303" s="16">
        <v>0</v>
      </c>
      <c r="P1303" s="17">
        <v>1495.9684097105901</v>
      </c>
      <c r="Q1303" s="17">
        <v>0</v>
      </c>
      <c r="R1303" s="13"/>
      <c r="S1303" s="13"/>
      <c r="T1303" s="13"/>
      <c r="U1303" s="13"/>
      <c r="V1303" s="13"/>
      <c r="W1303" s="13"/>
    </row>
    <row r="1304" spans="1:23" x14ac:dyDescent="0.2">
      <c r="A1304"/>
      <c r="B1304"/>
      <c r="C1304"/>
      <c r="D1304"/>
      <c r="E1304"/>
      <c r="F1304"/>
      <c r="G1304"/>
      <c r="H1304"/>
      <c r="I1304"/>
      <c r="J1304"/>
      <c r="K1304" s="13" t="s">
        <v>106</v>
      </c>
      <c r="L1304" s="13" t="s">
        <v>402</v>
      </c>
      <c r="M1304" s="13" t="s">
        <v>403</v>
      </c>
      <c r="N1304" s="15">
        <v>0</v>
      </c>
      <c r="O1304" s="16">
        <v>0</v>
      </c>
      <c r="P1304" s="17">
        <v>3110.9767012570574</v>
      </c>
      <c r="Q1304" s="17">
        <v>0</v>
      </c>
      <c r="R1304" s="13"/>
      <c r="S1304" s="13"/>
      <c r="T1304" s="13"/>
      <c r="U1304" s="13"/>
      <c r="V1304" s="13"/>
      <c r="W1304" s="13"/>
    </row>
    <row r="1305" spans="1:23" x14ac:dyDescent="0.2">
      <c r="A1305"/>
      <c r="B1305"/>
      <c r="C1305"/>
      <c r="D1305"/>
      <c r="E1305"/>
      <c r="F1305"/>
      <c r="G1305"/>
      <c r="H1305"/>
      <c r="I1305"/>
      <c r="J1305"/>
      <c r="K1305" s="13" t="s">
        <v>106</v>
      </c>
      <c r="L1305" s="13" t="s">
        <v>448</v>
      </c>
      <c r="M1305" s="13" t="s">
        <v>366</v>
      </c>
      <c r="N1305" s="15">
        <v>0</v>
      </c>
      <c r="O1305" s="16">
        <v>0</v>
      </c>
      <c r="P1305" s="17">
        <v>294.09569999929062</v>
      </c>
      <c r="Q1305" s="17">
        <v>0</v>
      </c>
      <c r="R1305" s="13"/>
      <c r="S1305" s="13"/>
      <c r="T1305" s="13"/>
      <c r="U1305" s="13"/>
      <c r="V1305" s="13"/>
      <c r="W1305" s="13"/>
    </row>
    <row r="1306" spans="1:23" x14ac:dyDescent="0.2">
      <c r="A1306"/>
      <c r="B1306"/>
      <c r="C1306"/>
      <c r="D1306"/>
      <c r="E1306"/>
      <c r="F1306"/>
      <c r="G1306"/>
      <c r="H1306"/>
      <c r="I1306"/>
      <c r="J1306"/>
      <c r="K1306" s="13" t="s">
        <v>106</v>
      </c>
      <c r="L1306" s="13" t="s">
        <v>462</v>
      </c>
      <c r="M1306" s="13" t="s">
        <v>370</v>
      </c>
      <c r="N1306" s="15">
        <v>0</v>
      </c>
      <c r="O1306" s="16">
        <v>0</v>
      </c>
      <c r="P1306" s="17">
        <v>1320.4171999153421</v>
      </c>
      <c r="Q1306" s="17">
        <v>0</v>
      </c>
      <c r="R1306" s="13"/>
      <c r="S1306" s="13"/>
      <c r="T1306" s="13"/>
      <c r="U1306" s="13"/>
      <c r="V1306" s="13"/>
      <c r="W1306" s="13"/>
    </row>
    <row r="1307" spans="1:23" x14ac:dyDescent="0.2">
      <c r="A1307"/>
      <c r="B1307"/>
      <c r="C1307"/>
      <c r="D1307"/>
      <c r="E1307"/>
      <c r="F1307"/>
      <c r="G1307"/>
      <c r="H1307"/>
      <c r="I1307"/>
      <c r="J1307"/>
      <c r="K1307" s="13" t="s">
        <v>106</v>
      </c>
      <c r="L1307" s="13" t="s">
        <v>451</v>
      </c>
      <c r="M1307" s="13" t="s">
        <v>369</v>
      </c>
      <c r="N1307" s="15">
        <v>0</v>
      </c>
      <c r="O1307" s="16">
        <v>0</v>
      </c>
      <c r="P1307" s="17">
        <v>8380.9783053027477</v>
      </c>
      <c r="Q1307" s="17">
        <v>0</v>
      </c>
      <c r="R1307" s="13"/>
      <c r="S1307" s="13"/>
      <c r="T1307" s="13"/>
      <c r="U1307" s="13"/>
      <c r="V1307" s="13"/>
      <c r="W1307" s="13"/>
    </row>
    <row r="1308" spans="1:23" x14ac:dyDescent="0.2">
      <c r="A1308"/>
      <c r="B1308"/>
      <c r="C1308"/>
      <c r="D1308"/>
      <c r="E1308"/>
      <c r="F1308"/>
      <c r="G1308"/>
      <c r="H1308"/>
      <c r="I1308"/>
      <c r="J1308"/>
      <c r="K1308" s="13" t="s">
        <v>106</v>
      </c>
      <c r="L1308" s="13" t="s">
        <v>381</v>
      </c>
      <c r="M1308" s="13" t="s">
        <v>382</v>
      </c>
      <c r="N1308" s="15">
        <v>9</v>
      </c>
      <c r="O1308" s="16">
        <v>0</v>
      </c>
      <c r="P1308" s="17">
        <v>0</v>
      </c>
      <c r="Q1308" s="17">
        <v>0</v>
      </c>
      <c r="R1308" s="13"/>
      <c r="S1308" s="13"/>
      <c r="T1308" s="13"/>
      <c r="U1308" s="13"/>
      <c r="V1308" s="13"/>
      <c r="W1308" s="13"/>
    </row>
    <row r="1309" spans="1:23" x14ac:dyDescent="0.2">
      <c r="A1309"/>
      <c r="B1309"/>
      <c r="C1309"/>
      <c r="D1309"/>
      <c r="E1309"/>
      <c r="F1309"/>
      <c r="G1309"/>
      <c r="H1309"/>
      <c r="I1309"/>
      <c r="J1309"/>
      <c r="K1309" s="13" t="s">
        <v>106</v>
      </c>
      <c r="L1309" s="13" t="s">
        <v>411</v>
      </c>
      <c r="M1309" s="13" t="s">
        <v>362</v>
      </c>
      <c r="N1309" s="15">
        <v>4</v>
      </c>
      <c r="O1309" s="16">
        <v>0</v>
      </c>
      <c r="P1309" s="17">
        <v>0</v>
      </c>
      <c r="Q1309" s="17">
        <v>0</v>
      </c>
      <c r="R1309" s="13"/>
      <c r="S1309" s="13"/>
      <c r="T1309" s="13"/>
      <c r="U1309" s="13"/>
      <c r="V1309" s="13"/>
      <c r="W1309" s="13"/>
    </row>
    <row r="1310" spans="1:23" x14ac:dyDescent="0.2">
      <c r="A1310"/>
      <c r="B1310"/>
      <c r="C1310"/>
      <c r="D1310"/>
      <c r="E1310"/>
      <c r="F1310"/>
      <c r="G1310"/>
      <c r="H1310"/>
      <c r="I1310"/>
      <c r="J1310"/>
      <c r="K1310" s="13" t="s">
        <v>106</v>
      </c>
      <c r="L1310" s="13" t="s">
        <v>608</v>
      </c>
      <c r="M1310" s="13" t="s">
        <v>432</v>
      </c>
      <c r="N1310" s="15">
        <v>16</v>
      </c>
      <c r="O1310" s="16">
        <v>0</v>
      </c>
      <c r="P1310" s="17">
        <v>0</v>
      </c>
      <c r="Q1310" s="17">
        <v>0</v>
      </c>
      <c r="R1310" s="13"/>
      <c r="S1310" s="13"/>
      <c r="T1310" s="13"/>
      <c r="U1310" s="13"/>
      <c r="V1310" s="13"/>
      <c r="W1310" s="13"/>
    </row>
    <row r="1311" spans="1:23" x14ac:dyDescent="0.2">
      <c r="A1311"/>
      <c r="B1311"/>
      <c r="C1311"/>
      <c r="D1311"/>
      <c r="E1311"/>
      <c r="F1311"/>
      <c r="G1311"/>
      <c r="H1311"/>
      <c r="I1311"/>
      <c r="J1311"/>
      <c r="K1311" s="13" t="s">
        <v>106</v>
      </c>
      <c r="L1311" s="13" t="s">
        <v>415</v>
      </c>
      <c r="M1311" s="13" t="s">
        <v>412</v>
      </c>
      <c r="N1311" s="15">
        <v>0</v>
      </c>
      <c r="O1311" s="16">
        <v>0</v>
      </c>
      <c r="P1311" s="17">
        <v>2.285000000203727</v>
      </c>
      <c r="Q1311" s="17">
        <v>0</v>
      </c>
      <c r="R1311" s="13"/>
      <c r="S1311" s="13"/>
      <c r="T1311" s="13"/>
      <c r="U1311" s="13"/>
      <c r="V1311" s="13"/>
      <c r="W1311" s="13"/>
    </row>
    <row r="1312" spans="1:23" x14ac:dyDescent="0.2">
      <c r="A1312"/>
      <c r="B1312"/>
      <c r="C1312"/>
      <c r="D1312"/>
      <c r="E1312"/>
      <c r="F1312"/>
      <c r="G1312"/>
      <c r="H1312"/>
      <c r="I1312"/>
      <c r="J1312"/>
      <c r="K1312" s="13" t="s">
        <v>106</v>
      </c>
      <c r="L1312" s="13" t="s">
        <v>421</v>
      </c>
      <c r="M1312" s="13" t="s">
        <v>443</v>
      </c>
      <c r="N1312" s="15">
        <v>3</v>
      </c>
      <c r="O1312" s="16">
        <v>0</v>
      </c>
      <c r="P1312" s="17">
        <v>0</v>
      </c>
      <c r="Q1312" s="17">
        <v>0</v>
      </c>
      <c r="R1312" s="13"/>
      <c r="S1312" s="13"/>
      <c r="T1312" s="13"/>
      <c r="U1312" s="13"/>
      <c r="V1312" s="13"/>
      <c r="W1312" s="13"/>
    </row>
    <row r="1313" spans="1:23" x14ac:dyDescent="0.2">
      <c r="A1313"/>
      <c r="B1313"/>
      <c r="C1313"/>
      <c r="D1313"/>
      <c r="E1313"/>
      <c r="F1313"/>
      <c r="G1313"/>
      <c r="H1313"/>
      <c r="I1313"/>
      <c r="J1313"/>
      <c r="K1313" s="13" t="s">
        <v>106</v>
      </c>
      <c r="L1313" s="13" t="s">
        <v>383</v>
      </c>
      <c r="M1313" s="13" t="s">
        <v>420</v>
      </c>
      <c r="N1313" s="15">
        <v>5</v>
      </c>
      <c r="O1313" s="16">
        <v>0</v>
      </c>
      <c r="P1313" s="17">
        <v>0</v>
      </c>
      <c r="Q1313" s="17">
        <v>0</v>
      </c>
      <c r="R1313" s="13"/>
      <c r="S1313" s="13"/>
      <c r="T1313" s="13"/>
      <c r="U1313" s="13"/>
      <c r="V1313" s="13"/>
      <c r="W1313" s="13"/>
    </row>
    <row r="1314" spans="1:23" x14ac:dyDescent="0.2">
      <c r="A1314"/>
      <c r="B1314"/>
      <c r="C1314"/>
      <c r="D1314"/>
      <c r="E1314"/>
      <c r="F1314"/>
      <c r="G1314"/>
      <c r="H1314"/>
      <c r="I1314"/>
      <c r="J1314"/>
      <c r="K1314" s="13" t="s">
        <v>106</v>
      </c>
      <c r="L1314" s="13" t="s">
        <v>614</v>
      </c>
      <c r="M1314" s="13" t="s">
        <v>447</v>
      </c>
      <c r="N1314" s="15">
        <v>4</v>
      </c>
      <c r="O1314" s="16">
        <v>0</v>
      </c>
      <c r="P1314" s="17">
        <v>0</v>
      </c>
      <c r="Q1314" s="17">
        <v>0</v>
      </c>
      <c r="R1314" s="13"/>
      <c r="S1314" s="13"/>
      <c r="T1314" s="13"/>
      <c r="U1314" s="13"/>
      <c r="V1314" s="13"/>
      <c r="W1314" s="13"/>
    </row>
    <row r="1315" spans="1:23" x14ac:dyDescent="0.2">
      <c r="A1315"/>
      <c r="B1315"/>
      <c r="C1315"/>
      <c r="D1315"/>
      <c r="E1315"/>
      <c r="F1315"/>
      <c r="G1315"/>
      <c r="H1315"/>
      <c r="I1315"/>
      <c r="J1315"/>
      <c r="K1315" s="13" t="s">
        <v>107</v>
      </c>
      <c r="L1315" s="13" t="s">
        <v>435</v>
      </c>
      <c r="M1315" s="13" t="s">
        <v>364</v>
      </c>
      <c r="N1315" s="15">
        <v>1</v>
      </c>
      <c r="O1315" s="16">
        <v>0</v>
      </c>
      <c r="P1315" s="17">
        <v>0</v>
      </c>
      <c r="Q1315" s="17">
        <v>0</v>
      </c>
      <c r="R1315" s="13"/>
      <c r="S1315" s="13"/>
      <c r="T1315" s="13"/>
      <c r="U1315" s="13"/>
      <c r="V1315" s="13"/>
      <c r="W1315" s="13"/>
    </row>
    <row r="1316" spans="1:23" x14ac:dyDescent="0.2">
      <c r="A1316"/>
      <c r="B1316"/>
      <c r="C1316"/>
      <c r="D1316"/>
      <c r="E1316"/>
      <c r="F1316"/>
      <c r="G1316"/>
      <c r="H1316"/>
      <c r="I1316"/>
      <c r="J1316"/>
      <c r="K1316" s="13" t="s">
        <v>107</v>
      </c>
      <c r="L1316" s="13" t="s">
        <v>387</v>
      </c>
      <c r="M1316" s="13" t="s">
        <v>386</v>
      </c>
      <c r="N1316" s="15">
        <v>0</v>
      </c>
      <c r="O1316" s="16">
        <v>0</v>
      </c>
      <c r="P1316" s="17">
        <v>480.53284997572541</v>
      </c>
      <c r="Q1316" s="17">
        <v>0</v>
      </c>
      <c r="R1316" s="13"/>
      <c r="S1316" s="13"/>
      <c r="T1316" s="13"/>
      <c r="U1316" s="13"/>
      <c r="V1316" s="13"/>
      <c r="W1316" s="13"/>
    </row>
    <row r="1317" spans="1:23" x14ac:dyDescent="0.2">
      <c r="A1317"/>
      <c r="B1317"/>
      <c r="C1317"/>
      <c r="D1317"/>
      <c r="E1317"/>
      <c r="F1317"/>
      <c r="G1317"/>
      <c r="H1317"/>
      <c r="I1317"/>
      <c r="J1317"/>
      <c r="K1317" s="13" t="s">
        <v>107</v>
      </c>
      <c r="L1317" s="13" t="s">
        <v>397</v>
      </c>
      <c r="M1317" s="13" t="s">
        <v>398</v>
      </c>
      <c r="N1317" s="15">
        <v>0</v>
      </c>
      <c r="O1317" s="16">
        <v>0</v>
      </c>
      <c r="P1317" s="17">
        <v>85.445549992357201</v>
      </c>
      <c r="Q1317" s="17">
        <v>0</v>
      </c>
      <c r="R1317" s="13"/>
      <c r="S1317" s="13"/>
      <c r="T1317" s="13"/>
      <c r="U1317" s="13"/>
      <c r="V1317" s="13"/>
      <c r="W1317" s="13"/>
    </row>
    <row r="1318" spans="1:23" x14ac:dyDescent="0.2">
      <c r="A1318"/>
      <c r="B1318"/>
      <c r="C1318"/>
      <c r="D1318"/>
      <c r="E1318"/>
      <c r="F1318"/>
      <c r="G1318"/>
      <c r="H1318"/>
      <c r="I1318"/>
      <c r="J1318"/>
      <c r="K1318" s="13" t="s">
        <v>107</v>
      </c>
      <c r="L1318" s="13" t="s">
        <v>401</v>
      </c>
      <c r="M1318" s="13" t="s">
        <v>360</v>
      </c>
      <c r="N1318" s="15">
        <v>0</v>
      </c>
      <c r="O1318" s="16">
        <v>0</v>
      </c>
      <c r="P1318" s="17">
        <v>353.5180999885423</v>
      </c>
      <c r="Q1318" s="17">
        <v>0</v>
      </c>
      <c r="R1318" s="13"/>
      <c r="S1318" s="13"/>
      <c r="T1318" s="13"/>
      <c r="U1318" s="13"/>
      <c r="V1318" s="13"/>
      <c r="W1318" s="13"/>
    </row>
    <row r="1319" spans="1:23" x14ac:dyDescent="0.2">
      <c r="A1319"/>
      <c r="B1319"/>
      <c r="C1319"/>
      <c r="D1319"/>
      <c r="E1319"/>
      <c r="F1319"/>
      <c r="G1319"/>
      <c r="H1319"/>
      <c r="I1319"/>
      <c r="J1319"/>
      <c r="K1319" s="13" t="s">
        <v>107</v>
      </c>
      <c r="L1319" s="13" t="s">
        <v>402</v>
      </c>
      <c r="M1319" s="13" t="s">
        <v>403</v>
      </c>
      <c r="N1319" s="15">
        <v>0</v>
      </c>
      <c r="O1319" s="16">
        <v>0</v>
      </c>
      <c r="P1319" s="17">
        <v>1132.6438501024611</v>
      </c>
      <c r="Q1319" s="17">
        <v>0</v>
      </c>
      <c r="R1319" s="13"/>
      <c r="S1319" s="13"/>
      <c r="T1319" s="13"/>
      <c r="U1319" s="13"/>
      <c r="V1319" s="13"/>
      <c r="W1319" s="13"/>
    </row>
    <row r="1320" spans="1:23" x14ac:dyDescent="0.2">
      <c r="A1320"/>
      <c r="B1320"/>
      <c r="C1320"/>
      <c r="D1320"/>
      <c r="E1320"/>
      <c r="F1320"/>
      <c r="G1320"/>
      <c r="H1320"/>
      <c r="I1320"/>
      <c r="J1320"/>
      <c r="K1320" s="13" t="s">
        <v>107</v>
      </c>
      <c r="L1320" s="13" t="s">
        <v>451</v>
      </c>
      <c r="M1320" s="13" t="s">
        <v>369</v>
      </c>
      <c r="N1320" s="15">
        <v>0</v>
      </c>
      <c r="O1320" s="16">
        <v>0</v>
      </c>
      <c r="P1320" s="17">
        <v>2052.1403500590859</v>
      </c>
      <c r="Q1320" s="17">
        <v>0</v>
      </c>
      <c r="R1320" s="13"/>
      <c r="S1320" s="13"/>
      <c r="T1320" s="13"/>
      <c r="U1320" s="13"/>
      <c r="V1320" s="13"/>
      <c r="W1320" s="13"/>
    </row>
    <row r="1321" spans="1:23" x14ac:dyDescent="0.2">
      <c r="A1321"/>
      <c r="B1321"/>
      <c r="C1321"/>
      <c r="D1321"/>
      <c r="E1321"/>
      <c r="F1321"/>
      <c r="G1321"/>
      <c r="H1321"/>
      <c r="I1321"/>
      <c r="J1321"/>
      <c r="K1321" s="13" t="s">
        <v>107</v>
      </c>
      <c r="L1321" s="13" t="s">
        <v>381</v>
      </c>
      <c r="M1321" s="13" t="s">
        <v>382</v>
      </c>
      <c r="N1321" s="15">
        <v>8</v>
      </c>
      <c r="O1321" s="16">
        <v>0</v>
      </c>
      <c r="P1321" s="17">
        <v>0</v>
      </c>
      <c r="Q1321" s="17">
        <v>0</v>
      </c>
      <c r="R1321" s="13"/>
      <c r="S1321" s="13"/>
      <c r="T1321" s="13"/>
      <c r="U1321" s="13"/>
      <c r="V1321" s="13"/>
      <c r="W1321" s="13"/>
    </row>
    <row r="1322" spans="1:23" x14ac:dyDescent="0.2">
      <c r="A1322"/>
      <c r="B1322"/>
      <c r="C1322"/>
      <c r="D1322"/>
      <c r="E1322"/>
      <c r="F1322"/>
      <c r="G1322"/>
      <c r="H1322"/>
      <c r="I1322"/>
      <c r="J1322"/>
      <c r="K1322" s="13" t="s">
        <v>107</v>
      </c>
      <c r="L1322" s="13" t="s">
        <v>608</v>
      </c>
      <c r="M1322" s="13" t="s">
        <v>432</v>
      </c>
      <c r="N1322" s="15">
        <v>1</v>
      </c>
      <c r="O1322" s="16">
        <v>0</v>
      </c>
      <c r="P1322" s="17">
        <v>0</v>
      </c>
      <c r="Q1322" s="17">
        <v>0</v>
      </c>
      <c r="R1322" s="13"/>
      <c r="S1322" s="13"/>
      <c r="T1322" s="13"/>
      <c r="U1322" s="13"/>
      <c r="V1322" s="13"/>
      <c r="W1322" s="13"/>
    </row>
    <row r="1323" spans="1:23" x14ac:dyDescent="0.2">
      <c r="A1323"/>
      <c r="B1323"/>
      <c r="C1323"/>
      <c r="D1323"/>
      <c r="E1323"/>
      <c r="F1323"/>
      <c r="G1323"/>
      <c r="H1323"/>
      <c r="I1323"/>
      <c r="J1323"/>
      <c r="K1323" s="13" t="s">
        <v>107</v>
      </c>
      <c r="L1323" s="13" t="s">
        <v>383</v>
      </c>
      <c r="M1323" s="13" t="s">
        <v>420</v>
      </c>
      <c r="N1323" s="15">
        <v>1</v>
      </c>
      <c r="O1323" s="16">
        <v>0</v>
      </c>
      <c r="P1323" s="17">
        <v>0</v>
      </c>
      <c r="Q1323" s="17">
        <v>0</v>
      </c>
      <c r="R1323" s="13"/>
      <c r="S1323" s="13"/>
      <c r="T1323" s="13"/>
      <c r="U1323" s="13"/>
      <c r="V1323" s="13"/>
      <c r="W1323" s="13"/>
    </row>
    <row r="1324" spans="1:23" x14ac:dyDescent="0.2">
      <c r="A1324"/>
      <c r="B1324"/>
      <c r="C1324"/>
      <c r="D1324"/>
      <c r="E1324"/>
      <c r="F1324"/>
      <c r="G1324"/>
      <c r="H1324"/>
      <c r="I1324"/>
      <c r="J1324"/>
      <c r="K1324" s="13" t="s">
        <v>107</v>
      </c>
      <c r="L1324" s="13" t="s">
        <v>614</v>
      </c>
      <c r="M1324" s="13" t="s">
        <v>447</v>
      </c>
      <c r="N1324" s="15">
        <v>1</v>
      </c>
      <c r="O1324" s="16">
        <v>0</v>
      </c>
      <c r="P1324" s="17">
        <v>0</v>
      </c>
      <c r="Q1324" s="17">
        <v>0</v>
      </c>
      <c r="R1324" s="13"/>
      <c r="S1324" s="13"/>
      <c r="T1324" s="13"/>
      <c r="U1324" s="13"/>
      <c r="V1324" s="13"/>
      <c r="W1324" s="13"/>
    </row>
    <row r="1325" spans="1:23" x14ac:dyDescent="0.2">
      <c r="A1325"/>
      <c r="B1325"/>
      <c r="C1325"/>
      <c r="D1325"/>
      <c r="E1325"/>
      <c r="F1325"/>
      <c r="G1325"/>
      <c r="H1325"/>
      <c r="I1325"/>
      <c r="J1325"/>
      <c r="K1325" s="13" t="s">
        <v>574</v>
      </c>
      <c r="L1325" s="13" t="s">
        <v>435</v>
      </c>
      <c r="M1325" s="13" t="s">
        <v>364</v>
      </c>
      <c r="N1325" s="15">
        <v>0</v>
      </c>
      <c r="O1325" s="16">
        <v>0</v>
      </c>
      <c r="P1325" s="17">
        <v>18.433900000528801</v>
      </c>
      <c r="Q1325" s="17">
        <v>0</v>
      </c>
      <c r="R1325" s="13"/>
      <c r="S1325" s="13"/>
      <c r="T1325" s="13"/>
      <c r="U1325" s="13"/>
      <c r="V1325" s="13"/>
      <c r="W1325" s="13"/>
    </row>
    <row r="1326" spans="1:23" x14ac:dyDescent="0.2">
      <c r="A1326"/>
      <c r="B1326"/>
      <c r="C1326"/>
      <c r="D1326"/>
      <c r="E1326"/>
      <c r="F1326"/>
      <c r="G1326"/>
      <c r="H1326"/>
      <c r="I1326"/>
      <c r="J1326"/>
      <c r="K1326" s="13" t="s">
        <v>574</v>
      </c>
      <c r="L1326" s="13" t="s">
        <v>436</v>
      </c>
      <c r="M1326" s="13" t="s">
        <v>487</v>
      </c>
      <c r="N1326" s="15">
        <v>0</v>
      </c>
      <c r="O1326" s="16">
        <v>0</v>
      </c>
      <c r="P1326" s="17">
        <v>2700.2359499860145</v>
      </c>
      <c r="Q1326" s="17">
        <v>0</v>
      </c>
      <c r="R1326" s="13"/>
      <c r="S1326" s="13"/>
      <c r="T1326" s="13"/>
      <c r="U1326" s="13"/>
      <c r="V1326" s="13"/>
      <c r="W1326" s="13"/>
    </row>
    <row r="1327" spans="1:23" x14ac:dyDescent="0.2">
      <c r="A1327"/>
      <c r="B1327"/>
      <c r="C1327"/>
      <c r="D1327"/>
      <c r="E1327"/>
      <c r="F1327"/>
      <c r="G1327"/>
      <c r="H1327"/>
      <c r="I1327"/>
      <c r="J1327"/>
      <c r="K1327" s="13" t="s">
        <v>574</v>
      </c>
      <c r="L1327" s="13" t="s">
        <v>394</v>
      </c>
      <c r="M1327" s="13" t="s">
        <v>359</v>
      </c>
      <c r="N1327" s="15">
        <v>0</v>
      </c>
      <c r="O1327" s="16">
        <v>0</v>
      </c>
      <c r="P1327" s="17">
        <v>2.0974999985523755</v>
      </c>
      <c r="Q1327" s="17">
        <v>0</v>
      </c>
      <c r="R1327" s="13"/>
      <c r="S1327" s="13"/>
      <c r="T1327" s="13"/>
      <c r="U1327" s="13"/>
      <c r="V1327" s="13"/>
      <c r="W1327" s="13"/>
    </row>
    <row r="1328" spans="1:23" x14ac:dyDescent="0.2">
      <c r="A1328"/>
      <c r="B1328"/>
      <c r="C1328"/>
      <c r="D1328"/>
      <c r="E1328"/>
      <c r="F1328"/>
      <c r="G1328"/>
      <c r="H1328"/>
      <c r="I1328"/>
      <c r="J1328"/>
      <c r="K1328" s="13" t="s">
        <v>574</v>
      </c>
      <c r="L1328" s="13" t="s">
        <v>401</v>
      </c>
      <c r="M1328" s="13" t="s">
        <v>360</v>
      </c>
      <c r="N1328" s="15">
        <v>0</v>
      </c>
      <c r="O1328" s="16">
        <v>0</v>
      </c>
      <c r="P1328" s="17">
        <v>916.19520000373484</v>
      </c>
      <c r="Q1328" s="17">
        <v>0</v>
      </c>
      <c r="R1328" s="13"/>
      <c r="S1328" s="13"/>
      <c r="T1328" s="13"/>
      <c r="U1328" s="13"/>
      <c r="V1328" s="13"/>
      <c r="W1328" s="13"/>
    </row>
    <row r="1329" spans="1:23" x14ac:dyDescent="0.2">
      <c r="A1329"/>
      <c r="B1329"/>
      <c r="C1329"/>
      <c r="D1329"/>
      <c r="E1329"/>
      <c r="F1329"/>
      <c r="G1329"/>
      <c r="H1329"/>
      <c r="I1329"/>
      <c r="J1329"/>
      <c r="K1329" s="13" t="s">
        <v>574</v>
      </c>
      <c r="L1329" s="13" t="s">
        <v>402</v>
      </c>
      <c r="M1329" s="13" t="s">
        <v>403</v>
      </c>
      <c r="N1329" s="15">
        <v>0</v>
      </c>
      <c r="O1329" s="16">
        <v>0</v>
      </c>
      <c r="P1329" s="17">
        <v>3290.4718998711</v>
      </c>
      <c r="Q1329" s="17">
        <v>0</v>
      </c>
      <c r="R1329" s="13"/>
      <c r="S1329" s="13"/>
      <c r="T1329" s="13"/>
      <c r="U1329" s="13"/>
      <c r="V1329" s="13"/>
      <c r="W1329" s="13"/>
    </row>
    <row r="1330" spans="1:23" x14ac:dyDescent="0.2">
      <c r="A1330"/>
      <c r="B1330"/>
      <c r="C1330"/>
      <c r="D1330"/>
      <c r="E1330"/>
      <c r="F1330"/>
      <c r="G1330"/>
      <c r="H1330"/>
      <c r="I1330"/>
      <c r="J1330"/>
      <c r="K1330" s="13" t="s">
        <v>574</v>
      </c>
      <c r="L1330" s="13" t="s">
        <v>462</v>
      </c>
      <c r="M1330" s="13" t="s">
        <v>370</v>
      </c>
      <c r="N1330" s="15">
        <v>0</v>
      </c>
      <c r="O1330" s="16">
        <v>0</v>
      </c>
      <c r="P1330" s="17">
        <v>196.49924998956078</v>
      </c>
      <c r="Q1330" s="17">
        <v>0</v>
      </c>
      <c r="R1330" s="13"/>
      <c r="S1330" s="13"/>
      <c r="T1330" s="13"/>
      <c r="U1330" s="13"/>
      <c r="V1330" s="13"/>
      <c r="W1330" s="13"/>
    </row>
    <row r="1331" spans="1:23" x14ac:dyDescent="0.2">
      <c r="A1331"/>
      <c r="B1331"/>
      <c r="C1331"/>
      <c r="D1331"/>
      <c r="E1331"/>
      <c r="F1331"/>
      <c r="G1331"/>
      <c r="H1331"/>
      <c r="I1331"/>
      <c r="J1331"/>
      <c r="K1331" s="13" t="s">
        <v>574</v>
      </c>
      <c r="L1331" s="13" t="s">
        <v>451</v>
      </c>
      <c r="M1331" s="13" t="s">
        <v>369</v>
      </c>
      <c r="N1331" s="15">
        <v>0</v>
      </c>
      <c r="O1331" s="16">
        <v>0</v>
      </c>
      <c r="P1331" s="17">
        <v>7105.4997998489625</v>
      </c>
      <c r="Q1331" s="17">
        <v>0</v>
      </c>
      <c r="R1331" s="13"/>
      <c r="S1331" s="13"/>
      <c r="T1331" s="13"/>
      <c r="U1331" s="13"/>
      <c r="V1331" s="13"/>
      <c r="W1331" s="13"/>
    </row>
    <row r="1332" spans="1:23" x14ac:dyDescent="0.2">
      <c r="A1332"/>
      <c r="B1332"/>
      <c r="C1332"/>
      <c r="D1332"/>
      <c r="E1332"/>
      <c r="F1332"/>
      <c r="G1332"/>
      <c r="H1332"/>
      <c r="I1332"/>
      <c r="J1332"/>
      <c r="K1332" s="13" t="s">
        <v>574</v>
      </c>
      <c r="L1332" s="13" t="s">
        <v>381</v>
      </c>
      <c r="M1332" s="13" t="s">
        <v>382</v>
      </c>
      <c r="N1332" s="15">
        <v>6</v>
      </c>
      <c r="O1332" s="16">
        <v>0</v>
      </c>
      <c r="P1332" s="17">
        <v>0</v>
      </c>
      <c r="Q1332" s="17">
        <v>0</v>
      </c>
      <c r="R1332" s="13"/>
      <c r="S1332" s="13"/>
      <c r="T1332" s="13"/>
      <c r="U1332" s="13"/>
      <c r="V1332" s="13"/>
      <c r="W1332" s="13"/>
    </row>
    <row r="1333" spans="1:23" x14ac:dyDescent="0.2">
      <c r="A1333"/>
      <c r="B1333"/>
      <c r="C1333"/>
      <c r="D1333"/>
      <c r="E1333"/>
      <c r="F1333"/>
      <c r="G1333"/>
      <c r="H1333"/>
      <c r="I1333"/>
      <c r="J1333"/>
      <c r="K1333" s="13" t="s">
        <v>574</v>
      </c>
      <c r="L1333" s="13" t="s">
        <v>413</v>
      </c>
      <c r="M1333" s="13" t="s">
        <v>428</v>
      </c>
      <c r="N1333" s="15">
        <v>1</v>
      </c>
      <c r="O1333" s="16">
        <v>0</v>
      </c>
      <c r="P1333" s="17">
        <v>0</v>
      </c>
      <c r="Q1333" s="17">
        <v>0</v>
      </c>
      <c r="R1333" s="13"/>
      <c r="S1333" s="13"/>
      <c r="T1333" s="13"/>
      <c r="U1333" s="13"/>
      <c r="V1333" s="13"/>
      <c r="W1333" s="13"/>
    </row>
    <row r="1334" spans="1:23" x14ac:dyDescent="0.2">
      <c r="A1334"/>
      <c r="B1334"/>
      <c r="C1334"/>
      <c r="D1334"/>
      <c r="E1334"/>
      <c r="F1334"/>
      <c r="G1334"/>
      <c r="H1334"/>
      <c r="I1334"/>
      <c r="J1334"/>
      <c r="K1334" s="13" t="s">
        <v>574</v>
      </c>
      <c r="L1334" s="13" t="s">
        <v>608</v>
      </c>
      <c r="M1334" s="13" t="s">
        <v>432</v>
      </c>
      <c r="N1334" s="15">
        <v>10</v>
      </c>
      <c r="O1334" s="16">
        <v>0</v>
      </c>
      <c r="P1334" s="17">
        <v>0</v>
      </c>
      <c r="Q1334" s="17">
        <v>0</v>
      </c>
      <c r="R1334" s="13"/>
      <c r="S1334" s="13"/>
      <c r="T1334" s="13"/>
      <c r="U1334" s="13"/>
      <c r="V1334" s="13"/>
      <c r="W1334" s="13"/>
    </row>
    <row r="1335" spans="1:23" x14ac:dyDescent="0.2">
      <c r="A1335"/>
      <c r="B1335"/>
      <c r="C1335"/>
      <c r="D1335"/>
      <c r="E1335"/>
      <c r="F1335"/>
      <c r="G1335"/>
      <c r="H1335"/>
      <c r="I1335"/>
      <c r="J1335"/>
      <c r="K1335" s="13" t="s">
        <v>574</v>
      </c>
      <c r="L1335" s="13" t="s">
        <v>615</v>
      </c>
      <c r="M1335" s="13" t="s">
        <v>449</v>
      </c>
      <c r="N1335" s="15">
        <v>1</v>
      </c>
      <c r="O1335" s="16">
        <v>0</v>
      </c>
      <c r="P1335" s="17">
        <v>0</v>
      </c>
      <c r="Q1335" s="17">
        <v>0</v>
      </c>
      <c r="R1335" s="13"/>
      <c r="S1335" s="13"/>
      <c r="T1335" s="13"/>
      <c r="U1335" s="13"/>
      <c r="V1335" s="13"/>
      <c r="W1335" s="13"/>
    </row>
    <row r="1336" spans="1:23" x14ac:dyDescent="0.2">
      <c r="A1336"/>
      <c r="B1336"/>
      <c r="C1336"/>
      <c r="D1336"/>
      <c r="E1336"/>
      <c r="F1336"/>
      <c r="G1336"/>
      <c r="H1336"/>
      <c r="I1336"/>
      <c r="J1336"/>
      <c r="K1336" s="13" t="s">
        <v>574</v>
      </c>
      <c r="L1336" s="13" t="s">
        <v>383</v>
      </c>
      <c r="M1336" s="13" t="s">
        <v>420</v>
      </c>
      <c r="N1336" s="15">
        <v>4</v>
      </c>
      <c r="O1336" s="16">
        <v>0</v>
      </c>
      <c r="P1336" s="17">
        <v>0</v>
      </c>
      <c r="Q1336" s="17">
        <v>0</v>
      </c>
      <c r="R1336" s="13"/>
      <c r="S1336" s="13"/>
      <c r="T1336" s="13"/>
      <c r="U1336" s="13"/>
      <c r="V1336" s="13"/>
      <c r="W1336" s="13"/>
    </row>
    <row r="1337" spans="1:23" x14ac:dyDescent="0.2">
      <c r="A1337"/>
      <c r="B1337"/>
      <c r="C1337"/>
      <c r="D1337"/>
      <c r="E1337"/>
      <c r="F1337"/>
      <c r="G1337"/>
      <c r="H1337"/>
      <c r="I1337"/>
      <c r="J1337"/>
      <c r="K1337" s="13" t="s">
        <v>574</v>
      </c>
      <c r="L1337" s="13" t="s">
        <v>614</v>
      </c>
      <c r="M1337" s="13" t="s">
        <v>447</v>
      </c>
      <c r="N1337" s="15">
        <v>1</v>
      </c>
      <c r="O1337" s="16">
        <v>0</v>
      </c>
      <c r="P1337" s="17">
        <v>0</v>
      </c>
      <c r="Q1337" s="17">
        <v>0</v>
      </c>
      <c r="R1337" s="13"/>
      <c r="S1337" s="13"/>
      <c r="T1337" s="13"/>
      <c r="U1337" s="13"/>
      <c r="V1337" s="13"/>
      <c r="W1337" s="13"/>
    </row>
    <row r="1338" spans="1:23" x14ac:dyDescent="0.2">
      <c r="A1338"/>
      <c r="B1338"/>
      <c r="C1338"/>
      <c r="D1338"/>
      <c r="E1338"/>
      <c r="F1338"/>
      <c r="G1338"/>
      <c r="H1338"/>
      <c r="I1338"/>
      <c r="J1338"/>
      <c r="K1338" s="13" t="s">
        <v>108</v>
      </c>
      <c r="L1338" s="13" t="s">
        <v>401</v>
      </c>
      <c r="M1338" s="13" t="s">
        <v>360</v>
      </c>
      <c r="N1338" s="15">
        <v>0</v>
      </c>
      <c r="O1338" s="16">
        <v>0</v>
      </c>
      <c r="P1338" s="17">
        <v>432.52214996834772</v>
      </c>
      <c r="Q1338" s="17">
        <v>0</v>
      </c>
      <c r="R1338" s="13"/>
      <c r="S1338" s="13"/>
      <c r="T1338" s="13"/>
      <c r="U1338" s="13"/>
      <c r="V1338" s="13"/>
      <c r="W1338" s="13"/>
    </row>
    <row r="1339" spans="1:23" x14ac:dyDescent="0.2">
      <c r="A1339"/>
      <c r="B1339"/>
      <c r="C1339"/>
      <c r="D1339"/>
      <c r="E1339"/>
      <c r="F1339"/>
      <c r="G1339"/>
      <c r="H1339"/>
      <c r="I1339"/>
      <c r="J1339"/>
      <c r="K1339" s="13" t="s">
        <v>108</v>
      </c>
      <c r="L1339" s="13" t="s">
        <v>402</v>
      </c>
      <c r="M1339" s="13" t="s">
        <v>403</v>
      </c>
      <c r="N1339" s="15">
        <v>0</v>
      </c>
      <c r="O1339" s="16">
        <v>0</v>
      </c>
      <c r="P1339" s="17">
        <v>921.71824983751412</v>
      </c>
      <c r="Q1339" s="17">
        <v>0</v>
      </c>
      <c r="R1339" s="13"/>
      <c r="S1339" s="13"/>
      <c r="T1339" s="13"/>
      <c r="U1339" s="13"/>
      <c r="V1339" s="13"/>
      <c r="W1339" s="13"/>
    </row>
    <row r="1340" spans="1:23" x14ac:dyDescent="0.2">
      <c r="A1340"/>
      <c r="B1340"/>
      <c r="C1340"/>
      <c r="D1340"/>
      <c r="E1340"/>
      <c r="F1340"/>
      <c r="G1340"/>
      <c r="H1340"/>
      <c r="I1340"/>
      <c r="J1340"/>
      <c r="K1340" s="13" t="s">
        <v>108</v>
      </c>
      <c r="L1340" s="13" t="s">
        <v>462</v>
      </c>
      <c r="M1340" s="13" t="s">
        <v>370</v>
      </c>
      <c r="N1340" s="15">
        <v>0</v>
      </c>
      <c r="O1340" s="16">
        <v>0</v>
      </c>
      <c r="P1340" s="17">
        <v>1250.9103623824064</v>
      </c>
      <c r="Q1340" s="17">
        <v>0</v>
      </c>
      <c r="R1340" s="13"/>
      <c r="S1340" s="13"/>
      <c r="T1340" s="13"/>
      <c r="U1340" s="13"/>
      <c r="V1340" s="13"/>
      <c r="W1340" s="13"/>
    </row>
    <row r="1341" spans="1:23" x14ac:dyDescent="0.2">
      <c r="A1341"/>
      <c r="B1341"/>
      <c r="C1341"/>
      <c r="D1341"/>
      <c r="E1341"/>
      <c r="F1341"/>
      <c r="G1341"/>
      <c r="H1341"/>
      <c r="I1341"/>
      <c r="J1341"/>
      <c r="K1341" s="13" t="s">
        <v>108</v>
      </c>
      <c r="L1341" s="13" t="s">
        <v>463</v>
      </c>
      <c r="M1341" s="13" t="s">
        <v>372</v>
      </c>
      <c r="N1341" s="15">
        <v>0</v>
      </c>
      <c r="O1341" s="16">
        <v>0</v>
      </c>
      <c r="P1341" s="17">
        <v>12114.084662095009</v>
      </c>
      <c r="Q1341" s="17">
        <v>0</v>
      </c>
      <c r="R1341" s="13"/>
      <c r="S1341" s="13"/>
      <c r="T1341" s="13"/>
      <c r="U1341" s="13"/>
      <c r="V1341" s="13"/>
      <c r="W1341" s="13"/>
    </row>
    <row r="1342" spans="1:23" x14ac:dyDescent="0.2">
      <c r="A1342"/>
      <c r="B1342"/>
      <c r="C1342"/>
      <c r="D1342"/>
      <c r="E1342"/>
      <c r="F1342"/>
      <c r="G1342"/>
      <c r="H1342"/>
      <c r="I1342"/>
      <c r="J1342"/>
      <c r="K1342" s="13" t="s">
        <v>108</v>
      </c>
      <c r="L1342" s="13" t="s">
        <v>471</v>
      </c>
      <c r="M1342" s="13" t="s">
        <v>472</v>
      </c>
      <c r="N1342" s="15">
        <v>0</v>
      </c>
      <c r="O1342" s="16">
        <v>0</v>
      </c>
      <c r="P1342" s="17">
        <v>9508.9338999067404</v>
      </c>
      <c r="Q1342" s="17">
        <v>0</v>
      </c>
      <c r="R1342" s="13"/>
      <c r="S1342" s="13"/>
      <c r="T1342" s="13"/>
      <c r="U1342" s="13"/>
      <c r="V1342" s="13"/>
      <c r="W1342" s="13"/>
    </row>
    <row r="1343" spans="1:23" x14ac:dyDescent="0.2">
      <c r="A1343"/>
      <c r="B1343"/>
      <c r="C1343"/>
      <c r="D1343"/>
      <c r="E1343"/>
      <c r="F1343"/>
      <c r="G1343"/>
      <c r="H1343"/>
      <c r="I1343"/>
      <c r="J1343"/>
      <c r="K1343" s="13" t="s">
        <v>575</v>
      </c>
      <c r="L1343" s="13" t="s">
        <v>436</v>
      </c>
      <c r="M1343" s="13" t="s">
        <v>487</v>
      </c>
      <c r="N1343" s="15">
        <v>0</v>
      </c>
      <c r="O1343" s="16">
        <v>0</v>
      </c>
      <c r="P1343" s="17">
        <v>29.885099993923319</v>
      </c>
      <c r="Q1343" s="17">
        <v>0</v>
      </c>
      <c r="R1343" s="13"/>
      <c r="S1343" s="13"/>
      <c r="T1343" s="13"/>
      <c r="U1343" s="13"/>
      <c r="V1343" s="13"/>
      <c r="W1343" s="13"/>
    </row>
    <row r="1344" spans="1:23" x14ac:dyDescent="0.2">
      <c r="A1344"/>
      <c r="B1344"/>
      <c r="C1344"/>
      <c r="D1344"/>
      <c r="E1344"/>
      <c r="F1344"/>
      <c r="G1344"/>
      <c r="H1344"/>
      <c r="I1344"/>
      <c r="J1344"/>
      <c r="K1344" s="13" t="s">
        <v>575</v>
      </c>
      <c r="L1344" s="13" t="s">
        <v>397</v>
      </c>
      <c r="M1344" s="13" t="s">
        <v>398</v>
      </c>
      <c r="N1344" s="15">
        <v>0</v>
      </c>
      <c r="O1344" s="16">
        <v>0</v>
      </c>
      <c r="P1344" s="17">
        <v>297.59770002276366</v>
      </c>
      <c r="Q1344" s="17">
        <v>0</v>
      </c>
      <c r="R1344" s="13"/>
      <c r="S1344" s="13"/>
      <c r="T1344" s="13"/>
      <c r="U1344" s="13"/>
      <c r="V1344" s="13"/>
      <c r="W1344" s="13"/>
    </row>
    <row r="1345" spans="1:23" x14ac:dyDescent="0.2">
      <c r="A1345"/>
      <c r="B1345"/>
      <c r="C1345"/>
      <c r="D1345"/>
      <c r="E1345"/>
      <c r="F1345"/>
      <c r="G1345"/>
      <c r="H1345"/>
      <c r="I1345"/>
      <c r="J1345"/>
      <c r="K1345" s="13" t="s">
        <v>575</v>
      </c>
      <c r="L1345" s="13" t="s">
        <v>404</v>
      </c>
      <c r="M1345" s="13" t="s">
        <v>405</v>
      </c>
      <c r="N1345" s="15">
        <v>0</v>
      </c>
      <c r="O1345" s="16">
        <v>0</v>
      </c>
      <c r="P1345" s="17">
        <v>114.00890000282104</v>
      </c>
      <c r="Q1345" s="17">
        <v>186.21724587620687</v>
      </c>
      <c r="R1345" s="13"/>
      <c r="S1345" s="13"/>
      <c r="T1345" s="13"/>
      <c r="U1345" s="13"/>
      <c r="V1345" s="13"/>
      <c r="W1345" s="13"/>
    </row>
    <row r="1346" spans="1:23" x14ac:dyDescent="0.2">
      <c r="A1346"/>
      <c r="B1346"/>
      <c r="C1346"/>
      <c r="D1346"/>
      <c r="E1346"/>
      <c r="F1346"/>
      <c r="G1346"/>
      <c r="H1346"/>
      <c r="I1346"/>
      <c r="J1346"/>
      <c r="K1346" s="13" t="s">
        <v>575</v>
      </c>
      <c r="L1346" s="13" t="s">
        <v>451</v>
      </c>
      <c r="M1346" s="13" t="s">
        <v>369</v>
      </c>
      <c r="N1346" s="15">
        <v>0</v>
      </c>
      <c r="O1346" s="16">
        <v>0</v>
      </c>
      <c r="P1346" s="17">
        <v>441.49170001950802</v>
      </c>
      <c r="Q1346" s="17">
        <v>0</v>
      </c>
      <c r="R1346" s="13"/>
      <c r="S1346" s="13"/>
      <c r="T1346" s="13"/>
      <c r="U1346" s="13"/>
      <c r="V1346" s="13"/>
      <c r="W1346" s="13"/>
    </row>
    <row r="1347" spans="1:23" x14ac:dyDescent="0.2">
      <c r="A1347"/>
      <c r="B1347"/>
      <c r="C1347"/>
      <c r="D1347"/>
      <c r="E1347"/>
      <c r="F1347"/>
      <c r="G1347"/>
      <c r="H1347"/>
      <c r="I1347"/>
      <c r="J1347"/>
      <c r="K1347" s="13" t="s">
        <v>575</v>
      </c>
      <c r="L1347" s="13" t="s">
        <v>381</v>
      </c>
      <c r="M1347" s="13" t="s">
        <v>382</v>
      </c>
      <c r="N1347" s="15">
        <v>3</v>
      </c>
      <c r="O1347" s="16">
        <v>0</v>
      </c>
      <c r="P1347" s="17">
        <v>0</v>
      </c>
      <c r="Q1347" s="17">
        <v>0</v>
      </c>
      <c r="R1347" s="13"/>
      <c r="S1347" s="13"/>
      <c r="T1347" s="13"/>
      <c r="U1347" s="13"/>
      <c r="V1347" s="13"/>
      <c r="W1347" s="13"/>
    </row>
    <row r="1348" spans="1:23" x14ac:dyDescent="0.2">
      <c r="A1348"/>
      <c r="B1348"/>
      <c r="C1348"/>
      <c r="D1348"/>
      <c r="E1348"/>
      <c r="F1348"/>
      <c r="G1348"/>
      <c r="H1348"/>
      <c r="I1348"/>
      <c r="J1348"/>
      <c r="K1348" s="13" t="s">
        <v>575</v>
      </c>
      <c r="L1348" s="13" t="s">
        <v>407</v>
      </c>
      <c r="M1348" s="13" t="s">
        <v>408</v>
      </c>
      <c r="N1348" s="15">
        <v>8</v>
      </c>
      <c r="O1348" s="16">
        <v>0</v>
      </c>
      <c r="P1348" s="17">
        <v>0</v>
      </c>
      <c r="Q1348" s="17">
        <v>0</v>
      </c>
      <c r="R1348" s="13"/>
      <c r="S1348" s="13"/>
      <c r="T1348" s="13"/>
      <c r="U1348" s="13"/>
      <c r="V1348" s="13"/>
      <c r="W1348" s="13"/>
    </row>
    <row r="1349" spans="1:23" x14ac:dyDescent="0.2">
      <c r="A1349"/>
      <c r="B1349"/>
      <c r="C1349"/>
      <c r="D1349"/>
      <c r="E1349"/>
      <c r="F1349"/>
      <c r="G1349"/>
      <c r="H1349"/>
      <c r="I1349"/>
      <c r="J1349"/>
      <c r="K1349" s="13" t="s">
        <v>575</v>
      </c>
      <c r="L1349" s="13" t="s">
        <v>411</v>
      </c>
      <c r="M1349" s="13" t="s">
        <v>362</v>
      </c>
      <c r="N1349" s="15">
        <v>2</v>
      </c>
      <c r="O1349" s="16">
        <v>0</v>
      </c>
      <c r="P1349" s="17">
        <v>0</v>
      </c>
      <c r="Q1349" s="17">
        <v>0</v>
      </c>
      <c r="R1349" s="13"/>
      <c r="S1349" s="13"/>
      <c r="T1349" s="13"/>
      <c r="U1349" s="13"/>
      <c r="V1349" s="13"/>
      <c r="W1349" s="13"/>
    </row>
    <row r="1350" spans="1:23" x14ac:dyDescent="0.2">
      <c r="A1350"/>
      <c r="B1350"/>
      <c r="C1350"/>
      <c r="D1350"/>
      <c r="E1350"/>
      <c r="F1350"/>
      <c r="G1350"/>
      <c r="H1350"/>
      <c r="I1350"/>
      <c r="J1350"/>
      <c r="K1350" s="13" t="s">
        <v>576</v>
      </c>
      <c r="L1350" s="13" t="s">
        <v>391</v>
      </c>
      <c r="M1350" s="13" t="s">
        <v>358</v>
      </c>
      <c r="N1350" s="15">
        <v>0</v>
      </c>
      <c r="O1350" s="16">
        <v>0</v>
      </c>
      <c r="P1350" s="17">
        <v>377.62385004088907</v>
      </c>
      <c r="Q1350" s="17">
        <v>0</v>
      </c>
      <c r="R1350" s="13"/>
      <c r="S1350" s="13"/>
      <c r="T1350" s="13"/>
      <c r="U1350" s="13"/>
      <c r="V1350" s="13"/>
      <c r="W1350" s="13"/>
    </row>
    <row r="1351" spans="1:23" x14ac:dyDescent="0.2">
      <c r="A1351"/>
      <c r="B1351"/>
      <c r="C1351"/>
      <c r="D1351"/>
      <c r="E1351"/>
      <c r="F1351"/>
      <c r="G1351"/>
      <c r="H1351"/>
      <c r="I1351"/>
      <c r="J1351"/>
      <c r="K1351" s="13" t="s">
        <v>576</v>
      </c>
      <c r="L1351" s="13" t="s">
        <v>448</v>
      </c>
      <c r="M1351" s="13" t="s">
        <v>366</v>
      </c>
      <c r="N1351" s="15">
        <v>0</v>
      </c>
      <c r="O1351" s="16">
        <v>0</v>
      </c>
      <c r="P1351" s="17">
        <v>3274.3809863641109</v>
      </c>
      <c r="Q1351" s="17">
        <v>0</v>
      </c>
      <c r="R1351" s="13"/>
      <c r="S1351" s="13"/>
      <c r="T1351" s="13"/>
      <c r="U1351" s="13"/>
      <c r="V1351" s="13"/>
      <c r="W1351" s="13"/>
    </row>
    <row r="1352" spans="1:23" x14ac:dyDescent="0.2">
      <c r="A1352"/>
      <c r="B1352"/>
      <c r="C1352"/>
      <c r="D1352"/>
      <c r="E1352"/>
      <c r="F1352"/>
      <c r="G1352"/>
      <c r="H1352"/>
      <c r="I1352"/>
      <c r="J1352"/>
      <c r="K1352" s="13" t="s">
        <v>576</v>
      </c>
      <c r="L1352" s="13" t="s">
        <v>451</v>
      </c>
      <c r="M1352" s="13" t="s">
        <v>369</v>
      </c>
      <c r="N1352" s="15">
        <v>0</v>
      </c>
      <c r="O1352" s="16">
        <v>0</v>
      </c>
      <c r="P1352" s="17">
        <v>3652.0048364049999</v>
      </c>
      <c r="Q1352" s="17">
        <v>0</v>
      </c>
      <c r="R1352" s="13"/>
      <c r="S1352" s="13"/>
      <c r="T1352" s="13"/>
      <c r="U1352" s="13"/>
      <c r="V1352" s="13"/>
      <c r="W1352" s="13"/>
    </row>
    <row r="1353" spans="1:23" x14ac:dyDescent="0.2">
      <c r="A1353"/>
      <c r="B1353"/>
      <c r="C1353"/>
      <c r="D1353"/>
      <c r="E1353"/>
      <c r="F1353"/>
      <c r="G1353"/>
      <c r="H1353"/>
      <c r="I1353"/>
      <c r="J1353"/>
      <c r="K1353" s="13" t="s">
        <v>109</v>
      </c>
      <c r="L1353" s="13" t="s">
        <v>462</v>
      </c>
      <c r="M1353" s="13" t="s">
        <v>370</v>
      </c>
      <c r="N1353" s="15">
        <v>0</v>
      </c>
      <c r="O1353" s="16">
        <v>0</v>
      </c>
      <c r="P1353" s="17">
        <v>3201.6244499135305</v>
      </c>
      <c r="Q1353" s="17">
        <v>0</v>
      </c>
      <c r="R1353" s="13"/>
      <c r="S1353" s="13"/>
      <c r="T1353" s="13"/>
      <c r="U1353" s="13"/>
      <c r="V1353" s="13"/>
      <c r="W1353" s="13"/>
    </row>
    <row r="1354" spans="1:23" x14ac:dyDescent="0.2">
      <c r="A1354"/>
      <c r="B1354"/>
      <c r="C1354"/>
      <c r="D1354"/>
      <c r="E1354"/>
      <c r="F1354"/>
      <c r="G1354"/>
      <c r="H1354"/>
      <c r="I1354"/>
      <c r="J1354"/>
      <c r="K1354" s="13" t="s">
        <v>109</v>
      </c>
      <c r="L1354" s="13" t="s">
        <v>463</v>
      </c>
      <c r="M1354" s="13" t="s">
        <v>372</v>
      </c>
      <c r="N1354" s="15">
        <v>0</v>
      </c>
      <c r="O1354" s="16">
        <v>0</v>
      </c>
      <c r="P1354" s="17">
        <v>7160.0404999180673</v>
      </c>
      <c r="Q1354" s="17">
        <v>0</v>
      </c>
      <c r="R1354" s="13"/>
      <c r="S1354" s="13"/>
      <c r="T1354" s="13"/>
      <c r="U1354" s="13"/>
      <c r="V1354" s="13"/>
      <c r="W1354" s="13"/>
    </row>
    <row r="1355" spans="1:23" x14ac:dyDescent="0.2">
      <c r="A1355"/>
      <c r="B1355"/>
      <c r="C1355"/>
      <c r="D1355"/>
      <c r="E1355"/>
      <c r="F1355"/>
      <c r="G1355"/>
      <c r="H1355"/>
      <c r="I1355"/>
      <c r="J1355"/>
      <c r="K1355" s="13" t="s">
        <v>109</v>
      </c>
      <c r="L1355" s="13" t="s">
        <v>471</v>
      </c>
      <c r="M1355" s="13" t="s">
        <v>472</v>
      </c>
      <c r="N1355" s="15">
        <v>0</v>
      </c>
      <c r="O1355" s="16">
        <v>0</v>
      </c>
      <c r="P1355" s="17">
        <v>3958.4160500045368</v>
      </c>
      <c r="Q1355" s="17">
        <v>0</v>
      </c>
      <c r="R1355" s="13"/>
      <c r="S1355" s="13"/>
      <c r="T1355" s="13"/>
      <c r="U1355" s="13"/>
      <c r="V1355" s="13"/>
      <c r="W1355" s="13"/>
    </row>
    <row r="1356" spans="1:23" x14ac:dyDescent="0.2">
      <c r="A1356"/>
      <c r="B1356"/>
      <c r="C1356"/>
      <c r="D1356"/>
      <c r="E1356"/>
      <c r="F1356"/>
      <c r="G1356"/>
      <c r="H1356"/>
      <c r="I1356"/>
      <c r="J1356"/>
      <c r="K1356" s="13" t="s">
        <v>110</v>
      </c>
      <c r="L1356" s="13" t="s">
        <v>448</v>
      </c>
      <c r="M1356" s="13" t="s">
        <v>366</v>
      </c>
      <c r="N1356" s="15">
        <v>0</v>
      </c>
      <c r="O1356" s="16">
        <v>0</v>
      </c>
      <c r="P1356" s="17">
        <v>4551.7698999644899</v>
      </c>
      <c r="Q1356" s="17">
        <v>0</v>
      </c>
      <c r="R1356" s="13"/>
      <c r="S1356" s="13"/>
      <c r="T1356" s="13"/>
      <c r="U1356" s="13"/>
      <c r="V1356" s="13"/>
      <c r="W1356" s="13"/>
    </row>
    <row r="1357" spans="1:23" x14ac:dyDescent="0.2">
      <c r="A1357"/>
      <c r="B1357"/>
      <c r="C1357"/>
      <c r="D1357"/>
      <c r="E1357"/>
      <c r="F1357"/>
      <c r="G1357"/>
      <c r="H1357"/>
      <c r="I1357"/>
      <c r="J1357"/>
      <c r="K1357" s="13" t="s">
        <v>110</v>
      </c>
      <c r="L1357" s="13" t="s">
        <v>463</v>
      </c>
      <c r="M1357" s="13" t="s">
        <v>372</v>
      </c>
      <c r="N1357" s="15">
        <v>0</v>
      </c>
      <c r="O1357" s="16">
        <v>0</v>
      </c>
      <c r="P1357" s="17">
        <v>4551.7698999644899</v>
      </c>
      <c r="Q1357" s="17">
        <v>0</v>
      </c>
      <c r="R1357" s="13"/>
      <c r="S1357" s="13"/>
      <c r="T1357" s="13"/>
      <c r="U1357" s="13"/>
      <c r="V1357" s="13"/>
      <c r="W1357" s="13"/>
    </row>
    <row r="1358" spans="1:23" x14ac:dyDescent="0.2">
      <c r="A1358"/>
      <c r="B1358"/>
      <c r="C1358"/>
      <c r="D1358"/>
      <c r="E1358"/>
      <c r="F1358"/>
      <c r="G1358"/>
      <c r="H1358"/>
      <c r="I1358"/>
      <c r="J1358"/>
      <c r="K1358" s="13" t="s">
        <v>111</v>
      </c>
      <c r="L1358" s="13" t="s">
        <v>435</v>
      </c>
      <c r="M1358" s="13" t="s">
        <v>364</v>
      </c>
      <c r="N1358" s="15">
        <v>0</v>
      </c>
      <c r="O1358" s="16">
        <v>0</v>
      </c>
      <c r="P1358" s="17">
        <v>1650.3820208207014</v>
      </c>
      <c r="Q1358" s="17">
        <v>0</v>
      </c>
      <c r="R1358" s="13"/>
      <c r="S1358" s="13"/>
      <c r="T1358" s="13"/>
      <c r="U1358" s="13"/>
      <c r="V1358" s="13"/>
      <c r="W1358" s="13"/>
    </row>
    <row r="1359" spans="1:23" x14ac:dyDescent="0.2">
      <c r="A1359"/>
      <c r="B1359"/>
      <c r="C1359"/>
      <c r="D1359"/>
      <c r="E1359"/>
      <c r="F1359"/>
      <c r="G1359"/>
      <c r="H1359"/>
      <c r="I1359"/>
      <c r="J1359"/>
      <c r="K1359" s="13" t="s">
        <v>111</v>
      </c>
      <c r="L1359" s="13" t="s">
        <v>435</v>
      </c>
      <c r="M1359" s="13" t="s">
        <v>364</v>
      </c>
      <c r="N1359" s="15">
        <v>2</v>
      </c>
      <c r="O1359" s="16">
        <v>0</v>
      </c>
      <c r="P1359" s="17">
        <v>0</v>
      </c>
      <c r="Q1359" s="17">
        <v>0</v>
      </c>
      <c r="R1359" s="13"/>
      <c r="S1359" s="13"/>
      <c r="T1359" s="13"/>
      <c r="U1359" s="13"/>
      <c r="V1359" s="13"/>
      <c r="W1359" s="13"/>
    </row>
    <row r="1360" spans="1:23" x14ac:dyDescent="0.2">
      <c r="A1360"/>
      <c r="B1360"/>
      <c r="C1360"/>
      <c r="D1360"/>
      <c r="E1360"/>
      <c r="F1360"/>
      <c r="G1360"/>
      <c r="H1360"/>
      <c r="I1360"/>
      <c r="J1360"/>
      <c r="K1360" s="13" t="s">
        <v>111</v>
      </c>
      <c r="L1360" s="13" t="s">
        <v>387</v>
      </c>
      <c r="M1360" s="13" t="s">
        <v>386</v>
      </c>
      <c r="N1360" s="15">
        <v>0</v>
      </c>
      <c r="O1360" s="16">
        <v>0</v>
      </c>
      <c r="P1360" s="17">
        <v>13.910400002355825</v>
      </c>
      <c r="Q1360" s="17">
        <v>0</v>
      </c>
      <c r="R1360" s="13"/>
      <c r="S1360" s="13"/>
      <c r="T1360" s="13"/>
      <c r="U1360" s="13"/>
      <c r="V1360" s="13"/>
      <c r="W1360" s="13"/>
    </row>
    <row r="1361" spans="1:23" x14ac:dyDescent="0.2">
      <c r="A1361"/>
      <c r="B1361"/>
      <c r="C1361"/>
      <c r="D1361"/>
      <c r="E1361"/>
      <c r="F1361"/>
      <c r="G1361"/>
      <c r="H1361"/>
      <c r="I1361"/>
      <c r="J1361"/>
      <c r="K1361" s="13" t="s">
        <v>111</v>
      </c>
      <c r="L1361" s="13" t="s">
        <v>389</v>
      </c>
      <c r="M1361" s="13" t="s">
        <v>388</v>
      </c>
      <c r="N1361" s="15">
        <v>0</v>
      </c>
      <c r="O1361" s="16">
        <v>0</v>
      </c>
      <c r="P1361" s="17">
        <v>123.2817999830725</v>
      </c>
      <c r="Q1361" s="17">
        <v>0</v>
      </c>
      <c r="R1361" s="13"/>
      <c r="S1361" s="13"/>
      <c r="T1361" s="13"/>
      <c r="U1361" s="13"/>
      <c r="V1361" s="13"/>
      <c r="W1361" s="13"/>
    </row>
    <row r="1362" spans="1:23" x14ac:dyDescent="0.2">
      <c r="A1362"/>
      <c r="B1362"/>
      <c r="C1362"/>
      <c r="D1362"/>
      <c r="E1362"/>
      <c r="F1362"/>
      <c r="G1362"/>
      <c r="H1362"/>
      <c r="I1362"/>
      <c r="J1362"/>
      <c r="K1362" s="13" t="s">
        <v>111</v>
      </c>
      <c r="L1362" s="13" t="s">
        <v>391</v>
      </c>
      <c r="M1362" s="13" t="s">
        <v>358</v>
      </c>
      <c r="N1362" s="15">
        <v>0</v>
      </c>
      <c r="O1362" s="16">
        <v>0</v>
      </c>
      <c r="P1362" s="17">
        <v>2181.2944999710789</v>
      </c>
      <c r="Q1362" s="17">
        <v>0</v>
      </c>
      <c r="R1362" s="13"/>
      <c r="S1362" s="13"/>
      <c r="T1362" s="13"/>
      <c r="U1362" s="13"/>
      <c r="V1362" s="13"/>
      <c r="W1362" s="13"/>
    </row>
    <row r="1363" spans="1:23" x14ac:dyDescent="0.2">
      <c r="A1363"/>
      <c r="B1363"/>
      <c r="C1363"/>
      <c r="D1363"/>
      <c r="E1363"/>
      <c r="F1363"/>
      <c r="G1363"/>
      <c r="H1363"/>
      <c r="I1363"/>
      <c r="J1363"/>
      <c r="K1363" s="13" t="s">
        <v>111</v>
      </c>
      <c r="L1363" s="13" t="s">
        <v>436</v>
      </c>
      <c r="M1363" s="13" t="s">
        <v>487</v>
      </c>
      <c r="N1363" s="15">
        <v>0</v>
      </c>
      <c r="O1363" s="16">
        <v>0</v>
      </c>
      <c r="P1363" s="17">
        <v>958.28349997263626</v>
      </c>
      <c r="Q1363" s="17">
        <v>0</v>
      </c>
      <c r="R1363" s="13"/>
      <c r="S1363" s="13"/>
      <c r="T1363" s="13"/>
      <c r="U1363" s="13"/>
      <c r="V1363" s="13"/>
      <c r="W1363" s="13"/>
    </row>
    <row r="1364" spans="1:23" x14ac:dyDescent="0.2">
      <c r="A1364"/>
      <c r="B1364"/>
      <c r="C1364"/>
      <c r="D1364"/>
      <c r="E1364"/>
      <c r="F1364"/>
      <c r="G1364"/>
      <c r="H1364"/>
      <c r="I1364"/>
      <c r="J1364"/>
      <c r="K1364" s="13" t="s">
        <v>111</v>
      </c>
      <c r="L1364" s="13" t="s">
        <v>401</v>
      </c>
      <c r="M1364" s="13" t="s">
        <v>360</v>
      </c>
      <c r="N1364" s="15">
        <v>0</v>
      </c>
      <c r="O1364" s="16">
        <v>0</v>
      </c>
      <c r="P1364" s="17">
        <v>5023.9803499139898</v>
      </c>
      <c r="Q1364" s="17">
        <v>0</v>
      </c>
      <c r="R1364" s="13"/>
      <c r="S1364" s="13"/>
      <c r="T1364" s="13"/>
      <c r="U1364" s="13"/>
      <c r="V1364" s="13"/>
      <c r="W1364" s="13"/>
    </row>
    <row r="1365" spans="1:23" x14ac:dyDescent="0.2">
      <c r="A1365"/>
      <c r="B1365"/>
      <c r="C1365"/>
      <c r="D1365"/>
      <c r="E1365"/>
      <c r="F1365"/>
      <c r="G1365"/>
      <c r="H1365"/>
      <c r="I1365"/>
      <c r="J1365"/>
      <c r="K1365" s="13" t="s">
        <v>111</v>
      </c>
      <c r="L1365" s="13" t="s">
        <v>473</v>
      </c>
      <c r="M1365" s="13" t="s">
        <v>474</v>
      </c>
      <c r="N1365" s="15">
        <v>0</v>
      </c>
      <c r="O1365" s="16">
        <v>0</v>
      </c>
      <c r="P1365" s="17">
        <v>13537.174108348656</v>
      </c>
      <c r="Q1365" s="17">
        <v>0</v>
      </c>
      <c r="R1365" s="13"/>
      <c r="S1365" s="13"/>
      <c r="T1365" s="13"/>
      <c r="U1365" s="13"/>
      <c r="V1365" s="13"/>
      <c r="W1365" s="13"/>
    </row>
    <row r="1366" spans="1:23" x14ac:dyDescent="0.2">
      <c r="A1366"/>
      <c r="B1366"/>
      <c r="C1366"/>
      <c r="D1366"/>
      <c r="E1366"/>
      <c r="F1366"/>
      <c r="G1366"/>
      <c r="H1366"/>
      <c r="I1366"/>
      <c r="J1366"/>
      <c r="K1366" s="13" t="s">
        <v>111</v>
      </c>
      <c r="L1366" s="13" t="s">
        <v>448</v>
      </c>
      <c r="M1366" s="13" t="s">
        <v>366</v>
      </c>
      <c r="N1366" s="15">
        <v>0</v>
      </c>
      <c r="O1366" s="16">
        <v>0</v>
      </c>
      <c r="P1366" s="17">
        <v>5099.6102999837258</v>
      </c>
      <c r="Q1366" s="17">
        <v>0</v>
      </c>
      <c r="R1366" s="13"/>
      <c r="S1366" s="13"/>
      <c r="T1366" s="13"/>
      <c r="U1366" s="13"/>
      <c r="V1366" s="13"/>
      <c r="W1366" s="13"/>
    </row>
    <row r="1367" spans="1:23" x14ac:dyDescent="0.2">
      <c r="A1367"/>
      <c r="B1367"/>
      <c r="C1367"/>
      <c r="D1367"/>
      <c r="E1367"/>
      <c r="F1367"/>
      <c r="G1367"/>
      <c r="H1367"/>
      <c r="I1367"/>
      <c r="J1367"/>
      <c r="K1367" s="13" t="s">
        <v>111</v>
      </c>
      <c r="L1367" s="13" t="s">
        <v>462</v>
      </c>
      <c r="M1367" s="13" t="s">
        <v>370</v>
      </c>
      <c r="N1367" s="15">
        <v>0</v>
      </c>
      <c r="O1367" s="16">
        <v>0</v>
      </c>
      <c r="P1367" s="17">
        <v>64.66370000405405</v>
      </c>
      <c r="Q1367" s="17">
        <v>0</v>
      </c>
      <c r="R1367" s="13"/>
      <c r="S1367" s="13"/>
      <c r="T1367" s="13"/>
      <c r="U1367" s="13"/>
      <c r="V1367" s="13"/>
      <c r="W1367" s="13"/>
    </row>
    <row r="1368" spans="1:23" x14ac:dyDescent="0.2">
      <c r="A1368"/>
      <c r="B1368"/>
      <c r="C1368"/>
      <c r="D1368"/>
      <c r="E1368"/>
      <c r="F1368"/>
      <c r="G1368"/>
      <c r="H1368"/>
      <c r="I1368"/>
      <c r="J1368"/>
      <c r="K1368" s="13" t="s">
        <v>111</v>
      </c>
      <c r="L1368" s="13" t="s">
        <v>456</v>
      </c>
      <c r="M1368" s="13" t="s">
        <v>457</v>
      </c>
      <c r="N1368" s="15">
        <v>0</v>
      </c>
      <c r="O1368" s="16">
        <v>0</v>
      </c>
      <c r="P1368" s="17">
        <v>16115.365399807364</v>
      </c>
      <c r="Q1368" s="17">
        <v>0</v>
      </c>
      <c r="R1368" s="13"/>
      <c r="S1368" s="13"/>
      <c r="T1368" s="13"/>
      <c r="U1368" s="13"/>
      <c r="V1368" s="13"/>
      <c r="W1368" s="13"/>
    </row>
    <row r="1369" spans="1:23" x14ac:dyDescent="0.2">
      <c r="A1369"/>
      <c r="B1369"/>
      <c r="C1369"/>
      <c r="D1369"/>
      <c r="E1369"/>
      <c r="F1369"/>
      <c r="G1369"/>
      <c r="H1369"/>
      <c r="I1369"/>
      <c r="J1369"/>
      <c r="K1369" s="13" t="s">
        <v>111</v>
      </c>
      <c r="L1369" s="13" t="s">
        <v>451</v>
      </c>
      <c r="M1369" s="13" t="s">
        <v>369</v>
      </c>
      <c r="N1369" s="15">
        <v>0</v>
      </c>
      <c r="O1369" s="16">
        <v>0</v>
      </c>
      <c r="P1369" s="17">
        <v>101004.83358664607</v>
      </c>
      <c r="Q1369" s="17">
        <v>0</v>
      </c>
      <c r="R1369" s="13"/>
      <c r="S1369" s="13"/>
      <c r="T1369" s="13"/>
      <c r="U1369" s="13"/>
      <c r="V1369" s="13"/>
      <c r="W1369" s="13"/>
    </row>
    <row r="1370" spans="1:23" x14ac:dyDescent="0.2">
      <c r="A1370"/>
      <c r="B1370"/>
      <c r="C1370"/>
      <c r="D1370"/>
      <c r="E1370"/>
      <c r="F1370"/>
      <c r="G1370"/>
      <c r="H1370"/>
      <c r="I1370"/>
      <c r="J1370"/>
      <c r="K1370" s="13" t="s">
        <v>111</v>
      </c>
      <c r="L1370" s="13" t="s">
        <v>381</v>
      </c>
      <c r="M1370" s="13" t="s">
        <v>382</v>
      </c>
      <c r="N1370" s="15">
        <v>68</v>
      </c>
      <c r="O1370" s="16">
        <v>0</v>
      </c>
      <c r="P1370" s="17">
        <v>0</v>
      </c>
      <c r="Q1370" s="17">
        <v>0</v>
      </c>
      <c r="R1370" s="13"/>
      <c r="S1370" s="13"/>
      <c r="T1370" s="13"/>
      <c r="U1370" s="13"/>
      <c r="V1370" s="13"/>
      <c r="W1370" s="13"/>
    </row>
    <row r="1371" spans="1:23" x14ac:dyDescent="0.2">
      <c r="A1371"/>
      <c r="B1371"/>
      <c r="C1371"/>
      <c r="D1371"/>
      <c r="E1371"/>
      <c r="F1371"/>
      <c r="G1371"/>
      <c r="H1371"/>
      <c r="I1371"/>
      <c r="J1371"/>
      <c r="K1371" s="13" t="s">
        <v>111</v>
      </c>
      <c r="L1371" s="13" t="s">
        <v>471</v>
      </c>
      <c r="M1371" s="13" t="s">
        <v>472</v>
      </c>
      <c r="N1371" s="15">
        <v>0</v>
      </c>
      <c r="O1371" s="16">
        <v>0</v>
      </c>
      <c r="P1371" s="17">
        <v>57886.369428659229</v>
      </c>
      <c r="Q1371" s="17">
        <v>0</v>
      </c>
      <c r="R1371" s="13"/>
      <c r="S1371" s="13"/>
      <c r="T1371" s="13"/>
      <c r="U1371" s="13"/>
      <c r="V1371" s="13"/>
      <c r="W1371" s="13"/>
    </row>
    <row r="1372" spans="1:23" x14ac:dyDescent="0.2">
      <c r="A1372"/>
      <c r="B1372"/>
      <c r="C1372"/>
      <c r="D1372"/>
      <c r="E1372"/>
      <c r="F1372"/>
      <c r="G1372"/>
      <c r="H1372"/>
      <c r="I1372"/>
      <c r="J1372"/>
      <c r="K1372" s="13" t="s">
        <v>111</v>
      </c>
      <c r="L1372" s="13" t="s">
        <v>411</v>
      </c>
      <c r="M1372" s="13" t="s">
        <v>362</v>
      </c>
      <c r="N1372" s="15">
        <v>4</v>
      </c>
      <c r="O1372" s="16">
        <v>0</v>
      </c>
      <c r="P1372" s="17">
        <v>0</v>
      </c>
      <c r="Q1372" s="17">
        <v>0</v>
      </c>
      <c r="R1372" s="13"/>
      <c r="S1372" s="13"/>
      <c r="T1372" s="13"/>
      <c r="U1372" s="13"/>
      <c r="V1372" s="13"/>
      <c r="W1372" s="13"/>
    </row>
    <row r="1373" spans="1:23" x14ac:dyDescent="0.2">
      <c r="A1373"/>
      <c r="B1373"/>
      <c r="C1373"/>
      <c r="D1373"/>
      <c r="E1373"/>
      <c r="F1373"/>
      <c r="G1373"/>
      <c r="H1373"/>
      <c r="I1373"/>
      <c r="J1373"/>
      <c r="K1373" s="13" t="s">
        <v>111</v>
      </c>
      <c r="L1373" s="13" t="s">
        <v>413</v>
      </c>
      <c r="M1373" s="13" t="s">
        <v>428</v>
      </c>
      <c r="N1373" s="15">
        <v>2</v>
      </c>
      <c r="O1373" s="16">
        <v>0</v>
      </c>
      <c r="P1373" s="17">
        <v>0</v>
      </c>
      <c r="Q1373" s="17">
        <v>0</v>
      </c>
      <c r="R1373" s="13"/>
      <c r="S1373" s="13"/>
      <c r="T1373" s="13"/>
      <c r="U1373" s="13"/>
      <c r="V1373" s="13"/>
      <c r="W1373" s="13"/>
    </row>
    <row r="1374" spans="1:23" x14ac:dyDescent="0.2">
      <c r="A1374"/>
      <c r="B1374"/>
      <c r="C1374"/>
      <c r="D1374"/>
      <c r="E1374"/>
      <c r="F1374"/>
      <c r="G1374"/>
      <c r="H1374"/>
      <c r="I1374"/>
      <c r="J1374"/>
      <c r="K1374" s="13" t="s">
        <v>111</v>
      </c>
      <c r="L1374" s="13" t="s">
        <v>475</v>
      </c>
      <c r="M1374" s="13" t="s">
        <v>470</v>
      </c>
      <c r="N1374" s="15">
        <v>1</v>
      </c>
      <c r="O1374" s="16">
        <v>0</v>
      </c>
      <c r="P1374" s="17">
        <v>0</v>
      </c>
      <c r="Q1374" s="17">
        <v>0</v>
      </c>
      <c r="R1374" s="13"/>
      <c r="S1374" s="13"/>
      <c r="T1374" s="13"/>
      <c r="U1374" s="13"/>
      <c r="V1374" s="13"/>
      <c r="W1374" s="13"/>
    </row>
    <row r="1375" spans="1:23" x14ac:dyDescent="0.2">
      <c r="A1375"/>
      <c r="B1375"/>
      <c r="C1375"/>
      <c r="D1375"/>
      <c r="E1375"/>
      <c r="F1375"/>
      <c r="G1375"/>
      <c r="H1375"/>
      <c r="I1375"/>
      <c r="J1375"/>
      <c r="K1375" s="13" t="s">
        <v>111</v>
      </c>
      <c r="L1375" s="13" t="s">
        <v>605</v>
      </c>
      <c r="M1375" s="13" t="s">
        <v>429</v>
      </c>
      <c r="N1375" s="15">
        <v>1</v>
      </c>
      <c r="O1375" s="16">
        <v>0</v>
      </c>
      <c r="P1375" s="17">
        <v>0</v>
      </c>
      <c r="Q1375" s="17">
        <v>0</v>
      </c>
      <c r="R1375" s="13"/>
      <c r="S1375" s="13"/>
      <c r="T1375" s="13"/>
      <c r="U1375" s="13"/>
      <c r="V1375" s="13"/>
      <c r="W1375" s="13"/>
    </row>
    <row r="1376" spans="1:23" x14ac:dyDescent="0.2">
      <c r="A1376"/>
      <c r="B1376"/>
      <c r="C1376"/>
      <c r="D1376"/>
      <c r="E1376"/>
      <c r="F1376"/>
      <c r="G1376"/>
      <c r="H1376"/>
      <c r="I1376"/>
      <c r="J1376"/>
      <c r="K1376" s="13" t="s">
        <v>111</v>
      </c>
      <c r="L1376" s="13" t="s">
        <v>606</v>
      </c>
      <c r="M1376" s="13" t="s">
        <v>430</v>
      </c>
      <c r="N1376" s="15">
        <v>11</v>
      </c>
      <c r="O1376" s="16">
        <v>0</v>
      </c>
      <c r="P1376" s="17">
        <v>0</v>
      </c>
      <c r="Q1376" s="17">
        <v>0</v>
      </c>
      <c r="R1376" s="13"/>
      <c r="S1376" s="13"/>
      <c r="T1376" s="13"/>
      <c r="U1376" s="13"/>
      <c r="V1376" s="13"/>
      <c r="W1376" s="13"/>
    </row>
    <row r="1377" spans="1:23" x14ac:dyDescent="0.2">
      <c r="A1377"/>
      <c r="B1377"/>
      <c r="C1377"/>
      <c r="D1377"/>
      <c r="E1377"/>
      <c r="F1377"/>
      <c r="G1377"/>
      <c r="H1377"/>
      <c r="I1377"/>
      <c r="J1377"/>
      <c r="K1377" s="13" t="s">
        <v>111</v>
      </c>
      <c r="L1377" s="13" t="s">
        <v>607</v>
      </c>
      <c r="M1377" s="13" t="s">
        <v>431</v>
      </c>
      <c r="N1377" s="15">
        <v>6</v>
      </c>
      <c r="O1377" s="16">
        <v>0</v>
      </c>
      <c r="P1377" s="17">
        <v>0</v>
      </c>
      <c r="Q1377" s="17">
        <v>0</v>
      </c>
      <c r="R1377" s="13"/>
      <c r="S1377" s="13"/>
      <c r="T1377" s="13"/>
      <c r="U1377" s="13"/>
      <c r="V1377" s="13"/>
      <c r="W1377" s="13"/>
    </row>
    <row r="1378" spans="1:23" x14ac:dyDescent="0.2">
      <c r="A1378"/>
      <c r="B1378"/>
      <c r="C1378"/>
      <c r="D1378"/>
      <c r="E1378"/>
      <c r="F1378"/>
      <c r="G1378"/>
      <c r="H1378"/>
      <c r="I1378"/>
      <c r="J1378"/>
      <c r="K1378" s="13" t="s">
        <v>111</v>
      </c>
      <c r="L1378" s="13" t="s">
        <v>608</v>
      </c>
      <c r="M1378" s="13" t="s">
        <v>432</v>
      </c>
      <c r="N1378" s="15">
        <v>28</v>
      </c>
      <c r="O1378" s="16">
        <v>0</v>
      </c>
      <c r="P1378" s="17">
        <v>0</v>
      </c>
      <c r="Q1378" s="17">
        <v>0</v>
      </c>
      <c r="R1378" s="13"/>
      <c r="S1378" s="13"/>
      <c r="T1378" s="13"/>
      <c r="U1378" s="13"/>
      <c r="V1378" s="13"/>
      <c r="W1378" s="13"/>
    </row>
    <row r="1379" spans="1:23" x14ac:dyDescent="0.2">
      <c r="A1379"/>
      <c r="B1379"/>
      <c r="C1379"/>
      <c r="D1379"/>
      <c r="E1379"/>
      <c r="F1379"/>
      <c r="G1379"/>
      <c r="H1379"/>
      <c r="I1379"/>
      <c r="J1379"/>
      <c r="K1379" s="13" t="s">
        <v>111</v>
      </c>
      <c r="L1379" s="13" t="s">
        <v>615</v>
      </c>
      <c r="M1379" s="13" t="s">
        <v>449</v>
      </c>
      <c r="N1379" s="15">
        <v>1</v>
      </c>
      <c r="O1379" s="16">
        <v>0</v>
      </c>
      <c r="P1379" s="17">
        <v>0</v>
      </c>
      <c r="Q1379" s="17">
        <v>0</v>
      </c>
      <c r="R1379" s="13"/>
      <c r="S1379" s="13"/>
      <c r="T1379" s="13"/>
      <c r="U1379" s="13"/>
      <c r="V1379" s="13"/>
      <c r="W1379" s="13"/>
    </row>
    <row r="1380" spans="1:23" x14ac:dyDescent="0.2">
      <c r="A1380"/>
      <c r="B1380"/>
      <c r="C1380"/>
      <c r="D1380"/>
      <c r="E1380"/>
      <c r="F1380"/>
      <c r="G1380"/>
      <c r="H1380"/>
      <c r="I1380"/>
      <c r="J1380"/>
      <c r="K1380" s="13" t="s">
        <v>111</v>
      </c>
      <c r="L1380" s="13" t="s">
        <v>415</v>
      </c>
      <c r="M1380" s="13" t="s">
        <v>412</v>
      </c>
      <c r="N1380" s="15">
        <v>0</v>
      </c>
      <c r="O1380" s="16">
        <v>0</v>
      </c>
      <c r="P1380" s="17">
        <v>0.90009999991869549</v>
      </c>
      <c r="Q1380" s="17">
        <v>0</v>
      </c>
      <c r="R1380" s="13"/>
      <c r="S1380" s="13"/>
      <c r="T1380" s="13"/>
      <c r="U1380" s="13"/>
      <c r="V1380" s="13"/>
      <c r="W1380" s="13"/>
    </row>
    <row r="1381" spans="1:23" x14ac:dyDescent="0.2">
      <c r="A1381"/>
      <c r="B1381"/>
      <c r="C1381"/>
      <c r="D1381"/>
      <c r="E1381"/>
      <c r="F1381"/>
      <c r="G1381"/>
      <c r="H1381"/>
      <c r="I1381"/>
      <c r="J1381"/>
      <c r="K1381" s="13" t="s">
        <v>111</v>
      </c>
      <c r="L1381" s="13" t="s">
        <v>421</v>
      </c>
      <c r="M1381" s="13" t="s">
        <v>443</v>
      </c>
      <c r="N1381" s="15">
        <v>3</v>
      </c>
      <c r="O1381" s="16">
        <v>0</v>
      </c>
      <c r="P1381" s="17">
        <v>0</v>
      </c>
      <c r="Q1381" s="17">
        <v>0</v>
      </c>
      <c r="R1381" s="13"/>
      <c r="S1381" s="13"/>
      <c r="T1381" s="13"/>
      <c r="U1381" s="13"/>
      <c r="V1381" s="13"/>
      <c r="W1381" s="13"/>
    </row>
    <row r="1382" spans="1:23" x14ac:dyDescent="0.2">
      <c r="A1382"/>
      <c r="B1382"/>
      <c r="C1382"/>
      <c r="D1382"/>
      <c r="E1382"/>
      <c r="F1382"/>
      <c r="G1382"/>
      <c r="H1382"/>
      <c r="I1382"/>
      <c r="J1382"/>
      <c r="K1382" s="13" t="s">
        <v>111</v>
      </c>
      <c r="L1382" s="13" t="s">
        <v>383</v>
      </c>
      <c r="M1382" s="13" t="s">
        <v>420</v>
      </c>
      <c r="N1382" s="15">
        <v>5</v>
      </c>
      <c r="O1382" s="16">
        <v>0</v>
      </c>
      <c r="P1382" s="17">
        <v>0</v>
      </c>
      <c r="Q1382" s="17">
        <v>0</v>
      </c>
      <c r="R1382" s="13"/>
      <c r="S1382" s="13"/>
      <c r="T1382" s="13"/>
      <c r="U1382" s="13"/>
      <c r="V1382" s="13"/>
      <c r="W1382" s="13"/>
    </row>
    <row r="1383" spans="1:23" x14ac:dyDescent="0.2">
      <c r="A1383"/>
      <c r="B1383"/>
      <c r="C1383"/>
      <c r="D1383"/>
      <c r="E1383"/>
      <c r="F1383"/>
      <c r="G1383"/>
      <c r="H1383"/>
      <c r="I1383"/>
      <c r="J1383"/>
      <c r="K1383" s="13" t="s">
        <v>111</v>
      </c>
      <c r="L1383" s="13" t="s">
        <v>467</v>
      </c>
      <c r="M1383" s="13" t="s">
        <v>422</v>
      </c>
      <c r="N1383" s="15">
        <v>0</v>
      </c>
      <c r="O1383" s="16">
        <v>2.3905429967744891</v>
      </c>
      <c r="P1383" s="17">
        <v>0</v>
      </c>
      <c r="Q1383" s="17">
        <v>0</v>
      </c>
      <c r="R1383" s="13"/>
      <c r="S1383" s="13"/>
      <c r="T1383" s="13"/>
      <c r="U1383" s="13"/>
      <c r="V1383" s="13"/>
      <c r="W1383" s="13"/>
    </row>
    <row r="1384" spans="1:23" x14ac:dyDescent="0.2">
      <c r="A1384"/>
      <c r="B1384"/>
      <c r="C1384"/>
      <c r="D1384"/>
      <c r="E1384"/>
      <c r="F1384"/>
      <c r="G1384"/>
      <c r="H1384"/>
      <c r="I1384"/>
      <c r="J1384"/>
      <c r="K1384" s="13" t="s">
        <v>111</v>
      </c>
      <c r="L1384" s="13" t="s">
        <v>458</v>
      </c>
      <c r="M1384" s="13" t="s">
        <v>459</v>
      </c>
      <c r="N1384" s="15">
        <v>0</v>
      </c>
      <c r="O1384" s="16">
        <v>0</v>
      </c>
      <c r="P1384" s="17">
        <v>20094.312599728793</v>
      </c>
      <c r="Q1384" s="17">
        <v>0</v>
      </c>
      <c r="R1384" s="13"/>
      <c r="S1384" s="13"/>
      <c r="T1384" s="13"/>
      <c r="U1384" s="13"/>
      <c r="V1384" s="13"/>
      <c r="W1384" s="13"/>
    </row>
    <row r="1385" spans="1:23" x14ac:dyDescent="0.2">
      <c r="A1385"/>
      <c r="B1385"/>
      <c r="C1385"/>
      <c r="D1385"/>
      <c r="E1385"/>
      <c r="F1385"/>
      <c r="G1385"/>
      <c r="H1385"/>
      <c r="I1385"/>
      <c r="J1385"/>
      <c r="K1385" s="13" t="s">
        <v>111</v>
      </c>
      <c r="L1385" s="13" t="s">
        <v>464</v>
      </c>
      <c r="M1385" s="13" t="s">
        <v>373</v>
      </c>
      <c r="N1385" s="15">
        <v>0</v>
      </c>
      <c r="O1385" s="16">
        <v>155.40834676926966</v>
      </c>
      <c r="P1385" s="17">
        <v>0</v>
      </c>
      <c r="Q1385" s="17">
        <v>0</v>
      </c>
      <c r="R1385" s="13"/>
      <c r="S1385" s="13"/>
      <c r="T1385" s="13"/>
      <c r="U1385" s="13"/>
      <c r="V1385" s="13"/>
      <c r="W1385" s="13"/>
    </row>
    <row r="1386" spans="1:23" x14ac:dyDescent="0.2">
      <c r="A1386"/>
      <c r="B1386"/>
      <c r="C1386"/>
      <c r="D1386"/>
      <c r="E1386"/>
      <c r="F1386"/>
      <c r="G1386"/>
      <c r="H1386"/>
      <c r="I1386"/>
      <c r="J1386"/>
      <c r="K1386" s="13" t="s">
        <v>577</v>
      </c>
      <c r="L1386" s="13" t="s">
        <v>435</v>
      </c>
      <c r="M1386" s="13" t="s">
        <v>364</v>
      </c>
      <c r="N1386" s="15">
        <v>0</v>
      </c>
      <c r="O1386" s="16">
        <v>0</v>
      </c>
      <c r="P1386" s="17">
        <v>5.5457999994816953</v>
      </c>
      <c r="Q1386" s="17">
        <v>0</v>
      </c>
      <c r="R1386" s="13"/>
      <c r="S1386" s="13"/>
      <c r="T1386" s="13"/>
      <c r="U1386" s="13"/>
      <c r="V1386" s="13"/>
      <c r="W1386" s="13"/>
    </row>
    <row r="1387" spans="1:23" x14ac:dyDescent="0.2">
      <c r="A1387"/>
      <c r="B1387"/>
      <c r="C1387"/>
      <c r="D1387"/>
      <c r="E1387"/>
      <c r="F1387"/>
      <c r="G1387"/>
      <c r="H1387"/>
      <c r="I1387"/>
      <c r="J1387"/>
      <c r="K1387" s="13" t="s">
        <v>577</v>
      </c>
      <c r="L1387" s="13" t="s">
        <v>389</v>
      </c>
      <c r="M1387" s="13" t="s">
        <v>388</v>
      </c>
      <c r="N1387" s="15">
        <v>0</v>
      </c>
      <c r="O1387" s="16">
        <v>0</v>
      </c>
      <c r="P1387" s="17">
        <v>4.2832500007004697</v>
      </c>
      <c r="Q1387" s="17">
        <v>0</v>
      </c>
      <c r="R1387" s="13"/>
      <c r="S1387" s="13"/>
      <c r="T1387" s="13"/>
      <c r="U1387" s="13"/>
      <c r="V1387" s="13"/>
      <c r="W1387" s="13"/>
    </row>
    <row r="1388" spans="1:23" x14ac:dyDescent="0.2">
      <c r="A1388"/>
      <c r="B1388"/>
      <c r="C1388"/>
      <c r="D1388"/>
      <c r="E1388"/>
      <c r="F1388"/>
      <c r="G1388"/>
      <c r="H1388"/>
      <c r="I1388"/>
      <c r="J1388"/>
      <c r="K1388" s="13" t="s">
        <v>577</v>
      </c>
      <c r="L1388" s="13" t="s">
        <v>391</v>
      </c>
      <c r="M1388" s="13" t="s">
        <v>358</v>
      </c>
      <c r="N1388" s="15">
        <v>0</v>
      </c>
      <c r="O1388" s="16">
        <v>0</v>
      </c>
      <c r="P1388" s="17">
        <v>82.500100006624194</v>
      </c>
      <c r="Q1388" s="17">
        <v>0</v>
      </c>
      <c r="R1388" s="13"/>
      <c r="S1388" s="13"/>
      <c r="T1388" s="13"/>
      <c r="U1388" s="13"/>
      <c r="V1388" s="13"/>
      <c r="W1388" s="13"/>
    </row>
    <row r="1389" spans="1:23" x14ac:dyDescent="0.2">
      <c r="A1389"/>
      <c r="B1389"/>
      <c r="C1389"/>
      <c r="D1389"/>
      <c r="E1389"/>
      <c r="F1389"/>
      <c r="G1389"/>
      <c r="H1389"/>
      <c r="I1389"/>
      <c r="J1389"/>
      <c r="K1389" s="13" t="s">
        <v>577</v>
      </c>
      <c r="L1389" s="13" t="s">
        <v>399</v>
      </c>
      <c r="M1389" s="13" t="s">
        <v>400</v>
      </c>
      <c r="N1389" s="15">
        <v>0</v>
      </c>
      <c r="O1389" s="16">
        <v>0</v>
      </c>
      <c r="P1389" s="17">
        <v>842.24810003063772</v>
      </c>
      <c r="Q1389" s="17">
        <v>0</v>
      </c>
      <c r="R1389" s="13"/>
      <c r="S1389" s="13"/>
      <c r="T1389" s="13"/>
      <c r="U1389" s="13"/>
      <c r="V1389" s="13"/>
      <c r="W1389" s="13"/>
    </row>
    <row r="1390" spans="1:23" x14ac:dyDescent="0.2">
      <c r="A1390"/>
      <c r="B1390"/>
      <c r="C1390"/>
      <c r="D1390"/>
      <c r="E1390"/>
      <c r="F1390"/>
      <c r="G1390"/>
      <c r="H1390"/>
      <c r="I1390"/>
      <c r="J1390"/>
      <c r="K1390" s="13" t="s">
        <v>577</v>
      </c>
      <c r="L1390" s="13" t="s">
        <v>402</v>
      </c>
      <c r="M1390" s="13" t="s">
        <v>403</v>
      </c>
      <c r="N1390" s="15">
        <v>0</v>
      </c>
      <c r="O1390" s="16">
        <v>0</v>
      </c>
      <c r="P1390" s="17">
        <v>1570.7994499730214</v>
      </c>
      <c r="Q1390" s="17">
        <v>0</v>
      </c>
      <c r="R1390" s="13"/>
      <c r="S1390" s="13"/>
      <c r="T1390" s="13"/>
      <c r="U1390" s="13"/>
      <c r="V1390" s="13"/>
      <c r="W1390" s="13"/>
    </row>
    <row r="1391" spans="1:23" x14ac:dyDescent="0.2">
      <c r="A1391"/>
      <c r="B1391"/>
      <c r="C1391"/>
      <c r="D1391"/>
      <c r="E1391"/>
      <c r="F1391"/>
      <c r="G1391"/>
      <c r="H1391"/>
      <c r="I1391"/>
      <c r="J1391"/>
      <c r="K1391" s="13" t="s">
        <v>577</v>
      </c>
      <c r="L1391" s="13" t="s">
        <v>404</v>
      </c>
      <c r="M1391" s="13" t="s">
        <v>405</v>
      </c>
      <c r="N1391" s="15">
        <v>0</v>
      </c>
      <c r="O1391" s="16">
        <v>0</v>
      </c>
      <c r="P1391" s="17">
        <v>53.25584999428149</v>
      </c>
      <c r="Q1391" s="17">
        <v>178.44504440404282</v>
      </c>
      <c r="R1391" s="13"/>
      <c r="S1391" s="13"/>
      <c r="T1391" s="13"/>
      <c r="U1391" s="13"/>
      <c r="V1391" s="13"/>
      <c r="W1391" s="13"/>
    </row>
    <row r="1392" spans="1:23" x14ac:dyDescent="0.2">
      <c r="A1392"/>
      <c r="B1392"/>
      <c r="C1392"/>
      <c r="D1392"/>
      <c r="E1392"/>
      <c r="F1392"/>
      <c r="G1392"/>
      <c r="H1392"/>
      <c r="I1392"/>
      <c r="J1392"/>
      <c r="K1392" s="13" t="s">
        <v>577</v>
      </c>
      <c r="L1392" s="13" t="s">
        <v>451</v>
      </c>
      <c r="M1392" s="13" t="s">
        <v>369</v>
      </c>
      <c r="N1392" s="15">
        <v>0</v>
      </c>
      <c r="O1392" s="16">
        <v>0</v>
      </c>
      <c r="P1392" s="17">
        <v>2553.086750005265</v>
      </c>
      <c r="Q1392" s="17">
        <v>0</v>
      </c>
      <c r="R1392" s="13"/>
      <c r="S1392" s="13"/>
      <c r="T1392" s="13"/>
      <c r="U1392" s="13"/>
      <c r="V1392" s="13"/>
      <c r="W1392" s="13"/>
    </row>
    <row r="1393" spans="1:23" x14ac:dyDescent="0.2">
      <c r="A1393"/>
      <c r="B1393"/>
      <c r="C1393"/>
      <c r="D1393"/>
      <c r="E1393"/>
      <c r="F1393"/>
      <c r="G1393"/>
      <c r="H1393"/>
      <c r="I1393"/>
      <c r="J1393"/>
      <c r="K1393" s="13" t="s">
        <v>577</v>
      </c>
      <c r="L1393" s="13" t="s">
        <v>381</v>
      </c>
      <c r="M1393" s="13" t="s">
        <v>382</v>
      </c>
      <c r="N1393" s="15">
        <v>20</v>
      </c>
      <c r="O1393" s="16">
        <v>0</v>
      </c>
      <c r="P1393" s="17">
        <v>0</v>
      </c>
      <c r="Q1393" s="17">
        <v>0</v>
      </c>
      <c r="R1393" s="13"/>
      <c r="S1393" s="13"/>
      <c r="T1393" s="13"/>
      <c r="U1393" s="13"/>
      <c r="V1393" s="13"/>
      <c r="W1393" s="13"/>
    </row>
    <row r="1394" spans="1:23" x14ac:dyDescent="0.2">
      <c r="A1394"/>
      <c r="B1394"/>
      <c r="C1394"/>
      <c r="D1394"/>
      <c r="E1394"/>
      <c r="F1394"/>
      <c r="G1394"/>
      <c r="H1394"/>
      <c r="I1394"/>
      <c r="J1394"/>
      <c r="K1394" s="13" t="s">
        <v>577</v>
      </c>
      <c r="L1394" s="13" t="s">
        <v>407</v>
      </c>
      <c r="M1394" s="13" t="s">
        <v>408</v>
      </c>
      <c r="N1394" s="15">
        <v>5</v>
      </c>
      <c r="O1394" s="16">
        <v>0</v>
      </c>
      <c r="P1394" s="17">
        <v>0</v>
      </c>
      <c r="Q1394" s="17">
        <v>0</v>
      </c>
      <c r="R1394" s="13"/>
      <c r="S1394" s="13"/>
      <c r="T1394" s="13"/>
      <c r="U1394" s="13"/>
      <c r="V1394" s="13"/>
      <c r="W1394" s="13"/>
    </row>
    <row r="1395" spans="1:23" x14ac:dyDescent="0.2">
      <c r="A1395"/>
      <c r="B1395"/>
      <c r="C1395"/>
      <c r="D1395"/>
      <c r="E1395"/>
      <c r="F1395"/>
      <c r="G1395"/>
      <c r="H1395"/>
      <c r="I1395"/>
      <c r="J1395"/>
      <c r="K1395" s="13" t="s">
        <v>577</v>
      </c>
      <c r="L1395" s="13" t="s">
        <v>419</v>
      </c>
      <c r="M1395" s="13" t="s">
        <v>442</v>
      </c>
      <c r="N1395" s="15">
        <v>0</v>
      </c>
      <c r="O1395" s="16">
        <v>87.549116768927135</v>
      </c>
      <c r="P1395" s="17">
        <v>0</v>
      </c>
      <c r="Q1395" s="17">
        <v>0</v>
      </c>
      <c r="R1395" s="13"/>
      <c r="S1395" s="13"/>
      <c r="T1395" s="13"/>
      <c r="U1395" s="13"/>
      <c r="V1395" s="13"/>
      <c r="W1395" s="13"/>
    </row>
    <row r="1396" spans="1:23" x14ac:dyDescent="0.2">
      <c r="A1396"/>
      <c r="B1396"/>
      <c r="C1396"/>
      <c r="D1396"/>
      <c r="E1396"/>
      <c r="F1396"/>
      <c r="G1396"/>
      <c r="H1396"/>
      <c r="I1396"/>
      <c r="J1396"/>
      <c r="K1396" s="13" t="s">
        <v>577</v>
      </c>
      <c r="L1396" s="13" t="s">
        <v>421</v>
      </c>
      <c r="M1396" s="13" t="s">
        <v>443</v>
      </c>
      <c r="N1396" s="15">
        <v>2</v>
      </c>
      <c r="O1396" s="16">
        <v>0</v>
      </c>
      <c r="P1396" s="17">
        <v>0</v>
      </c>
      <c r="Q1396" s="17">
        <v>0</v>
      </c>
      <c r="R1396" s="13"/>
      <c r="S1396" s="13"/>
      <c r="T1396" s="13"/>
      <c r="U1396" s="13"/>
      <c r="V1396" s="13"/>
      <c r="W1396" s="13"/>
    </row>
    <row r="1397" spans="1:23" x14ac:dyDescent="0.2">
      <c r="A1397"/>
      <c r="B1397"/>
      <c r="C1397"/>
      <c r="D1397"/>
      <c r="E1397"/>
      <c r="F1397"/>
      <c r="G1397"/>
      <c r="H1397"/>
      <c r="I1397"/>
      <c r="J1397"/>
      <c r="K1397" s="13" t="s">
        <v>577</v>
      </c>
      <c r="L1397" s="13" t="s">
        <v>383</v>
      </c>
      <c r="M1397" s="13" t="s">
        <v>420</v>
      </c>
      <c r="N1397" s="15">
        <v>1</v>
      </c>
      <c r="O1397" s="16">
        <v>0</v>
      </c>
      <c r="P1397" s="17">
        <v>0</v>
      </c>
      <c r="Q1397" s="17">
        <v>0</v>
      </c>
      <c r="R1397" s="13"/>
      <c r="S1397" s="13"/>
      <c r="T1397" s="13"/>
      <c r="U1397" s="13"/>
      <c r="V1397" s="13"/>
      <c r="W1397" s="13"/>
    </row>
    <row r="1398" spans="1:23" x14ac:dyDescent="0.2">
      <c r="A1398"/>
      <c r="B1398"/>
      <c r="C1398"/>
      <c r="D1398"/>
      <c r="E1398"/>
      <c r="F1398"/>
      <c r="G1398"/>
      <c r="H1398"/>
      <c r="I1398"/>
      <c r="J1398"/>
      <c r="K1398" s="13" t="s">
        <v>577</v>
      </c>
      <c r="L1398" s="13" t="s">
        <v>614</v>
      </c>
      <c r="M1398" s="13" t="s">
        <v>447</v>
      </c>
      <c r="N1398" s="15">
        <v>2</v>
      </c>
      <c r="O1398" s="16">
        <v>0</v>
      </c>
      <c r="P1398" s="17">
        <v>0</v>
      </c>
      <c r="Q1398" s="17">
        <v>0</v>
      </c>
      <c r="R1398" s="13"/>
      <c r="S1398" s="13"/>
      <c r="T1398" s="13"/>
      <c r="U1398" s="13"/>
      <c r="V1398" s="13"/>
      <c r="W1398" s="13"/>
    </row>
    <row r="1399" spans="1:23" x14ac:dyDescent="0.2">
      <c r="A1399"/>
      <c r="B1399"/>
      <c r="C1399"/>
      <c r="D1399"/>
      <c r="E1399"/>
      <c r="F1399"/>
      <c r="G1399"/>
      <c r="H1399"/>
      <c r="I1399"/>
      <c r="J1399"/>
      <c r="K1399" s="13" t="s">
        <v>578</v>
      </c>
      <c r="L1399" s="13" t="s">
        <v>463</v>
      </c>
      <c r="M1399" s="13" t="s">
        <v>372</v>
      </c>
      <c r="N1399" s="15">
        <v>0</v>
      </c>
      <c r="O1399" s="16">
        <v>0</v>
      </c>
      <c r="P1399" s="17">
        <v>3367.2941499413341</v>
      </c>
      <c r="Q1399" s="17">
        <v>0</v>
      </c>
      <c r="R1399" s="13"/>
      <c r="S1399" s="13"/>
      <c r="T1399" s="13"/>
      <c r="U1399" s="13"/>
      <c r="V1399" s="13"/>
      <c r="W1399" s="13"/>
    </row>
    <row r="1400" spans="1:23" x14ac:dyDescent="0.2">
      <c r="A1400"/>
      <c r="B1400"/>
      <c r="C1400"/>
      <c r="D1400"/>
      <c r="E1400"/>
      <c r="F1400"/>
      <c r="G1400"/>
      <c r="H1400"/>
      <c r="I1400"/>
      <c r="J1400"/>
      <c r="K1400" s="13" t="s">
        <v>578</v>
      </c>
      <c r="L1400" s="13" t="s">
        <v>471</v>
      </c>
      <c r="M1400" s="13" t="s">
        <v>472</v>
      </c>
      <c r="N1400" s="15">
        <v>0</v>
      </c>
      <c r="O1400" s="16">
        <v>0</v>
      </c>
      <c r="P1400" s="17">
        <v>3367.2941499413346</v>
      </c>
      <c r="Q1400" s="17">
        <v>0</v>
      </c>
      <c r="R1400" s="13"/>
      <c r="S1400" s="13"/>
      <c r="T1400" s="13"/>
      <c r="U1400" s="13"/>
      <c r="V1400" s="13"/>
      <c r="W1400" s="13"/>
    </row>
    <row r="1401" spans="1:23" x14ac:dyDescent="0.2">
      <c r="A1401"/>
      <c r="B1401"/>
      <c r="C1401"/>
      <c r="D1401"/>
      <c r="E1401"/>
      <c r="F1401"/>
      <c r="G1401"/>
      <c r="H1401"/>
      <c r="I1401"/>
      <c r="J1401"/>
      <c r="K1401" s="13" t="s">
        <v>112</v>
      </c>
      <c r="L1401" s="13" t="s">
        <v>401</v>
      </c>
      <c r="M1401" s="13" t="s">
        <v>360</v>
      </c>
      <c r="N1401" s="15">
        <v>0</v>
      </c>
      <c r="O1401" s="16">
        <v>0</v>
      </c>
      <c r="P1401" s="17">
        <v>8544.9963999928932</v>
      </c>
      <c r="Q1401" s="17">
        <v>0</v>
      </c>
      <c r="R1401" s="13"/>
      <c r="S1401" s="13"/>
      <c r="T1401" s="13"/>
      <c r="U1401" s="13"/>
      <c r="V1401" s="13"/>
      <c r="W1401" s="13"/>
    </row>
    <row r="1402" spans="1:23" x14ac:dyDescent="0.2">
      <c r="A1402"/>
      <c r="B1402"/>
      <c r="C1402"/>
      <c r="D1402"/>
      <c r="E1402"/>
      <c r="F1402"/>
      <c r="G1402"/>
      <c r="H1402"/>
      <c r="I1402"/>
      <c r="J1402"/>
      <c r="K1402" s="13" t="s">
        <v>112</v>
      </c>
      <c r="L1402" s="13" t="s">
        <v>463</v>
      </c>
      <c r="M1402" s="13" t="s">
        <v>372</v>
      </c>
      <c r="N1402" s="15">
        <v>0</v>
      </c>
      <c r="O1402" s="16">
        <v>0</v>
      </c>
      <c r="P1402" s="17">
        <v>8544.9963999928932</v>
      </c>
      <c r="Q1402" s="17">
        <v>0</v>
      </c>
      <c r="R1402" s="13"/>
      <c r="S1402" s="13"/>
      <c r="T1402" s="13"/>
      <c r="U1402" s="13"/>
      <c r="V1402" s="13"/>
      <c r="W1402" s="13"/>
    </row>
    <row r="1403" spans="1:23" x14ac:dyDescent="0.2">
      <c r="A1403"/>
      <c r="B1403"/>
      <c r="C1403"/>
      <c r="D1403"/>
      <c r="E1403"/>
      <c r="F1403"/>
      <c r="G1403"/>
      <c r="H1403"/>
      <c r="I1403"/>
      <c r="J1403"/>
      <c r="K1403" s="13" t="s">
        <v>579</v>
      </c>
      <c r="L1403" s="13" t="s">
        <v>435</v>
      </c>
      <c r="M1403" s="13" t="s">
        <v>364</v>
      </c>
      <c r="N1403" s="15">
        <v>0</v>
      </c>
      <c r="O1403" s="16">
        <v>0</v>
      </c>
      <c r="P1403" s="17">
        <v>3.9497999962673527</v>
      </c>
      <c r="Q1403" s="17">
        <v>0</v>
      </c>
      <c r="R1403" s="13"/>
      <c r="S1403" s="13"/>
      <c r="T1403" s="13"/>
      <c r="U1403" s="13"/>
      <c r="V1403" s="13"/>
      <c r="W1403" s="13"/>
    </row>
    <row r="1404" spans="1:23" x14ac:dyDescent="0.2">
      <c r="A1404"/>
      <c r="B1404"/>
      <c r="C1404"/>
      <c r="D1404"/>
      <c r="E1404"/>
      <c r="F1404"/>
      <c r="G1404"/>
      <c r="H1404"/>
      <c r="I1404"/>
      <c r="J1404"/>
      <c r="K1404" s="13" t="s">
        <v>579</v>
      </c>
      <c r="L1404" s="13" t="s">
        <v>389</v>
      </c>
      <c r="M1404" s="13" t="s">
        <v>388</v>
      </c>
      <c r="N1404" s="15">
        <v>0</v>
      </c>
      <c r="O1404" s="16">
        <v>0</v>
      </c>
      <c r="P1404" s="17">
        <v>11.319700002864423</v>
      </c>
      <c r="Q1404" s="17">
        <v>0</v>
      </c>
      <c r="R1404" s="13"/>
      <c r="S1404" s="13"/>
      <c r="T1404" s="13"/>
      <c r="U1404" s="13"/>
      <c r="V1404" s="13"/>
      <c r="W1404" s="13"/>
    </row>
    <row r="1405" spans="1:23" x14ac:dyDescent="0.2">
      <c r="A1405"/>
      <c r="B1405"/>
      <c r="C1405"/>
      <c r="D1405"/>
      <c r="E1405"/>
      <c r="F1405"/>
      <c r="G1405"/>
      <c r="H1405"/>
      <c r="I1405"/>
      <c r="J1405"/>
      <c r="K1405" s="13" t="s">
        <v>579</v>
      </c>
      <c r="L1405" s="13" t="s">
        <v>391</v>
      </c>
      <c r="M1405" s="13" t="s">
        <v>358</v>
      </c>
      <c r="N1405" s="15">
        <v>0</v>
      </c>
      <c r="O1405" s="16">
        <v>0</v>
      </c>
      <c r="P1405" s="17">
        <v>140.09325000080466</v>
      </c>
      <c r="Q1405" s="17">
        <v>0</v>
      </c>
      <c r="R1405" s="13"/>
      <c r="S1405" s="13"/>
      <c r="T1405" s="13"/>
      <c r="U1405" s="13"/>
      <c r="V1405" s="13"/>
      <c r="W1405" s="13"/>
    </row>
    <row r="1406" spans="1:23" x14ac:dyDescent="0.2">
      <c r="A1406"/>
      <c r="B1406"/>
      <c r="C1406"/>
      <c r="D1406"/>
      <c r="E1406"/>
      <c r="F1406"/>
      <c r="G1406"/>
      <c r="H1406"/>
      <c r="I1406"/>
      <c r="J1406"/>
      <c r="K1406" s="13" t="s">
        <v>579</v>
      </c>
      <c r="L1406" s="13" t="s">
        <v>394</v>
      </c>
      <c r="M1406" s="13" t="s">
        <v>359</v>
      </c>
      <c r="N1406" s="15">
        <v>0</v>
      </c>
      <c r="O1406" s="16">
        <v>0</v>
      </c>
      <c r="P1406" s="17">
        <v>1.8847000029109884</v>
      </c>
      <c r="Q1406" s="17">
        <v>0</v>
      </c>
      <c r="R1406" s="13"/>
      <c r="S1406" s="13"/>
      <c r="T1406" s="13"/>
      <c r="U1406" s="13"/>
      <c r="V1406" s="13"/>
      <c r="W1406" s="13"/>
    </row>
    <row r="1407" spans="1:23" x14ac:dyDescent="0.2">
      <c r="A1407"/>
      <c r="B1407"/>
      <c r="C1407"/>
      <c r="D1407"/>
      <c r="E1407"/>
      <c r="F1407"/>
      <c r="G1407"/>
      <c r="H1407"/>
      <c r="I1407"/>
      <c r="J1407"/>
      <c r="K1407" s="13" t="s">
        <v>579</v>
      </c>
      <c r="L1407" s="13" t="s">
        <v>399</v>
      </c>
      <c r="M1407" s="13" t="s">
        <v>400</v>
      </c>
      <c r="N1407" s="15">
        <v>0</v>
      </c>
      <c r="O1407" s="16">
        <v>0</v>
      </c>
      <c r="P1407" s="17">
        <v>261.76385000969833</v>
      </c>
      <c r="Q1407" s="17">
        <v>0</v>
      </c>
      <c r="R1407" s="13"/>
      <c r="S1407" s="13"/>
      <c r="T1407" s="13"/>
      <c r="U1407" s="13"/>
      <c r="V1407" s="13"/>
      <c r="W1407" s="13"/>
    </row>
    <row r="1408" spans="1:23" x14ac:dyDescent="0.2">
      <c r="A1408"/>
      <c r="B1408"/>
      <c r="C1408"/>
      <c r="D1408"/>
      <c r="E1408"/>
      <c r="F1408"/>
      <c r="G1408"/>
      <c r="H1408"/>
      <c r="I1408"/>
      <c r="J1408"/>
      <c r="K1408" s="13" t="s">
        <v>579</v>
      </c>
      <c r="L1408" s="13" t="s">
        <v>402</v>
      </c>
      <c r="M1408" s="13" t="s">
        <v>403</v>
      </c>
      <c r="N1408" s="15">
        <v>0</v>
      </c>
      <c r="O1408" s="16">
        <v>0</v>
      </c>
      <c r="P1408" s="17">
        <v>825.39129999494526</v>
      </c>
      <c r="Q1408" s="17">
        <v>0</v>
      </c>
      <c r="R1408" s="13"/>
      <c r="S1408" s="13"/>
      <c r="T1408" s="13"/>
      <c r="U1408" s="13"/>
      <c r="V1408" s="13"/>
      <c r="W1408" s="13"/>
    </row>
    <row r="1409" spans="1:23" x14ac:dyDescent="0.2">
      <c r="A1409"/>
      <c r="B1409"/>
      <c r="C1409"/>
      <c r="D1409"/>
      <c r="E1409"/>
      <c r="F1409"/>
      <c r="G1409"/>
      <c r="H1409"/>
      <c r="I1409"/>
      <c r="J1409"/>
      <c r="K1409" s="13" t="s">
        <v>579</v>
      </c>
      <c r="L1409" s="13" t="s">
        <v>451</v>
      </c>
      <c r="M1409" s="13" t="s">
        <v>369</v>
      </c>
      <c r="N1409" s="15">
        <v>0</v>
      </c>
      <c r="O1409" s="16">
        <v>0</v>
      </c>
      <c r="P1409" s="17">
        <v>1248.1636000092362</v>
      </c>
      <c r="Q1409" s="17">
        <v>0</v>
      </c>
      <c r="R1409" s="13"/>
      <c r="S1409" s="13"/>
      <c r="T1409" s="13"/>
      <c r="U1409" s="13"/>
      <c r="V1409" s="13"/>
      <c r="W1409" s="13"/>
    </row>
    <row r="1410" spans="1:23" x14ac:dyDescent="0.2">
      <c r="A1410"/>
      <c r="B1410"/>
      <c r="C1410"/>
      <c r="D1410"/>
      <c r="E1410"/>
      <c r="F1410"/>
      <c r="G1410"/>
      <c r="H1410"/>
      <c r="I1410"/>
      <c r="J1410"/>
      <c r="K1410" s="13" t="s">
        <v>579</v>
      </c>
      <c r="L1410" s="13" t="s">
        <v>381</v>
      </c>
      <c r="M1410" s="13" t="s">
        <v>382</v>
      </c>
      <c r="N1410" s="15">
        <v>16</v>
      </c>
      <c r="O1410" s="16">
        <v>0</v>
      </c>
      <c r="P1410" s="17">
        <v>0</v>
      </c>
      <c r="Q1410" s="17">
        <v>0</v>
      </c>
      <c r="R1410" s="13"/>
      <c r="S1410" s="13"/>
      <c r="T1410" s="13"/>
      <c r="U1410" s="13"/>
      <c r="V1410" s="13"/>
      <c r="W1410" s="13"/>
    </row>
    <row r="1411" spans="1:23" x14ac:dyDescent="0.2">
      <c r="A1411"/>
      <c r="B1411"/>
      <c r="C1411"/>
      <c r="D1411"/>
      <c r="E1411"/>
      <c r="F1411"/>
      <c r="G1411"/>
      <c r="H1411"/>
      <c r="I1411"/>
      <c r="J1411"/>
      <c r="K1411" s="13" t="s">
        <v>579</v>
      </c>
      <c r="L1411" s="13" t="s">
        <v>411</v>
      </c>
      <c r="M1411" s="13" t="s">
        <v>362</v>
      </c>
      <c r="N1411" s="15">
        <v>0</v>
      </c>
      <c r="O1411" s="16">
        <v>0</v>
      </c>
      <c r="P1411" s="17">
        <v>7.7107999980125337</v>
      </c>
      <c r="Q1411" s="17">
        <v>0</v>
      </c>
      <c r="R1411" s="13"/>
      <c r="S1411" s="13"/>
      <c r="T1411" s="13"/>
      <c r="U1411" s="13"/>
      <c r="V1411" s="13"/>
      <c r="W1411" s="13"/>
    </row>
    <row r="1412" spans="1:23" x14ac:dyDescent="0.2">
      <c r="A1412"/>
      <c r="B1412"/>
      <c r="C1412"/>
      <c r="D1412"/>
      <c r="E1412"/>
      <c r="F1412"/>
      <c r="G1412"/>
      <c r="H1412"/>
      <c r="I1412"/>
      <c r="J1412"/>
      <c r="K1412" s="13" t="s">
        <v>579</v>
      </c>
      <c r="L1412" s="13" t="s">
        <v>413</v>
      </c>
      <c r="M1412" s="13" t="s">
        <v>428</v>
      </c>
      <c r="N1412" s="15">
        <v>3</v>
      </c>
      <c r="O1412" s="16">
        <v>0</v>
      </c>
      <c r="P1412" s="17">
        <v>0</v>
      </c>
      <c r="Q1412" s="17">
        <v>0</v>
      </c>
      <c r="R1412" s="13"/>
      <c r="S1412" s="13"/>
      <c r="T1412" s="13"/>
      <c r="U1412" s="13"/>
      <c r="V1412" s="13"/>
      <c r="W1412" s="13"/>
    </row>
    <row r="1413" spans="1:23" x14ac:dyDescent="0.2">
      <c r="A1413"/>
      <c r="B1413"/>
      <c r="C1413"/>
      <c r="D1413"/>
      <c r="E1413"/>
      <c r="F1413"/>
      <c r="G1413"/>
      <c r="H1413"/>
      <c r="I1413"/>
      <c r="J1413"/>
      <c r="K1413" s="13" t="s">
        <v>579</v>
      </c>
      <c r="L1413" s="13" t="s">
        <v>608</v>
      </c>
      <c r="M1413" s="13" t="s">
        <v>432</v>
      </c>
      <c r="N1413" s="15">
        <v>2</v>
      </c>
      <c r="O1413" s="16">
        <v>0</v>
      </c>
      <c r="P1413" s="17">
        <v>0</v>
      </c>
      <c r="Q1413" s="17">
        <v>0</v>
      </c>
      <c r="R1413" s="13"/>
      <c r="S1413" s="13"/>
      <c r="T1413" s="13"/>
      <c r="U1413" s="13"/>
      <c r="V1413" s="13"/>
      <c r="W1413" s="13"/>
    </row>
    <row r="1414" spans="1:23" x14ac:dyDescent="0.2">
      <c r="A1414"/>
      <c r="B1414"/>
      <c r="C1414"/>
      <c r="D1414"/>
      <c r="E1414"/>
      <c r="F1414"/>
      <c r="G1414"/>
      <c r="H1414"/>
      <c r="I1414"/>
      <c r="J1414"/>
      <c r="K1414" s="13" t="s">
        <v>579</v>
      </c>
      <c r="L1414" s="13" t="s">
        <v>421</v>
      </c>
      <c r="M1414" s="13" t="s">
        <v>443</v>
      </c>
      <c r="N1414" s="15">
        <v>1</v>
      </c>
      <c r="O1414" s="16">
        <v>0</v>
      </c>
      <c r="P1414" s="17">
        <v>0</v>
      </c>
      <c r="Q1414" s="17">
        <v>0</v>
      </c>
      <c r="R1414" s="13"/>
      <c r="S1414" s="13"/>
      <c r="T1414" s="13"/>
      <c r="U1414" s="13"/>
      <c r="V1414" s="13"/>
      <c r="W1414" s="13"/>
    </row>
    <row r="1415" spans="1:23" x14ac:dyDescent="0.2">
      <c r="A1415"/>
      <c r="B1415"/>
      <c r="C1415"/>
      <c r="D1415"/>
      <c r="E1415"/>
      <c r="F1415"/>
      <c r="G1415"/>
      <c r="H1415"/>
      <c r="I1415"/>
      <c r="J1415"/>
      <c r="K1415" s="13" t="s">
        <v>113</v>
      </c>
      <c r="L1415" s="13" t="s">
        <v>460</v>
      </c>
      <c r="M1415" s="13" t="s">
        <v>393</v>
      </c>
      <c r="N1415" s="15">
        <v>0</v>
      </c>
      <c r="O1415" s="16">
        <v>0</v>
      </c>
      <c r="P1415" s="17">
        <v>31.295700007567717</v>
      </c>
      <c r="Q1415" s="17">
        <v>0</v>
      </c>
      <c r="R1415" s="13"/>
      <c r="S1415" s="13"/>
      <c r="T1415" s="13"/>
      <c r="U1415" s="13"/>
      <c r="V1415" s="13"/>
      <c r="W1415" s="13"/>
    </row>
    <row r="1416" spans="1:23" x14ac:dyDescent="0.2">
      <c r="A1416"/>
      <c r="B1416"/>
      <c r="C1416"/>
      <c r="D1416"/>
      <c r="E1416"/>
      <c r="F1416"/>
      <c r="G1416"/>
      <c r="H1416"/>
      <c r="I1416"/>
      <c r="J1416"/>
      <c r="K1416" s="13" t="s">
        <v>113</v>
      </c>
      <c r="L1416" s="13" t="s">
        <v>395</v>
      </c>
      <c r="M1416" s="13" t="s">
        <v>602</v>
      </c>
      <c r="N1416" s="15">
        <v>12</v>
      </c>
      <c r="O1416" s="16">
        <v>0</v>
      </c>
      <c r="P1416" s="17">
        <v>0</v>
      </c>
      <c r="Q1416" s="17">
        <v>0</v>
      </c>
      <c r="R1416" s="13"/>
      <c r="S1416" s="13"/>
      <c r="T1416" s="13"/>
      <c r="U1416" s="13"/>
      <c r="V1416" s="13"/>
      <c r="W1416" s="13"/>
    </row>
    <row r="1417" spans="1:23" x14ac:dyDescent="0.2">
      <c r="A1417"/>
      <c r="B1417"/>
      <c r="C1417"/>
      <c r="D1417"/>
      <c r="E1417"/>
      <c r="F1417"/>
      <c r="G1417"/>
      <c r="H1417"/>
      <c r="I1417"/>
      <c r="J1417"/>
      <c r="K1417" s="13" t="s">
        <v>113</v>
      </c>
      <c r="L1417" s="13" t="s">
        <v>402</v>
      </c>
      <c r="M1417" s="13" t="s">
        <v>403</v>
      </c>
      <c r="N1417" s="15">
        <v>0</v>
      </c>
      <c r="O1417" s="16">
        <v>0</v>
      </c>
      <c r="P1417" s="17">
        <v>2382.1785499330831</v>
      </c>
      <c r="Q1417" s="17">
        <v>0</v>
      </c>
      <c r="R1417" s="13"/>
      <c r="S1417" s="13"/>
      <c r="T1417" s="13"/>
      <c r="U1417" s="13"/>
      <c r="V1417" s="13"/>
      <c r="W1417" s="13"/>
    </row>
    <row r="1418" spans="1:23" x14ac:dyDescent="0.2">
      <c r="A1418"/>
      <c r="B1418"/>
      <c r="C1418"/>
      <c r="D1418"/>
      <c r="E1418"/>
      <c r="F1418"/>
      <c r="G1418"/>
      <c r="H1418"/>
      <c r="I1418"/>
      <c r="J1418"/>
      <c r="K1418" s="13" t="s">
        <v>113</v>
      </c>
      <c r="L1418" s="13" t="s">
        <v>462</v>
      </c>
      <c r="M1418" s="13" t="s">
        <v>370</v>
      </c>
      <c r="N1418" s="15">
        <v>0</v>
      </c>
      <c r="O1418" s="16">
        <v>0</v>
      </c>
      <c r="P1418" s="17">
        <v>338.76190747734552</v>
      </c>
      <c r="Q1418" s="17">
        <v>0</v>
      </c>
      <c r="R1418" s="13"/>
      <c r="S1418" s="13"/>
      <c r="T1418" s="13"/>
      <c r="U1418" s="13"/>
      <c r="V1418" s="13"/>
      <c r="W1418" s="13"/>
    </row>
    <row r="1419" spans="1:23" x14ac:dyDescent="0.2">
      <c r="A1419"/>
      <c r="B1419"/>
      <c r="C1419"/>
      <c r="D1419"/>
      <c r="E1419"/>
      <c r="F1419"/>
      <c r="G1419"/>
      <c r="H1419"/>
      <c r="I1419"/>
      <c r="J1419"/>
      <c r="K1419" s="13" t="s">
        <v>113</v>
      </c>
      <c r="L1419" s="13" t="s">
        <v>451</v>
      </c>
      <c r="M1419" s="13" t="s">
        <v>369</v>
      </c>
      <c r="N1419" s="15">
        <v>0</v>
      </c>
      <c r="O1419" s="16">
        <v>0</v>
      </c>
      <c r="P1419" s="17">
        <v>2752.2361574179963</v>
      </c>
      <c r="Q1419" s="17">
        <v>0</v>
      </c>
      <c r="R1419" s="13"/>
      <c r="S1419" s="13"/>
      <c r="T1419" s="13"/>
      <c r="U1419" s="13"/>
      <c r="V1419" s="13"/>
      <c r="W1419" s="13"/>
    </row>
    <row r="1420" spans="1:23" x14ac:dyDescent="0.2">
      <c r="A1420"/>
      <c r="B1420"/>
      <c r="C1420"/>
      <c r="D1420"/>
      <c r="E1420"/>
      <c r="F1420"/>
      <c r="G1420"/>
      <c r="H1420"/>
      <c r="I1420"/>
      <c r="J1420"/>
      <c r="K1420" s="13" t="s">
        <v>113</v>
      </c>
      <c r="L1420" s="13" t="s">
        <v>381</v>
      </c>
      <c r="M1420" s="13" t="s">
        <v>382</v>
      </c>
      <c r="N1420" s="15">
        <v>5</v>
      </c>
      <c r="O1420" s="16">
        <v>0</v>
      </c>
      <c r="P1420" s="17">
        <v>0</v>
      </c>
      <c r="Q1420" s="17">
        <v>0</v>
      </c>
      <c r="R1420" s="13"/>
      <c r="S1420" s="13"/>
      <c r="T1420" s="13"/>
      <c r="U1420" s="13"/>
      <c r="V1420" s="13"/>
      <c r="W1420" s="13"/>
    </row>
    <row r="1421" spans="1:23" x14ac:dyDescent="0.2">
      <c r="A1421"/>
      <c r="B1421"/>
      <c r="C1421"/>
      <c r="D1421"/>
      <c r="E1421"/>
      <c r="F1421"/>
      <c r="G1421"/>
      <c r="H1421"/>
      <c r="I1421"/>
      <c r="J1421"/>
      <c r="K1421" s="13" t="s">
        <v>113</v>
      </c>
      <c r="L1421" s="13" t="s">
        <v>411</v>
      </c>
      <c r="M1421" s="13" t="s">
        <v>362</v>
      </c>
      <c r="N1421" s="15">
        <v>2</v>
      </c>
      <c r="O1421" s="16">
        <v>0</v>
      </c>
      <c r="P1421" s="17">
        <v>0</v>
      </c>
      <c r="Q1421" s="17">
        <v>0</v>
      </c>
      <c r="R1421" s="13"/>
      <c r="S1421" s="13"/>
      <c r="T1421" s="13"/>
      <c r="U1421" s="13"/>
      <c r="V1421" s="13"/>
      <c r="W1421" s="13"/>
    </row>
    <row r="1422" spans="1:23" x14ac:dyDescent="0.2">
      <c r="A1422"/>
      <c r="B1422"/>
      <c r="C1422"/>
      <c r="D1422"/>
      <c r="E1422"/>
      <c r="F1422"/>
      <c r="G1422"/>
      <c r="H1422"/>
      <c r="I1422"/>
      <c r="J1422"/>
      <c r="K1422" s="13" t="s">
        <v>114</v>
      </c>
      <c r="L1422" s="13" t="s">
        <v>435</v>
      </c>
      <c r="M1422" s="13" t="s">
        <v>364</v>
      </c>
      <c r="N1422" s="15">
        <v>0</v>
      </c>
      <c r="O1422" s="16">
        <v>16.517203338426228</v>
      </c>
      <c r="P1422" s="17">
        <v>0</v>
      </c>
      <c r="Q1422" s="17">
        <v>0</v>
      </c>
      <c r="R1422" s="13"/>
      <c r="S1422" s="13"/>
      <c r="T1422" s="13"/>
      <c r="U1422" s="13"/>
      <c r="V1422" s="13"/>
      <c r="W1422" s="13"/>
    </row>
    <row r="1423" spans="1:23" x14ac:dyDescent="0.2">
      <c r="A1423"/>
      <c r="B1423"/>
      <c r="C1423"/>
      <c r="D1423"/>
      <c r="E1423"/>
      <c r="F1423"/>
      <c r="G1423"/>
      <c r="H1423"/>
      <c r="I1423"/>
      <c r="J1423"/>
      <c r="K1423" s="13" t="s">
        <v>114</v>
      </c>
      <c r="L1423" s="13" t="s">
        <v>435</v>
      </c>
      <c r="M1423" s="13" t="s">
        <v>364</v>
      </c>
      <c r="N1423" s="15">
        <v>1</v>
      </c>
      <c r="O1423" s="16">
        <v>0</v>
      </c>
      <c r="P1423" s="17">
        <v>0</v>
      </c>
      <c r="Q1423" s="17">
        <v>0</v>
      </c>
      <c r="R1423" s="13"/>
      <c r="S1423" s="13"/>
      <c r="T1423" s="13"/>
      <c r="U1423" s="13"/>
      <c r="V1423" s="13"/>
      <c r="W1423" s="13"/>
    </row>
    <row r="1424" spans="1:23" x14ac:dyDescent="0.2">
      <c r="A1424"/>
      <c r="B1424"/>
      <c r="C1424"/>
      <c r="D1424"/>
      <c r="E1424"/>
      <c r="F1424"/>
      <c r="G1424"/>
      <c r="H1424"/>
      <c r="I1424"/>
      <c r="J1424"/>
      <c r="K1424" s="13" t="s">
        <v>114</v>
      </c>
      <c r="L1424" s="13" t="s">
        <v>389</v>
      </c>
      <c r="M1424" s="13" t="s">
        <v>388</v>
      </c>
      <c r="N1424" s="15">
        <v>0</v>
      </c>
      <c r="O1424" s="16">
        <v>0</v>
      </c>
      <c r="P1424" s="17">
        <v>7.9956000026693559</v>
      </c>
      <c r="Q1424" s="17">
        <v>0</v>
      </c>
      <c r="R1424" s="13"/>
      <c r="S1424" s="13"/>
      <c r="T1424" s="13"/>
      <c r="U1424" s="13"/>
      <c r="V1424" s="13"/>
      <c r="W1424" s="13"/>
    </row>
    <row r="1425" spans="1:23" x14ac:dyDescent="0.2">
      <c r="A1425"/>
      <c r="B1425"/>
      <c r="C1425"/>
      <c r="D1425"/>
      <c r="E1425"/>
      <c r="F1425"/>
      <c r="G1425"/>
      <c r="H1425"/>
      <c r="I1425"/>
      <c r="J1425"/>
      <c r="K1425" s="13" t="s">
        <v>114</v>
      </c>
      <c r="L1425" s="13" t="s">
        <v>391</v>
      </c>
      <c r="M1425" s="13" t="s">
        <v>358</v>
      </c>
      <c r="N1425" s="15">
        <v>0</v>
      </c>
      <c r="O1425" s="16">
        <v>0</v>
      </c>
      <c r="P1425" s="17">
        <v>45.568650012417834</v>
      </c>
      <c r="Q1425" s="17">
        <v>0</v>
      </c>
      <c r="R1425" s="13"/>
      <c r="S1425" s="13"/>
      <c r="T1425" s="13"/>
      <c r="U1425" s="13"/>
      <c r="V1425" s="13"/>
      <c r="W1425" s="13"/>
    </row>
    <row r="1426" spans="1:23" x14ac:dyDescent="0.2">
      <c r="A1426"/>
      <c r="B1426"/>
      <c r="C1426"/>
      <c r="D1426"/>
      <c r="E1426"/>
      <c r="F1426"/>
      <c r="G1426"/>
      <c r="H1426"/>
      <c r="I1426"/>
      <c r="J1426"/>
      <c r="K1426" s="13" t="s">
        <v>114</v>
      </c>
      <c r="L1426" s="13" t="s">
        <v>401</v>
      </c>
      <c r="M1426" s="13" t="s">
        <v>360</v>
      </c>
      <c r="N1426" s="15">
        <v>0</v>
      </c>
      <c r="O1426" s="16">
        <v>0</v>
      </c>
      <c r="P1426" s="17">
        <v>32.088150002622314</v>
      </c>
      <c r="Q1426" s="17">
        <v>0</v>
      </c>
      <c r="R1426" s="13"/>
      <c r="S1426" s="13"/>
      <c r="T1426" s="13"/>
      <c r="U1426" s="13"/>
      <c r="V1426" s="13"/>
      <c r="W1426" s="13"/>
    </row>
    <row r="1427" spans="1:23" x14ac:dyDescent="0.2">
      <c r="A1427"/>
      <c r="B1427"/>
      <c r="C1427"/>
      <c r="D1427"/>
      <c r="E1427"/>
      <c r="F1427"/>
      <c r="G1427"/>
      <c r="H1427"/>
      <c r="I1427"/>
      <c r="J1427"/>
      <c r="K1427" s="13" t="s">
        <v>114</v>
      </c>
      <c r="L1427" s="13" t="s">
        <v>402</v>
      </c>
      <c r="M1427" s="13" t="s">
        <v>403</v>
      </c>
      <c r="N1427" s="15">
        <v>0</v>
      </c>
      <c r="O1427" s="16">
        <v>0</v>
      </c>
      <c r="P1427" s="17">
        <v>331.74794996600002</v>
      </c>
      <c r="Q1427" s="17">
        <v>0</v>
      </c>
      <c r="R1427" s="13"/>
      <c r="S1427" s="13"/>
      <c r="T1427" s="13"/>
      <c r="U1427" s="13"/>
      <c r="V1427" s="13"/>
      <c r="W1427" s="13"/>
    </row>
    <row r="1428" spans="1:23" x14ac:dyDescent="0.2">
      <c r="A1428"/>
      <c r="B1428"/>
      <c r="C1428"/>
      <c r="D1428"/>
      <c r="E1428"/>
      <c r="F1428"/>
      <c r="G1428"/>
      <c r="H1428"/>
      <c r="I1428"/>
      <c r="J1428"/>
      <c r="K1428" s="13" t="s">
        <v>114</v>
      </c>
      <c r="L1428" s="13" t="s">
        <v>448</v>
      </c>
      <c r="M1428" s="13" t="s">
        <v>366</v>
      </c>
      <c r="N1428" s="15">
        <v>0</v>
      </c>
      <c r="O1428" s="16">
        <v>0</v>
      </c>
      <c r="P1428" s="17">
        <v>3.5000000315485525E-3</v>
      </c>
      <c r="Q1428" s="17">
        <v>0</v>
      </c>
      <c r="R1428" s="13"/>
      <c r="S1428" s="13"/>
      <c r="T1428" s="13"/>
      <c r="U1428" s="13"/>
      <c r="V1428" s="13"/>
      <c r="W1428" s="13"/>
    </row>
    <row r="1429" spans="1:23" x14ac:dyDescent="0.2">
      <c r="A1429"/>
      <c r="B1429"/>
      <c r="C1429"/>
      <c r="D1429"/>
      <c r="E1429"/>
      <c r="F1429"/>
      <c r="G1429"/>
      <c r="H1429"/>
      <c r="I1429"/>
      <c r="J1429"/>
      <c r="K1429" s="13" t="s">
        <v>114</v>
      </c>
      <c r="L1429" s="13" t="s">
        <v>462</v>
      </c>
      <c r="M1429" s="13" t="s">
        <v>370</v>
      </c>
      <c r="N1429" s="15">
        <v>0</v>
      </c>
      <c r="O1429" s="16">
        <v>0</v>
      </c>
      <c r="P1429" s="17">
        <v>197.56199998689121</v>
      </c>
      <c r="Q1429" s="17">
        <v>0</v>
      </c>
      <c r="R1429" s="13"/>
      <c r="S1429" s="13"/>
      <c r="T1429" s="13"/>
      <c r="U1429" s="13"/>
      <c r="V1429" s="13"/>
      <c r="W1429" s="13"/>
    </row>
    <row r="1430" spans="1:23" x14ac:dyDescent="0.2">
      <c r="A1430"/>
      <c r="B1430"/>
      <c r="C1430"/>
      <c r="D1430"/>
      <c r="E1430"/>
      <c r="F1430"/>
      <c r="G1430"/>
      <c r="H1430"/>
      <c r="I1430"/>
      <c r="J1430"/>
      <c r="K1430" s="13" t="s">
        <v>114</v>
      </c>
      <c r="L1430" s="13" t="s">
        <v>451</v>
      </c>
      <c r="M1430" s="13" t="s">
        <v>369</v>
      </c>
      <c r="N1430" s="15">
        <v>0</v>
      </c>
      <c r="O1430" s="16">
        <v>0</v>
      </c>
      <c r="P1430" s="17">
        <v>614.96584997063223</v>
      </c>
      <c r="Q1430" s="17">
        <v>0</v>
      </c>
      <c r="R1430" s="13"/>
      <c r="S1430" s="13"/>
      <c r="T1430" s="13"/>
      <c r="U1430" s="13"/>
      <c r="V1430" s="13"/>
      <c r="W1430" s="13"/>
    </row>
    <row r="1431" spans="1:23" x14ac:dyDescent="0.2">
      <c r="A1431"/>
      <c r="B1431"/>
      <c r="C1431"/>
      <c r="D1431"/>
      <c r="E1431"/>
      <c r="F1431"/>
      <c r="G1431"/>
      <c r="H1431"/>
      <c r="I1431"/>
      <c r="J1431"/>
      <c r="K1431" s="13" t="s">
        <v>114</v>
      </c>
      <c r="L1431" s="13" t="s">
        <v>381</v>
      </c>
      <c r="M1431" s="13" t="s">
        <v>382</v>
      </c>
      <c r="N1431" s="15">
        <v>5</v>
      </c>
      <c r="O1431" s="16">
        <v>0</v>
      </c>
      <c r="P1431" s="17">
        <v>0</v>
      </c>
      <c r="Q1431" s="17">
        <v>0</v>
      </c>
      <c r="R1431" s="13"/>
      <c r="S1431" s="13"/>
      <c r="T1431" s="13"/>
      <c r="U1431" s="13"/>
      <c r="V1431" s="13"/>
      <c r="W1431" s="13"/>
    </row>
    <row r="1432" spans="1:23" x14ac:dyDescent="0.2">
      <c r="A1432"/>
      <c r="B1432"/>
      <c r="C1432"/>
      <c r="D1432"/>
      <c r="E1432"/>
      <c r="F1432"/>
      <c r="G1432"/>
      <c r="H1432"/>
      <c r="I1432"/>
      <c r="J1432"/>
      <c r="K1432" s="13" t="s">
        <v>114</v>
      </c>
      <c r="L1432" s="13" t="s">
        <v>458</v>
      </c>
      <c r="M1432" s="13" t="s">
        <v>459</v>
      </c>
      <c r="N1432" s="15">
        <v>0</v>
      </c>
      <c r="O1432" s="16">
        <v>0</v>
      </c>
      <c r="P1432" s="17">
        <v>754.74304998611149</v>
      </c>
      <c r="Q1432" s="17">
        <v>0</v>
      </c>
      <c r="R1432" s="13"/>
      <c r="S1432" s="13"/>
      <c r="T1432" s="13"/>
      <c r="U1432" s="13"/>
      <c r="V1432" s="13"/>
      <c r="W1432" s="13"/>
    </row>
    <row r="1433" spans="1:23" x14ac:dyDescent="0.2">
      <c r="A1433"/>
      <c r="B1433"/>
      <c r="C1433"/>
      <c r="D1433"/>
      <c r="E1433"/>
      <c r="F1433"/>
      <c r="G1433"/>
      <c r="H1433"/>
      <c r="I1433"/>
      <c r="J1433"/>
      <c r="K1433" s="13" t="s">
        <v>132</v>
      </c>
      <c r="L1433" s="13" t="s">
        <v>435</v>
      </c>
      <c r="M1433" s="13" t="s">
        <v>364</v>
      </c>
      <c r="N1433" s="15">
        <v>0</v>
      </c>
      <c r="O1433" s="16">
        <v>0</v>
      </c>
      <c r="P1433" s="17">
        <v>167.56966328652371</v>
      </c>
      <c r="Q1433" s="17">
        <v>0</v>
      </c>
      <c r="R1433" s="13"/>
      <c r="S1433" s="13"/>
      <c r="T1433" s="13"/>
      <c r="U1433" s="13"/>
      <c r="V1433" s="13"/>
      <c r="W1433" s="13"/>
    </row>
    <row r="1434" spans="1:23" x14ac:dyDescent="0.2">
      <c r="A1434"/>
      <c r="B1434"/>
      <c r="C1434"/>
      <c r="D1434"/>
      <c r="E1434"/>
      <c r="F1434"/>
      <c r="G1434"/>
      <c r="H1434"/>
      <c r="I1434"/>
      <c r="J1434"/>
      <c r="K1434" s="13" t="s">
        <v>132</v>
      </c>
      <c r="L1434" s="13" t="s">
        <v>387</v>
      </c>
      <c r="M1434" s="13" t="s">
        <v>386</v>
      </c>
      <c r="N1434" s="15">
        <v>0</v>
      </c>
      <c r="O1434" s="16">
        <v>0</v>
      </c>
      <c r="P1434" s="17">
        <v>5823.2536419944317</v>
      </c>
      <c r="Q1434" s="17">
        <v>0</v>
      </c>
      <c r="R1434" s="13"/>
      <c r="S1434" s="13"/>
      <c r="T1434" s="13"/>
      <c r="U1434" s="13"/>
      <c r="V1434" s="13"/>
      <c r="W1434" s="13"/>
    </row>
    <row r="1435" spans="1:23" x14ac:dyDescent="0.2">
      <c r="A1435"/>
      <c r="B1435"/>
      <c r="C1435"/>
      <c r="D1435"/>
      <c r="E1435"/>
      <c r="F1435"/>
      <c r="G1435"/>
      <c r="H1435"/>
      <c r="I1435"/>
      <c r="J1435"/>
      <c r="K1435" s="13" t="s">
        <v>132</v>
      </c>
      <c r="L1435" s="13" t="s">
        <v>389</v>
      </c>
      <c r="M1435" s="13" t="s">
        <v>388</v>
      </c>
      <c r="N1435" s="15">
        <v>0</v>
      </c>
      <c r="O1435" s="16">
        <v>0</v>
      </c>
      <c r="P1435" s="17">
        <v>1738.6873717055544</v>
      </c>
      <c r="Q1435" s="17">
        <v>0</v>
      </c>
      <c r="R1435" s="13"/>
      <c r="S1435" s="13"/>
      <c r="T1435" s="13"/>
      <c r="U1435" s="13"/>
      <c r="V1435" s="13"/>
      <c r="W1435" s="13"/>
    </row>
    <row r="1436" spans="1:23" x14ac:dyDescent="0.2">
      <c r="A1436"/>
      <c r="B1436"/>
      <c r="C1436"/>
      <c r="D1436"/>
      <c r="E1436"/>
      <c r="F1436"/>
      <c r="G1436"/>
      <c r="H1436"/>
      <c r="I1436"/>
      <c r="J1436"/>
      <c r="K1436" s="13" t="s">
        <v>132</v>
      </c>
      <c r="L1436" s="13" t="s">
        <v>391</v>
      </c>
      <c r="M1436" s="13" t="s">
        <v>358</v>
      </c>
      <c r="N1436" s="15">
        <v>0</v>
      </c>
      <c r="O1436" s="16">
        <v>0</v>
      </c>
      <c r="P1436" s="17">
        <v>8626.5481149898042</v>
      </c>
      <c r="Q1436" s="17">
        <v>0</v>
      </c>
      <c r="R1436" s="13"/>
      <c r="S1436" s="13"/>
      <c r="T1436" s="13"/>
      <c r="U1436" s="13"/>
      <c r="V1436" s="13"/>
      <c r="W1436" s="13"/>
    </row>
    <row r="1437" spans="1:23" x14ac:dyDescent="0.2">
      <c r="A1437"/>
      <c r="B1437"/>
      <c r="C1437"/>
      <c r="D1437"/>
      <c r="E1437"/>
      <c r="F1437"/>
      <c r="G1437"/>
      <c r="H1437"/>
      <c r="I1437"/>
      <c r="J1437"/>
      <c r="K1437" s="13" t="s">
        <v>132</v>
      </c>
      <c r="L1437" s="13" t="s">
        <v>450</v>
      </c>
      <c r="M1437" s="13" t="s">
        <v>368</v>
      </c>
      <c r="N1437" s="15">
        <v>0</v>
      </c>
      <c r="O1437" s="16">
        <v>0</v>
      </c>
      <c r="P1437" s="17">
        <v>215.91968327556177</v>
      </c>
      <c r="Q1437" s="17">
        <v>0</v>
      </c>
      <c r="R1437" s="13"/>
      <c r="S1437" s="13"/>
      <c r="T1437" s="13"/>
      <c r="U1437" s="13"/>
      <c r="V1437" s="13"/>
      <c r="W1437" s="13"/>
    </row>
    <row r="1438" spans="1:23" x14ac:dyDescent="0.2">
      <c r="A1438"/>
      <c r="B1438"/>
      <c r="C1438"/>
      <c r="D1438"/>
      <c r="E1438"/>
      <c r="F1438"/>
      <c r="G1438"/>
      <c r="H1438"/>
      <c r="I1438"/>
      <c r="J1438"/>
      <c r="K1438" s="13" t="s">
        <v>132</v>
      </c>
      <c r="L1438" s="13" t="s">
        <v>460</v>
      </c>
      <c r="M1438" s="13" t="s">
        <v>393</v>
      </c>
      <c r="N1438" s="15">
        <v>0</v>
      </c>
      <c r="O1438" s="16">
        <v>0</v>
      </c>
      <c r="P1438" s="17">
        <v>662.69609997635848</v>
      </c>
      <c r="Q1438" s="17">
        <v>0</v>
      </c>
      <c r="R1438" s="13"/>
      <c r="S1438" s="13"/>
      <c r="T1438" s="13"/>
      <c r="U1438" s="13"/>
      <c r="V1438" s="13"/>
      <c r="W1438" s="13"/>
    </row>
    <row r="1439" spans="1:23" x14ac:dyDescent="0.2">
      <c r="A1439"/>
      <c r="B1439"/>
      <c r="C1439"/>
      <c r="D1439"/>
      <c r="E1439"/>
      <c r="F1439"/>
      <c r="G1439"/>
      <c r="H1439"/>
      <c r="I1439"/>
      <c r="J1439"/>
      <c r="K1439" s="13" t="s">
        <v>132</v>
      </c>
      <c r="L1439" s="13" t="s">
        <v>486</v>
      </c>
      <c r="M1439" s="13" t="s">
        <v>439</v>
      </c>
      <c r="N1439" s="15">
        <v>0</v>
      </c>
      <c r="O1439" s="16">
        <v>0</v>
      </c>
      <c r="P1439" s="17">
        <v>24.663249996584025</v>
      </c>
      <c r="Q1439" s="17">
        <v>0</v>
      </c>
      <c r="R1439" s="13"/>
      <c r="S1439" s="13"/>
      <c r="T1439" s="13"/>
      <c r="U1439" s="13"/>
      <c r="V1439" s="13"/>
      <c r="W1439" s="13"/>
    </row>
    <row r="1440" spans="1:23" x14ac:dyDescent="0.2">
      <c r="A1440"/>
      <c r="B1440"/>
      <c r="C1440"/>
      <c r="D1440"/>
      <c r="E1440"/>
      <c r="F1440"/>
      <c r="G1440"/>
      <c r="H1440"/>
      <c r="I1440"/>
      <c r="J1440"/>
      <c r="K1440" s="13" t="s">
        <v>132</v>
      </c>
      <c r="L1440" s="13" t="s">
        <v>517</v>
      </c>
      <c r="M1440" s="13" t="s">
        <v>516</v>
      </c>
      <c r="N1440" s="15">
        <v>0</v>
      </c>
      <c r="O1440" s="16">
        <v>0</v>
      </c>
      <c r="P1440" s="17">
        <v>8635.9751496367571</v>
      </c>
      <c r="Q1440" s="17">
        <v>0</v>
      </c>
      <c r="R1440" s="13"/>
      <c r="S1440" s="13"/>
      <c r="T1440" s="13"/>
      <c r="U1440" s="13"/>
      <c r="V1440" s="13"/>
      <c r="W1440" s="13"/>
    </row>
    <row r="1441" spans="1:23" x14ac:dyDescent="0.2">
      <c r="A1441"/>
      <c r="B1441"/>
      <c r="C1441"/>
      <c r="D1441"/>
      <c r="E1441"/>
      <c r="F1441"/>
      <c r="G1441"/>
      <c r="H1441"/>
      <c r="I1441"/>
      <c r="J1441"/>
      <c r="K1441" s="13" t="s">
        <v>132</v>
      </c>
      <c r="L1441" s="13" t="s">
        <v>509</v>
      </c>
      <c r="M1441" s="13" t="s">
        <v>518</v>
      </c>
      <c r="N1441" s="15">
        <v>0</v>
      </c>
      <c r="O1441" s="16">
        <v>0</v>
      </c>
      <c r="P1441" s="17">
        <v>1280.3340999627471</v>
      </c>
      <c r="Q1441" s="17">
        <v>0</v>
      </c>
      <c r="R1441" s="13"/>
      <c r="S1441" s="13"/>
      <c r="T1441" s="13"/>
      <c r="U1441" s="13"/>
      <c r="V1441" s="13"/>
      <c r="W1441" s="13"/>
    </row>
    <row r="1442" spans="1:23" x14ac:dyDescent="0.2">
      <c r="A1442"/>
      <c r="B1442"/>
      <c r="C1442"/>
      <c r="D1442"/>
      <c r="E1442"/>
      <c r="F1442"/>
      <c r="G1442"/>
      <c r="H1442"/>
      <c r="I1442"/>
      <c r="J1442"/>
      <c r="K1442" s="13" t="s">
        <v>132</v>
      </c>
      <c r="L1442" s="13" t="s">
        <v>519</v>
      </c>
      <c r="M1442" s="13" t="s">
        <v>478</v>
      </c>
      <c r="N1442" s="15">
        <v>0</v>
      </c>
      <c r="O1442" s="16">
        <v>0</v>
      </c>
      <c r="P1442" s="17">
        <v>652.46333566522173</v>
      </c>
      <c r="Q1442" s="17">
        <v>0</v>
      </c>
      <c r="R1442" s="13"/>
      <c r="S1442" s="13"/>
      <c r="T1442" s="13"/>
      <c r="U1442" s="13"/>
      <c r="V1442" s="13"/>
      <c r="W1442" s="13"/>
    </row>
    <row r="1443" spans="1:23" x14ac:dyDescent="0.2">
      <c r="A1443"/>
      <c r="B1443"/>
      <c r="C1443"/>
      <c r="D1443"/>
      <c r="E1443"/>
      <c r="F1443"/>
      <c r="G1443"/>
      <c r="H1443"/>
      <c r="I1443"/>
      <c r="J1443"/>
      <c r="K1443" s="13" t="s">
        <v>132</v>
      </c>
      <c r="L1443" s="13" t="s">
        <v>621</v>
      </c>
      <c r="M1443" s="13" t="s">
        <v>520</v>
      </c>
      <c r="N1443" s="15">
        <v>0</v>
      </c>
      <c r="O1443" s="16">
        <v>0</v>
      </c>
      <c r="P1443" s="17">
        <v>354.51435000017341</v>
      </c>
      <c r="Q1443" s="17">
        <v>0</v>
      </c>
      <c r="R1443" s="13"/>
      <c r="S1443" s="13"/>
      <c r="T1443" s="13"/>
      <c r="U1443" s="13"/>
      <c r="V1443" s="13"/>
      <c r="W1443" s="13"/>
    </row>
    <row r="1444" spans="1:23" x14ac:dyDescent="0.2">
      <c r="A1444"/>
      <c r="B1444"/>
      <c r="C1444"/>
      <c r="D1444"/>
      <c r="E1444"/>
      <c r="F1444"/>
      <c r="G1444"/>
      <c r="H1444"/>
      <c r="I1444"/>
      <c r="J1444"/>
      <c r="K1444" s="13" t="s">
        <v>132</v>
      </c>
      <c r="L1444" s="13" t="s">
        <v>397</v>
      </c>
      <c r="M1444" s="13" t="s">
        <v>398</v>
      </c>
      <c r="N1444" s="15">
        <v>0</v>
      </c>
      <c r="O1444" s="16">
        <v>0</v>
      </c>
      <c r="P1444" s="17">
        <v>88.261499995023129</v>
      </c>
      <c r="Q1444" s="17">
        <v>0</v>
      </c>
      <c r="R1444" s="13"/>
      <c r="S1444" s="13"/>
      <c r="T1444" s="13"/>
      <c r="U1444" s="13"/>
      <c r="V1444" s="13"/>
      <c r="W1444" s="13"/>
    </row>
    <row r="1445" spans="1:23" x14ac:dyDescent="0.2">
      <c r="A1445"/>
      <c r="B1445"/>
      <c r="C1445"/>
      <c r="D1445"/>
      <c r="E1445"/>
      <c r="F1445"/>
      <c r="G1445"/>
      <c r="H1445"/>
      <c r="I1445"/>
      <c r="J1445"/>
      <c r="K1445" s="13" t="s">
        <v>132</v>
      </c>
      <c r="L1445" s="13" t="s">
        <v>399</v>
      </c>
      <c r="M1445" s="13" t="s">
        <v>400</v>
      </c>
      <c r="N1445" s="15">
        <v>0</v>
      </c>
      <c r="O1445" s="16">
        <v>0</v>
      </c>
      <c r="P1445" s="17">
        <v>41.972849995794569</v>
      </c>
      <c r="Q1445" s="17">
        <v>0</v>
      </c>
      <c r="R1445" s="13"/>
      <c r="S1445" s="13"/>
      <c r="T1445" s="13"/>
      <c r="U1445" s="13"/>
      <c r="V1445" s="13"/>
      <c r="W1445" s="13"/>
    </row>
    <row r="1446" spans="1:23" x14ac:dyDescent="0.2">
      <c r="A1446"/>
      <c r="B1446"/>
      <c r="C1446"/>
      <c r="D1446"/>
      <c r="E1446"/>
      <c r="F1446"/>
      <c r="G1446"/>
      <c r="H1446"/>
      <c r="I1446"/>
      <c r="J1446"/>
      <c r="K1446" s="13" t="s">
        <v>132</v>
      </c>
      <c r="L1446" s="13" t="s">
        <v>401</v>
      </c>
      <c r="M1446" s="13" t="s">
        <v>360</v>
      </c>
      <c r="N1446" s="15">
        <v>0</v>
      </c>
      <c r="O1446" s="16">
        <v>0</v>
      </c>
      <c r="P1446" s="17">
        <v>10317.567908450981</v>
      </c>
      <c r="Q1446" s="17">
        <v>0</v>
      </c>
      <c r="R1446" s="13"/>
      <c r="S1446" s="13"/>
      <c r="T1446" s="13"/>
      <c r="U1446" s="13"/>
      <c r="V1446" s="13"/>
      <c r="W1446" s="13"/>
    </row>
    <row r="1447" spans="1:23" x14ac:dyDescent="0.2">
      <c r="A1447"/>
      <c r="B1447"/>
      <c r="C1447"/>
      <c r="D1447"/>
      <c r="E1447"/>
      <c r="F1447"/>
      <c r="G1447"/>
      <c r="H1447"/>
      <c r="I1447"/>
      <c r="J1447"/>
      <c r="K1447" s="13" t="s">
        <v>132</v>
      </c>
      <c r="L1447" s="13" t="s">
        <v>402</v>
      </c>
      <c r="M1447" s="13" t="s">
        <v>403</v>
      </c>
      <c r="N1447" s="15">
        <v>0</v>
      </c>
      <c r="O1447" s="16">
        <v>0</v>
      </c>
      <c r="P1447" s="17">
        <v>7124.1061321656553</v>
      </c>
      <c r="Q1447" s="17">
        <v>0</v>
      </c>
      <c r="R1447" s="13"/>
      <c r="S1447" s="13"/>
      <c r="T1447" s="13"/>
      <c r="U1447" s="13"/>
      <c r="V1447" s="13"/>
      <c r="W1447" s="13"/>
    </row>
    <row r="1448" spans="1:23" x14ac:dyDescent="0.2">
      <c r="A1448"/>
      <c r="B1448"/>
      <c r="C1448"/>
      <c r="D1448"/>
      <c r="E1448"/>
      <c r="F1448"/>
      <c r="G1448"/>
      <c r="H1448"/>
      <c r="I1448"/>
      <c r="J1448"/>
      <c r="K1448" s="13" t="s">
        <v>132</v>
      </c>
      <c r="L1448" s="13" t="s">
        <v>521</v>
      </c>
      <c r="M1448" s="13" t="s">
        <v>522</v>
      </c>
      <c r="N1448" s="15">
        <v>0</v>
      </c>
      <c r="O1448" s="16">
        <v>0</v>
      </c>
      <c r="P1448" s="17">
        <v>54111.768624435455</v>
      </c>
      <c r="Q1448" s="17">
        <v>0</v>
      </c>
      <c r="R1448" s="13"/>
      <c r="S1448" s="13"/>
      <c r="T1448" s="13"/>
      <c r="U1448" s="13"/>
      <c r="V1448" s="13"/>
      <c r="W1448" s="13"/>
    </row>
    <row r="1449" spans="1:23" x14ac:dyDescent="0.2">
      <c r="A1449"/>
      <c r="B1449"/>
      <c r="C1449"/>
      <c r="D1449"/>
      <c r="E1449"/>
      <c r="F1449"/>
      <c r="G1449"/>
      <c r="H1449"/>
      <c r="I1449"/>
      <c r="J1449"/>
      <c r="K1449" s="13" t="s">
        <v>132</v>
      </c>
      <c r="L1449" s="13" t="s">
        <v>448</v>
      </c>
      <c r="M1449" s="13" t="s">
        <v>366</v>
      </c>
      <c r="N1449" s="15">
        <v>0</v>
      </c>
      <c r="O1449" s="16">
        <v>0</v>
      </c>
      <c r="P1449" s="17">
        <v>649.61242802918287</v>
      </c>
      <c r="Q1449" s="17">
        <v>0</v>
      </c>
      <c r="R1449" s="13"/>
      <c r="S1449" s="13"/>
      <c r="T1449" s="13"/>
      <c r="U1449" s="13"/>
      <c r="V1449" s="13"/>
      <c r="W1449" s="13"/>
    </row>
    <row r="1450" spans="1:23" x14ac:dyDescent="0.2">
      <c r="A1450"/>
      <c r="B1450"/>
      <c r="C1450"/>
      <c r="D1450"/>
      <c r="E1450"/>
      <c r="F1450"/>
      <c r="G1450"/>
      <c r="H1450"/>
      <c r="I1450"/>
      <c r="J1450"/>
      <c r="K1450" s="13" t="s">
        <v>132</v>
      </c>
      <c r="L1450" s="13" t="s">
        <v>456</v>
      </c>
      <c r="M1450" s="13" t="s">
        <v>457</v>
      </c>
      <c r="N1450" s="15">
        <v>0</v>
      </c>
      <c r="O1450" s="16">
        <v>0</v>
      </c>
      <c r="P1450" s="17">
        <v>1452.6930598895544</v>
      </c>
      <c r="Q1450" s="17">
        <v>0</v>
      </c>
      <c r="R1450" s="13"/>
      <c r="S1450" s="13"/>
      <c r="T1450" s="13"/>
      <c r="U1450" s="13"/>
      <c r="V1450" s="13"/>
      <c r="W1450" s="13"/>
    </row>
    <row r="1451" spans="1:23" x14ac:dyDescent="0.2">
      <c r="A1451"/>
      <c r="B1451"/>
      <c r="C1451"/>
      <c r="D1451"/>
      <c r="E1451"/>
      <c r="F1451"/>
      <c r="G1451"/>
      <c r="H1451"/>
      <c r="I1451"/>
      <c r="J1451"/>
      <c r="K1451" s="13" t="s">
        <v>132</v>
      </c>
      <c r="L1451" s="13" t="s">
        <v>404</v>
      </c>
      <c r="M1451" s="13" t="s">
        <v>405</v>
      </c>
      <c r="N1451" s="15">
        <v>0</v>
      </c>
      <c r="O1451" s="16">
        <v>0</v>
      </c>
      <c r="P1451" s="17">
        <v>100.45873734020005</v>
      </c>
      <c r="Q1451" s="17">
        <v>234.9519414914102</v>
      </c>
      <c r="R1451" s="13"/>
      <c r="S1451" s="13"/>
      <c r="T1451" s="13"/>
      <c r="U1451" s="13"/>
      <c r="V1451" s="13"/>
      <c r="W1451" s="13"/>
    </row>
    <row r="1452" spans="1:23" x14ac:dyDescent="0.2">
      <c r="A1452"/>
      <c r="B1452"/>
      <c r="C1452"/>
      <c r="D1452"/>
      <c r="E1452"/>
      <c r="F1452"/>
      <c r="G1452"/>
      <c r="H1452"/>
      <c r="I1452"/>
      <c r="J1452"/>
      <c r="K1452" s="13" t="s">
        <v>132</v>
      </c>
      <c r="L1452" s="13" t="s">
        <v>406</v>
      </c>
      <c r="M1452" s="13" t="s">
        <v>361</v>
      </c>
      <c r="N1452" s="15">
        <v>0</v>
      </c>
      <c r="O1452" s="16">
        <v>0</v>
      </c>
      <c r="P1452" s="17">
        <v>54.700796930442209</v>
      </c>
      <c r="Q1452" s="17">
        <v>157.77364082058381</v>
      </c>
      <c r="R1452" s="13"/>
      <c r="S1452" s="13"/>
      <c r="T1452" s="13"/>
      <c r="U1452" s="13"/>
      <c r="V1452" s="13"/>
      <c r="W1452" s="13"/>
    </row>
    <row r="1453" spans="1:23" x14ac:dyDescent="0.2">
      <c r="A1453"/>
      <c r="B1453"/>
      <c r="C1453"/>
      <c r="D1453"/>
      <c r="E1453"/>
      <c r="F1453"/>
      <c r="G1453"/>
      <c r="H1453"/>
      <c r="I1453"/>
      <c r="J1453"/>
      <c r="K1453" s="13" t="s">
        <v>132</v>
      </c>
      <c r="L1453" s="13" t="s">
        <v>411</v>
      </c>
      <c r="M1453" s="13" t="s">
        <v>362</v>
      </c>
      <c r="N1453" s="15">
        <v>2</v>
      </c>
      <c r="O1453" s="16">
        <v>0</v>
      </c>
      <c r="P1453" s="17">
        <v>0</v>
      </c>
      <c r="Q1453" s="17">
        <v>0</v>
      </c>
      <c r="R1453" s="13"/>
      <c r="S1453" s="13"/>
      <c r="T1453" s="13"/>
      <c r="U1453" s="13"/>
      <c r="V1453" s="13"/>
      <c r="W1453" s="13"/>
    </row>
    <row r="1454" spans="1:23" x14ac:dyDescent="0.2">
      <c r="A1454"/>
      <c r="B1454"/>
      <c r="C1454"/>
      <c r="D1454"/>
      <c r="E1454"/>
      <c r="F1454"/>
      <c r="G1454"/>
      <c r="H1454"/>
      <c r="I1454"/>
      <c r="J1454"/>
      <c r="K1454" s="13" t="s">
        <v>132</v>
      </c>
      <c r="L1454" s="13" t="s">
        <v>475</v>
      </c>
      <c r="M1454" s="13" t="s">
        <v>470</v>
      </c>
      <c r="N1454" s="15">
        <v>1</v>
      </c>
      <c r="O1454" s="16">
        <v>0</v>
      </c>
      <c r="P1454" s="17">
        <v>0</v>
      </c>
      <c r="Q1454" s="17">
        <v>0</v>
      </c>
      <c r="R1454" s="13"/>
      <c r="S1454" s="13"/>
      <c r="T1454" s="13"/>
      <c r="U1454" s="13"/>
      <c r="V1454" s="13"/>
      <c r="W1454" s="13"/>
    </row>
    <row r="1455" spans="1:23" x14ac:dyDescent="0.2">
      <c r="A1455"/>
      <c r="B1455"/>
      <c r="C1455"/>
      <c r="D1455"/>
      <c r="E1455"/>
      <c r="F1455"/>
      <c r="G1455"/>
      <c r="H1455"/>
      <c r="I1455"/>
      <c r="J1455"/>
      <c r="K1455" s="13" t="s">
        <v>132</v>
      </c>
      <c r="L1455" s="13" t="s">
        <v>603</v>
      </c>
      <c r="M1455" s="13" t="s">
        <v>385</v>
      </c>
      <c r="N1455" s="15">
        <v>13</v>
      </c>
      <c r="O1455" s="16">
        <v>0</v>
      </c>
      <c r="P1455" s="17">
        <v>0</v>
      </c>
      <c r="Q1455" s="17">
        <v>0</v>
      </c>
      <c r="R1455" s="13"/>
      <c r="S1455" s="13"/>
      <c r="T1455" s="13"/>
      <c r="U1455" s="13"/>
      <c r="V1455" s="13"/>
      <c r="W1455" s="13"/>
    </row>
    <row r="1456" spans="1:23" x14ac:dyDescent="0.2">
      <c r="A1456"/>
      <c r="B1456"/>
      <c r="C1456"/>
      <c r="D1456"/>
      <c r="E1456"/>
      <c r="F1456"/>
      <c r="G1456"/>
      <c r="H1456"/>
      <c r="I1456"/>
      <c r="J1456"/>
      <c r="K1456" s="13" t="s">
        <v>132</v>
      </c>
      <c r="L1456" s="13" t="s">
        <v>605</v>
      </c>
      <c r="M1456" s="13" t="s">
        <v>429</v>
      </c>
      <c r="N1456" s="15">
        <v>4</v>
      </c>
      <c r="O1456" s="16">
        <v>0</v>
      </c>
      <c r="P1456" s="17">
        <v>0</v>
      </c>
      <c r="Q1456" s="17">
        <v>0</v>
      </c>
      <c r="R1456" s="13"/>
      <c r="S1456" s="13"/>
      <c r="T1456" s="13"/>
      <c r="U1456" s="13"/>
      <c r="V1456" s="13"/>
      <c r="W1456" s="13"/>
    </row>
    <row r="1457" spans="1:23" x14ac:dyDescent="0.2">
      <c r="A1457"/>
      <c r="B1457"/>
      <c r="C1457"/>
      <c r="D1457"/>
      <c r="E1457"/>
      <c r="F1457"/>
      <c r="G1457"/>
      <c r="H1457"/>
      <c r="I1457"/>
      <c r="J1457"/>
      <c r="K1457" s="13" t="s">
        <v>132</v>
      </c>
      <c r="L1457" s="13" t="s">
        <v>606</v>
      </c>
      <c r="M1457" s="13" t="s">
        <v>430</v>
      </c>
      <c r="N1457" s="15">
        <v>12</v>
      </c>
      <c r="O1457" s="16">
        <v>0</v>
      </c>
      <c r="P1457" s="17">
        <v>0</v>
      </c>
      <c r="Q1457" s="17">
        <v>0</v>
      </c>
      <c r="R1457" s="13"/>
      <c r="S1457" s="13"/>
      <c r="T1457" s="13"/>
      <c r="U1457" s="13"/>
      <c r="V1457" s="13"/>
      <c r="W1457" s="13"/>
    </row>
    <row r="1458" spans="1:23" x14ac:dyDescent="0.2">
      <c r="A1458"/>
      <c r="B1458"/>
      <c r="C1458"/>
      <c r="D1458"/>
      <c r="E1458"/>
      <c r="F1458"/>
      <c r="G1458"/>
      <c r="H1458"/>
      <c r="I1458"/>
      <c r="J1458"/>
      <c r="K1458" s="13" t="s">
        <v>132</v>
      </c>
      <c r="L1458" s="13" t="s">
        <v>619</v>
      </c>
      <c r="M1458" s="13" t="s">
        <v>508</v>
      </c>
      <c r="N1458" s="15">
        <v>18</v>
      </c>
      <c r="O1458" s="16">
        <v>0</v>
      </c>
      <c r="P1458" s="17">
        <v>0</v>
      </c>
      <c r="Q1458" s="17">
        <v>0</v>
      </c>
      <c r="R1458" s="13"/>
      <c r="S1458" s="13"/>
      <c r="T1458" s="13"/>
      <c r="U1458" s="13"/>
      <c r="V1458" s="13"/>
      <c r="W1458" s="13"/>
    </row>
    <row r="1459" spans="1:23" x14ac:dyDescent="0.2">
      <c r="A1459"/>
      <c r="B1459"/>
      <c r="C1459"/>
      <c r="D1459"/>
      <c r="E1459"/>
      <c r="F1459"/>
      <c r="G1459"/>
      <c r="H1459"/>
      <c r="I1459"/>
      <c r="J1459"/>
      <c r="K1459" s="13" t="s">
        <v>132</v>
      </c>
      <c r="L1459" s="13" t="s">
        <v>608</v>
      </c>
      <c r="M1459" s="13" t="s">
        <v>432</v>
      </c>
      <c r="N1459" s="15">
        <v>2</v>
      </c>
      <c r="O1459" s="16">
        <v>0</v>
      </c>
      <c r="P1459" s="17">
        <v>0</v>
      </c>
      <c r="Q1459" s="17">
        <v>0</v>
      </c>
      <c r="R1459" s="13"/>
      <c r="S1459" s="13"/>
      <c r="T1459" s="13"/>
      <c r="U1459" s="13"/>
      <c r="V1459" s="13"/>
      <c r="W1459" s="13"/>
    </row>
    <row r="1460" spans="1:23" x14ac:dyDescent="0.2">
      <c r="A1460"/>
      <c r="B1460"/>
      <c r="C1460"/>
      <c r="D1460"/>
      <c r="E1460"/>
      <c r="F1460"/>
      <c r="G1460"/>
      <c r="H1460"/>
      <c r="I1460"/>
      <c r="J1460"/>
      <c r="K1460" s="13" t="s">
        <v>132</v>
      </c>
      <c r="L1460" s="13" t="s">
        <v>415</v>
      </c>
      <c r="M1460" s="13" t="s">
        <v>412</v>
      </c>
      <c r="N1460" s="15">
        <v>0</v>
      </c>
      <c r="O1460" s="16">
        <v>0</v>
      </c>
      <c r="P1460" s="17">
        <v>61.742689172187845</v>
      </c>
      <c r="Q1460" s="17">
        <v>0</v>
      </c>
      <c r="R1460" s="13"/>
      <c r="S1460" s="13"/>
      <c r="T1460" s="13"/>
      <c r="U1460" s="13"/>
      <c r="V1460" s="13"/>
      <c r="W1460" s="13"/>
    </row>
    <row r="1461" spans="1:23" x14ac:dyDescent="0.2">
      <c r="A1461"/>
      <c r="B1461"/>
      <c r="C1461"/>
      <c r="D1461"/>
      <c r="E1461"/>
      <c r="F1461"/>
      <c r="G1461"/>
      <c r="H1461"/>
      <c r="I1461"/>
      <c r="J1461"/>
      <c r="K1461" s="13" t="s">
        <v>132</v>
      </c>
      <c r="L1461" s="13" t="s">
        <v>421</v>
      </c>
      <c r="M1461" s="13" t="s">
        <v>443</v>
      </c>
      <c r="N1461" s="15">
        <v>6</v>
      </c>
      <c r="O1461" s="16">
        <v>0</v>
      </c>
      <c r="P1461" s="17">
        <v>0</v>
      </c>
      <c r="Q1461" s="17">
        <v>0</v>
      </c>
      <c r="R1461" s="13"/>
      <c r="S1461" s="13"/>
      <c r="T1461" s="13"/>
      <c r="U1461" s="13"/>
      <c r="V1461" s="13"/>
      <c r="W1461" s="13"/>
    </row>
    <row r="1462" spans="1:23" x14ac:dyDescent="0.2">
      <c r="A1462"/>
      <c r="B1462"/>
      <c r="C1462"/>
      <c r="D1462"/>
      <c r="E1462"/>
      <c r="F1462"/>
      <c r="G1462"/>
      <c r="H1462"/>
      <c r="I1462"/>
      <c r="J1462"/>
      <c r="K1462" s="13" t="s">
        <v>132</v>
      </c>
      <c r="L1462" s="13" t="s">
        <v>383</v>
      </c>
      <c r="M1462" s="13" t="s">
        <v>420</v>
      </c>
      <c r="N1462" s="15">
        <v>4</v>
      </c>
      <c r="O1462" s="16">
        <v>0</v>
      </c>
      <c r="P1462" s="17">
        <v>0</v>
      </c>
      <c r="Q1462" s="17">
        <v>0</v>
      </c>
      <c r="R1462" s="13"/>
      <c r="S1462" s="13"/>
      <c r="T1462" s="13"/>
      <c r="U1462" s="13"/>
      <c r="V1462" s="13"/>
      <c r="W1462" s="13"/>
    </row>
    <row r="1463" spans="1:23" x14ac:dyDescent="0.2">
      <c r="A1463"/>
      <c r="B1463"/>
      <c r="C1463"/>
      <c r="D1463"/>
      <c r="E1463"/>
      <c r="F1463"/>
      <c r="G1463"/>
      <c r="H1463"/>
      <c r="I1463"/>
      <c r="J1463"/>
      <c r="K1463" s="13" t="s">
        <v>132</v>
      </c>
      <c r="L1463" s="13" t="s">
        <v>467</v>
      </c>
      <c r="M1463" s="13" t="s">
        <v>422</v>
      </c>
      <c r="N1463" s="15">
        <v>0</v>
      </c>
      <c r="O1463" s="16">
        <v>114.64228122841182</v>
      </c>
      <c r="P1463" s="17">
        <v>0</v>
      </c>
      <c r="Q1463" s="17">
        <v>0</v>
      </c>
      <c r="R1463" s="13"/>
      <c r="S1463" s="13"/>
      <c r="T1463" s="13"/>
      <c r="U1463" s="13"/>
      <c r="V1463" s="13"/>
      <c r="W1463" s="13"/>
    </row>
    <row r="1464" spans="1:23" x14ac:dyDescent="0.2">
      <c r="A1464"/>
      <c r="B1464"/>
      <c r="C1464"/>
      <c r="D1464"/>
      <c r="E1464"/>
      <c r="F1464"/>
      <c r="G1464"/>
      <c r="H1464"/>
      <c r="I1464"/>
      <c r="J1464"/>
      <c r="K1464" s="13" t="s">
        <v>132</v>
      </c>
      <c r="L1464" s="13" t="s">
        <v>528</v>
      </c>
      <c r="M1464" s="13" t="s">
        <v>384</v>
      </c>
      <c r="N1464" s="15">
        <v>0</v>
      </c>
      <c r="O1464" s="16">
        <v>2529.1310455135895</v>
      </c>
      <c r="P1464" s="17">
        <v>0</v>
      </c>
      <c r="Q1464" s="17">
        <v>0</v>
      </c>
      <c r="R1464" s="13"/>
      <c r="S1464" s="13"/>
      <c r="T1464" s="13"/>
      <c r="U1464" s="13"/>
      <c r="V1464" s="13"/>
      <c r="W1464" s="13"/>
    </row>
    <row r="1465" spans="1:23" x14ac:dyDescent="0.2">
      <c r="A1465"/>
      <c r="B1465"/>
      <c r="C1465"/>
      <c r="D1465"/>
      <c r="E1465"/>
      <c r="F1465"/>
      <c r="G1465"/>
      <c r="H1465"/>
      <c r="I1465"/>
      <c r="J1465"/>
      <c r="K1465" s="13" t="s">
        <v>132</v>
      </c>
      <c r="L1465" s="13" t="s">
        <v>614</v>
      </c>
      <c r="M1465" s="13" t="s">
        <v>447</v>
      </c>
      <c r="N1465" s="15">
        <v>21</v>
      </c>
      <c r="O1465" s="16">
        <v>0</v>
      </c>
      <c r="P1465" s="17">
        <v>0</v>
      </c>
      <c r="Q1465" s="17">
        <v>0</v>
      </c>
      <c r="R1465" s="13"/>
      <c r="S1465" s="13"/>
      <c r="T1465" s="13"/>
      <c r="U1465" s="13"/>
      <c r="V1465" s="13"/>
      <c r="W1465" s="13"/>
    </row>
    <row r="1466" spans="1:23" x14ac:dyDescent="0.2">
      <c r="A1466"/>
      <c r="B1466"/>
      <c r="C1466"/>
      <c r="D1466"/>
      <c r="E1466"/>
      <c r="F1466"/>
      <c r="G1466"/>
      <c r="H1466"/>
      <c r="I1466"/>
      <c r="J1466"/>
      <c r="K1466" s="13" t="s">
        <v>132</v>
      </c>
      <c r="L1466" s="13" t="s">
        <v>612</v>
      </c>
      <c r="M1466" s="13" t="s">
        <v>425</v>
      </c>
      <c r="N1466" s="15">
        <v>3</v>
      </c>
      <c r="O1466" s="16">
        <v>0</v>
      </c>
      <c r="P1466" s="17">
        <v>0</v>
      </c>
      <c r="Q1466" s="17">
        <v>0</v>
      </c>
      <c r="R1466" s="13"/>
      <c r="S1466" s="13"/>
      <c r="T1466" s="13"/>
      <c r="U1466" s="13"/>
      <c r="V1466" s="13"/>
      <c r="W1466" s="13"/>
    </row>
    <row r="1467" spans="1:23" x14ac:dyDescent="0.2">
      <c r="A1467"/>
      <c r="B1467"/>
      <c r="C1467"/>
      <c r="D1467"/>
      <c r="E1467"/>
      <c r="F1467"/>
      <c r="G1467"/>
      <c r="H1467"/>
      <c r="I1467"/>
      <c r="J1467"/>
      <c r="K1467" s="13" t="s">
        <v>132</v>
      </c>
      <c r="L1467" s="13" t="s">
        <v>469</v>
      </c>
      <c r="M1467" s="13" t="s">
        <v>426</v>
      </c>
      <c r="N1467" s="15">
        <v>41</v>
      </c>
      <c r="O1467" s="16">
        <v>0</v>
      </c>
      <c r="P1467" s="17">
        <v>0</v>
      </c>
      <c r="Q1467" s="17">
        <v>0</v>
      </c>
      <c r="R1467" s="13"/>
      <c r="S1467" s="13"/>
      <c r="T1467" s="13"/>
      <c r="U1467" s="13"/>
      <c r="V1467" s="13"/>
      <c r="W1467" s="13"/>
    </row>
    <row r="1468" spans="1:23" x14ac:dyDescent="0.2">
      <c r="A1468"/>
      <c r="B1468"/>
      <c r="C1468"/>
      <c r="D1468"/>
      <c r="E1468"/>
      <c r="F1468"/>
      <c r="G1468"/>
      <c r="H1468"/>
      <c r="I1468"/>
      <c r="J1468"/>
      <c r="K1468" s="13" t="s">
        <v>135</v>
      </c>
      <c r="L1468" s="13" t="s">
        <v>435</v>
      </c>
      <c r="M1468" s="13" t="s">
        <v>364</v>
      </c>
      <c r="N1468" s="15">
        <v>0</v>
      </c>
      <c r="O1468" s="16">
        <v>0</v>
      </c>
      <c r="P1468" s="17">
        <v>1051.9192999948907</v>
      </c>
      <c r="Q1468" s="17">
        <v>0</v>
      </c>
      <c r="R1468" s="13"/>
      <c r="S1468" s="13"/>
      <c r="T1468" s="13"/>
      <c r="U1468" s="13"/>
      <c r="V1468" s="13"/>
      <c r="W1468" s="13"/>
    </row>
    <row r="1469" spans="1:23" x14ac:dyDescent="0.2">
      <c r="A1469"/>
      <c r="B1469"/>
      <c r="C1469"/>
      <c r="D1469"/>
      <c r="E1469"/>
      <c r="F1469"/>
      <c r="G1469"/>
      <c r="H1469"/>
      <c r="I1469"/>
      <c r="J1469"/>
      <c r="K1469" s="13" t="s">
        <v>135</v>
      </c>
      <c r="L1469" s="13" t="s">
        <v>435</v>
      </c>
      <c r="M1469" s="13" t="s">
        <v>364</v>
      </c>
      <c r="N1469" s="15">
        <v>0</v>
      </c>
      <c r="O1469" s="16">
        <v>148.74272366029439</v>
      </c>
      <c r="P1469" s="17">
        <v>0</v>
      </c>
      <c r="Q1469" s="17">
        <v>0</v>
      </c>
      <c r="R1469" s="13"/>
      <c r="S1469" s="13"/>
      <c r="T1469" s="13"/>
      <c r="U1469" s="13"/>
      <c r="V1469" s="13"/>
      <c r="W1469" s="13"/>
    </row>
    <row r="1470" spans="1:23" x14ac:dyDescent="0.2">
      <c r="A1470"/>
      <c r="B1470"/>
      <c r="C1470"/>
      <c r="D1470"/>
      <c r="E1470"/>
      <c r="F1470"/>
      <c r="G1470"/>
      <c r="H1470"/>
      <c r="I1470"/>
      <c r="J1470"/>
      <c r="K1470" s="13" t="s">
        <v>135</v>
      </c>
      <c r="L1470" s="13" t="s">
        <v>481</v>
      </c>
      <c r="M1470" s="13" t="s">
        <v>374</v>
      </c>
      <c r="N1470" s="15">
        <v>0</v>
      </c>
      <c r="O1470" s="16">
        <v>0</v>
      </c>
      <c r="P1470" s="17">
        <v>163.12700001905043</v>
      </c>
      <c r="Q1470" s="17">
        <v>0</v>
      </c>
      <c r="R1470" s="13"/>
      <c r="S1470" s="13"/>
      <c r="T1470" s="13"/>
      <c r="U1470" s="13"/>
      <c r="V1470" s="13"/>
      <c r="W1470" s="13"/>
    </row>
    <row r="1471" spans="1:23" x14ac:dyDescent="0.2">
      <c r="A1471"/>
      <c r="B1471"/>
      <c r="C1471"/>
      <c r="D1471"/>
      <c r="E1471"/>
      <c r="F1471"/>
      <c r="G1471"/>
      <c r="H1471"/>
      <c r="I1471"/>
      <c r="J1471"/>
      <c r="K1471" s="13" t="s">
        <v>135</v>
      </c>
      <c r="L1471" s="13" t="s">
        <v>387</v>
      </c>
      <c r="M1471" s="13" t="s">
        <v>386</v>
      </c>
      <c r="N1471" s="15">
        <v>0</v>
      </c>
      <c r="O1471" s="16">
        <v>0</v>
      </c>
      <c r="P1471" s="17">
        <v>2615.6096999702327</v>
      </c>
      <c r="Q1471" s="17">
        <v>0</v>
      </c>
      <c r="R1471" s="13"/>
      <c r="S1471" s="13"/>
      <c r="T1471" s="13"/>
      <c r="U1471" s="13"/>
      <c r="V1471" s="13"/>
      <c r="W1471" s="13"/>
    </row>
    <row r="1472" spans="1:23" x14ac:dyDescent="0.2">
      <c r="A1472"/>
      <c r="B1472"/>
      <c r="C1472"/>
      <c r="D1472"/>
      <c r="E1472"/>
      <c r="F1472"/>
      <c r="G1472"/>
      <c r="H1472"/>
      <c r="I1472"/>
      <c r="J1472"/>
      <c r="K1472" s="13" t="s">
        <v>135</v>
      </c>
      <c r="L1472" s="13" t="s">
        <v>389</v>
      </c>
      <c r="M1472" s="13" t="s">
        <v>388</v>
      </c>
      <c r="N1472" s="15">
        <v>0</v>
      </c>
      <c r="O1472" s="16">
        <v>0</v>
      </c>
      <c r="P1472" s="17">
        <v>4131.6428997184121</v>
      </c>
      <c r="Q1472" s="17">
        <v>0</v>
      </c>
      <c r="R1472" s="13"/>
      <c r="S1472" s="13"/>
      <c r="T1472" s="13"/>
      <c r="U1472" s="13"/>
      <c r="V1472" s="13"/>
      <c r="W1472" s="13"/>
    </row>
    <row r="1473" spans="1:23" x14ac:dyDescent="0.2">
      <c r="A1473"/>
      <c r="B1473"/>
      <c r="C1473"/>
      <c r="D1473"/>
      <c r="E1473"/>
      <c r="F1473"/>
      <c r="G1473"/>
      <c r="H1473"/>
      <c r="I1473"/>
      <c r="J1473"/>
      <c r="K1473" s="13" t="s">
        <v>135</v>
      </c>
      <c r="L1473" s="13" t="s">
        <v>542</v>
      </c>
      <c r="M1473" s="13" t="s">
        <v>390</v>
      </c>
      <c r="N1473" s="15">
        <v>0</v>
      </c>
      <c r="O1473" s="16">
        <v>0</v>
      </c>
      <c r="P1473" s="17">
        <v>10.626099999492151</v>
      </c>
      <c r="Q1473" s="17">
        <v>0</v>
      </c>
      <c r="R1473" s="13"/>
      <c r="S1473" s="13"/>
      <c r="T1473" s="13"/>
      <c r="U1473" s="13"/>
      <c r="V1473" s="13"/>
      <c r="W1473" s="13"/>
    </row>
    <row r="1474" spans="1:23" x14ac:dyDescent="0.2">
      <c r="A1474"/>
      <c r="B1474"/>
      <c r="C1474"/>
      <c r="D1474"/>
      <c r="E1474"/>
      <c r="F1474"/>
      <c r="G1474"/>
      <c r="H1474"/>
      <c r="I1474"/>
      <c r="J1474"/>
      <c r="K1474" s="13" t="s">
        <v>135</v>
      </c>
      <c r="L1474" s="13" t="s">
        <v>391</v>
      </c>
      <c r="M1474" s="13" t="s">
        <v>358</v>
      </c>
      <c r="N1474" s="15">
        <v>0</v>
      </c>
      <c r="O1474" s="16">
        <v>0</v>
      </c>
      <c r="P1474" s="17">
        <v>488.14229996968106</v>
      </c>
      <c r="Q1474" s="17">
        <v>0</v>
      </c>
      <c r="R1474" s="13"/>
      <c r="S1474" s="13"/>
      <c r="T1474" s="13"/>
      <c r="U1474" s="13"/>
      <c r="V1474" s="13"/>
      <c r="W1474" s="13"/>
    </row>
    <row r="1475" spans="1:23" x14ac:dyDescent="0.2">
      <c r="A1475"/>
      <c r="B1475"/>
      <c r="C1475"/>
      <c r="D1475"/>
      <c r="E1475"/>
      <c r="F1475"/>
      <c r="G1475"/>
      <c r="H1475"/>
      <c r="I1475"/>
      <c r="J1475"/>
      <c r="K1475" s="13" t="s">
        <v>135</v>
      </c>
      <c r="L1475" s="13" t="s">
        <v>450</v>
      </c>
      <c r="M1475" s="13" t="s">
        <v>368</v>
      </c>
      <c r="N1475" s="15">
        <v>0</v>
      </c>
      <c r="O1475" s="16">
        <v>0</v>
      </c>
      <c r="P1475" s="17">
        <v>574.22944997818558</v>
      </c>
      <c r="Q1475" s="17">
        <v>0</v>
      </c>
      <c r="R1475" s="13"/>
      <c r="S1475" s="13"/>
      <c r="T1475" s="13"/>
      <c r="U1475" s="13"/>
      <c r="V1475" s="13"/>
      <c r="W1475" s="13"/>
    </row>
    <row r="1476" spans="1:23" x14ac:dyDescent="0.2">
      <c r="A1476"/>
      <c r="B1476"/>
      <c r="C1476"/>
      <c r="D1476"/>
      <c r="E1476"/>
      <c r="F1476"/>
      <c r="G1476"/>
      <c r="H1476"/>
      <c r="I1476"/>
      <c r="J1476"/>
      <c r="K1476" s="13" t="s">
        <v>135</v>
      </c>
      <c r="L1476" s="13" t="s">
        <v>392</v>
      </c>
      <c r="M1476" s="13" t="s">
        <v>437</v>
      </c>
      <c r="N1476" s="15">
        <v>0</v>
      </c>
      <c r="O1476" s="16">
        <v>0</v>
      </c>
      <c r="P1476" s="17">
        <v>148.21349997341318</v>
      </c>
      <c r="Q1476" s="17">
        <v>0</v>
      </c>
      <c r="R1476" s="13"/>
      <c r="S1476" s="13"/>
      <c r="T1476" s="13"/>
      <c r="U1476" s="13"/>
      <c r="V1476" s="13"/>
      <c r="W1476" s="13"/>
    </row>
    <row r="1477" spans="1:23" x14ac:dyDescent="0.2">
      <c r="A1477"/>
      <c r="B1477"/>
      <c r="C1477"/>
      <c r="D1477"/>
      <c r="E1477"/>
      <c r="F1477"/>
      <c r="G1477"/>
      <c r="H1477"/>
      <c r="I1477"/>
      <c r="J1477"/>
      <c r="K1477" s="13" t="s">
        <v>135</v>
      </c>
      <c r="L1477" s="13" t="s">
        <v>486</v>
      </c>
      <c r="M1477" s="13" t="s">
        <v>439</v>
      </c>
      <c r="N1477" s="15">
        <v>0</v>
      </c>
      <c r="O1477" s="16">
        <v>0</v>
      </c>
      <c r="P1477" s="17">
        <v>121.70225021161866</v>
      </c>
      <c r="Q1477" s="17">
        <v>0</v>
      </c>
      <c r="R1477" s="13"/>
      <c r="S1477" s="13"/>
      <c r="T1477" s="13"/>
      <c r="U1477" s="13"/>
      <c r="V1477" s="13"/>
      <c r="W1477" s="13"/>
    </row>
    <row r="1478" spans="1:23" x14ac:dyDescent="0.2">
      <c r="A1478"/>
      <c r="B1478"/>
      <c r="C1478"/>
      <c r="D1478"/>
      <c r="E1478"/>
      <c r="F1478"/>
      <c r="G1478"/>
      <c r="H1478"/>
      <c r="I1478"/>
      <c r="J1478"/>
      <c r="K1478" s="13" t="s">
        <v>135</v>
      </c>
      <c r="L1478" s="13" t="s">
        <v>517</v>
      </c>
      <c r="M1478" s="13" t="s">
        <v>516</v>
      </c>
      <c r="N1478" s="15">
        <v>0</v>
      </c>
      <c r="O1478" s="16">
        <v>0</v>
      </c>
      <c r="P1478" s="17">
        <v>11071.681999845367</v>
      </c>
      <c r="Q1478" s="17">
        <v>0</v>
      </c>
      <c r="R1478" s="13"/>
      <c r="S1478" s="13"/>
      <c r="T1478" s="13"/>
      <c r="U1478" s="13"/>
      <c r="V1478" s="13"/>
      <c r="W1478" s="13"/>
    </row>
    <row r="1479" spans="1:23" x14ac:dyDescent="0.2">
      <c r="A1479"/>
      <c r="B1479"/>
      <c r="C1479"/>
      <c r="D1479"/>
      <c r="E1479"/>
      <c r="F1479"/>
      <c r="G1479"/>
      <c r="H1479"/>
      <c r="I1479"/>
      <c r="J1479"/>
      <c r="K1479" s="13" t="s">
        <v>135</v>
      </c>
      <c r="L1479" s="13" t="s">
        <v>509</v>
      </c>
      <c r="M1479" s="13" t="s">
        <v>518</v>
      </c>
      <c r="N1479" s="15">
        <v>0</v>
      </c>
      <c r="O1479" s="16">
        <v>0</v>
      </c>
      <c r="P1479" s="17">
        <v>4715.4697499862932</v>
      </c>
      <c r="Q1479" s="17">
        <v>0</v>
      </c>
      <c r="R1479" s="13"/>
      <c r="S1479" s="13"/>
      <c r="T1479" s="13"/>
      <c r="U1479" s="13"/>
      <c r="V1479" s="13"/>
      <c r="W1479" s="13"/>
    </row>
    <row r="1480" spans="1:23" x14ac:dyDescent="0.2">
      <c r="A1480"/>
      <c r="B1480"/>
      <c r="C1480"/>
      <c r="D1480"/>
      <c r="E1480"/>
      <c r="F1480"/>
      <c r="G1480"/>
      <c r="H1480"/>
      <c r="I1480"/>
      <c r="J1480"/>
      <c r="K1480" s="13" t="s">
        <v>135</v>
      </c>
      <c r="L1480" s="13" t="s">
        <v>477</v>
      </c>
      <c r="M1480" s="13" t="s">
        <v>510</v>
      </c>
      <c r="N1480" s="15">
        <v>0</v>
      </c>
      <c r="O1480" s="16">
        <v>0</v>
      </c>
      <c r="P1480" s="17">
        <v>2.4999999639112487E-4</v>
      </c>
      <c r="Q1480" s="17">
        <v>0</v>
      </c>
      <c r="R1480" s="13"/>
      <c r="S1480" s="13"/>
      <c r="T1480" s="13"/>
      <c r="U1480" s="13"/>
      <c r="V1480" s="13"/>
      <c r="W1480" s="13"/>
    </row>
    <row r="1481" spans="1:23" x14ac:dyDescent="0.2">
      <c r="A1481"/>
      <c r="B1481"/>
      <c r="C1481"/>
      <c r="D1481"/>
      <c r="E1481"/>
      <c r="F1481"/>
      <c r="G1481"/>
      <c r="H1481"/>
      <c r="I1481"/>
      <c r="J1481"/>
      <c r="K1481" s="13" t="s">
        <v>135</v>
      </c>
      <c r="L1481" s="13" t="s">
        <v>512</v>
      </c>
      <c r="M1481" s="13" t="s">
        <v>466</v>
      </c>
      <c r="N1481" s="15">
        <v>0</v>
      </c>
      <c r="O1481" s="16">
        <v>0</v>
      </c>
      <c r="P1481" s="17">
        <v>121.66734999922149</v>
      </c>
      <c r="Q1481" s="17">
        <v>0</v>
      </c>
      <c r="R1481" s="13"/>
      <c r="S1481" s="13"/>
      <c r="T1481" s="13"/>
      <c r="U1481" s="13"/>
      <c r="V1481" s="13"/>
      <c r="W1481" s="13"/>
    </row>
    <row r="1482" spans="1:23" x14ac:dyDescent="0.2">
      <c r="A1482"/>
      <c r="B1482"/>
      <c r="C1482"/>
      <c r="D1482"/>
      <c r="E1482"/>
      <c r="F1482"/>
      <c r="G1482"/>
      <c r="H1482"/>
      <c r="I1482"/>
      <c r="J1482"/>
      <c r="K1482" s="13" t="s">
        <v>135</v>
      </c>
      <c r="L1482" s="13" t="s">
        <v>399</v>
      </c>
      <c r="M1482" s="13" t="s">
        <v>400</v>
      </c>
      <c r="N1482" s="15">
        <v>0</v>
      </c>
      <c r="O1482" s="16">
        <v>0</v>
      </c>
      <c r="P1482" s="17">
        <v>300.67609998368812</v>
      </c>
      <c r="Q1482" s="17">
        <v>0</v>
      </c>
      <c r="R1482" s="13"/>
      <c r="S1482" s="13"/>
      <c r="T1482" s="13"/>
      <c r="U1482" s="13"/>
      <c r="V1482" s="13"/>
      <c r="W1482" s="13"/>
    </row>
    <row r="1483" spans="1:23" x14ac:dyDescent="0.2">
      <c r="A1483"/>
      <c r="B1483"/>
      <c r="C1483"/>
      <c r="D1483"/>
      <c r="E1483"/>
      <c r="F1483"/>
      <c r="G1483"/>
      <c r="H1483"/>
      <c r="I1483"/>
      <c r="J1483"/>
      <c r="K1483" s="13" t="s">
        <v>135</v>
      </c>
      <c r="L1483" s="13" t="s">
        <v>401</v>
      </c>
      <c r="M1483" s="13" t="s">
        <v>360</v>
      </c>
      <c r="N1483" s="15">
        <v>0</v>
      </c>
      <c r="O1483" s="16">
        <v>0</v>
      </c>
      <c r="P1483" s="17">
        <v>15028.876092396706</v>
      </c>
      <c r="Q1483" s="17">
        <v>0</v>
      </c>
      <c r="R1483" s="13"/>
      <c r="S1483" s="13"/>
      <c r="T1483" s="13"/>
      <c r="U1483" s="13"/>
      <c r="V1483" s="13"/>
      <c r="W1483" s="13"/>
    </row>
    <row r="1484" spans="1:23" x14ac:dyDescent="0.2">
      <c r="A1484"/>
      <c r="B1484"/>
      <c r="C1484"/>
      <c r="D1484"/>
      <c r="E1484"/>
      <c r="F1484"/>
      <c r="G1484"/>
      <c r="H1484"/>
      <c r="I1484"/>
      <c r="J1484"/>
      <c r="K1484" s="13" t="s">
        <v>135</v>
      </c>
      <c r="L1484" s="13" t="s">
        <v>402</v>
      </c>
      <c r="M1484" s="13" t="s">
        <v>403</v>
      </c>
      <c r="N1484" s="15">
        <v>0</v>
      </c>
      <c r="O1484" s="16">
        <v>0</v>
      </c>
      <c r="P1484" s="17">
        <v>16096.812754028499</v>
      </c>
      <c r="Q1484" s="17">
        <v>0</v>
      </c>
      <c r="R1484" s="13"/>
      <c r="S1484" s="13"/>
      <c r="T1484" s="13"/>
      <c r="U1484" s="13"/>
      <c r="V1484" s="13"/>
      <c r="W1484" s="13"/>
    </row>
    <row r="1485" spans="1:23" x14ac:dyDescent="0.2">
      <c r="A1485"/>
      <c r="B1485"/>
      <c r="C1485"/>
      <c r="D1485"/>
      <c r="E1485"/>
      <c r="F1485"/>
      <c r="G1485"/>
      <c r="H1485"/>
      <c r="I1485"/>
      <c r="J1485"/>
      <c r="K1485" s="13" t="s">
        <v>135</v>
      </c>
      <c r="L1485" s="13" t="s">
        <v>521</v>
      </c>
      <c r="M1485" s="13" t="s">
        <v>522</v>
      </c>
      <c r="N1485" s="15">
        <v>0</v>
      </c>
      <c r="O1485" s="16">
        <v>0</v>
      </c>
      <c r="P1485" s="17">
        <v>63910.116149059962</v>
      </c>
      <c r="Q1485" s="17">
        <v>0</v>
      </c>
      <c r="R1485" s="13"/>
      <c r="S1485" s="13"/>
      <c r="T1485" s="13"/>
      <c r="U1485" s="13"/>
      <c r="V1485" s="13"/>
      <c r="W1485" s="13"/>
    </row>
    <row r="1486" spans="1:23" x14ac:dyDescent="0.2">
      <c r="A1486"/>
      <c r="B1486"/>
      <c r="C1486"/>
      <c r="D1486"/>
      <c r="E1486"/>
      <c r="F1486"/>
      <c r="G1486"/>
      <c r="H1486"/>
      <c r="I1486"/>
      <c r="J1486"/>
      <c r="K1486" s="13" t="s">
        <v>135</v>
      </c>
      <c r="L1486" s="13" t="s">
        <v>448</v>
      </c>
      <c r="M1486" s="13" t="s">
        <v>366</v>
      </c>
      <c r="N1486" s="15">
        <v>0</v>
      </c>
      <c r="O1486" s="16">
        <v>0</v>
      </c>
      <c r="P1486" s="17">
        <v>652.98174998262664</v>
      </c>
      <c r="Q1486" s="17">
        <v>0</v>
      </c>
      <c r="R1486" s="13"/>
      <c r="S1486" s="13"/>
      <c r="T1486" s="13"/>
      <c r="U1486" s="13"/>
      <c r="V1486" s="13"/>
      <c r="W1486" s="13"/>
    </row>
    <row r="1487" spans="1:23" x14ac:dyDescent="0.2">
      <c r="A1487"/>
      <c r="B1487"/>
      <c r="C1487"/>
      <c r="D1487"/>
      <c r="E1487"/>
      <c r="F1487"/>
      <c r="G1487"/>
      <c r="H1487"/>
      <c r="I1487"/>
      <c r="J1487"/>
      <c r="K1487" s="13" t="s">
        <v>135</v>
      </c>
      <c r="L1487" s="13" t="s">
        <v>456</v>
      </c>
      <c r="M1487" s="13" t="s">
        <v>457</v>
      </c>
      <c r="N1487" s="15">
        <v>0</v>
      </c>
      <c r="O1487" s="16">
        <v>0</v>
      </c>
      <c r="P1487" s="17">
        <v>3963.2773998775056</v>
      </c>
      <c r="Q1487" s="17">
        <v>0</v>
      </c>
      <c r="R1487" s="13"/>
      <c r="S1487" s="13"/>
      <c r="T1487" s="13"/>
      <c r="U1487" s="13"/>
      <c r="V1487" s="13"/>
      <c r="W1487" s="13"/>
    </row>
    <row r="1488" spans="1:23" x14ac:dyDescent="0.2">
      <c r="A1488"/>
      <c r="B1488"/>
      <c r="C1488"/>
      <c r="D1488"/>
      <c r="E1488"/>
      <c r="F1488"/>
      <c r="G1488"/>
      <c r="H1488"/>
      <c r="I1488"/>
      <c r="J1488"/>
      <c r="K1488" s="13" t="s">
        <v>135</v>
      </c>
      <c r="L1488" s="13" t="s">
        <v>404</v>
      </c>
      <c r="M1488" s="13" t="s">
        <v>405</v>
      </c>
      <c r="N1488" s="15">
        <v>0</v>
      </c>
      <c r="O1488" s="16">
        <v>0</v>
      </c>
      <c r="P1488" s="17">
        <v>16.432199993957482</v>
      </c>
      <c r="Q1488" s="17">
        <v>59.831086351020687</v>
      </c>
      <c r="R1488" s="13"/>
      <c r="S1488" s="13"/>
      <c r="T1488" s="13"/>
      <c r="U1488" s="13"/>
      <c r="V1488" s="13"/>
      <c r="W1488" s="13"/>
    </row>
    <row r="1489" spans="1:23" x14ac:dyDescent="0.2">
      <c r="A1489"/>
      <c r="B1489"/>
      <c r="C1489"/>
      <c r="D1489"/>
      <c r="E1489"/>
      <c r="F1489"/>
      <c r="G1489"/>
      <c r="H1489"/>
      <c r="I1489"/>
      <c r="J1489"/>
      <c r="K1489" s="13" t="s">
        <v>135</v>
      </c>
      <c r="L1489" s="13" t="s">
        <v>406</v>
      </c>
      <c r="M1489" s="13" t="s">
        <v>361</v>
      </c>
      <c r="N1489" s="15">
        <v>0</v>
      </c>
      <c r="O1489" s="16">
        <v>0</v>
      </c>
      <c r="P1489" s="17">
        <v>76.063649998377514</v>
      </c>
      <c r="Q1489" s="17">
        <v>160.13344371849092</v>
      </c>
      <c r="R1489" s="13"/>
      <c r="S1489" s="13"/>
      <c r="T1489" s="13"/>
      <c r="U1489" s="13"/>
      <c r="V1489" s="13"/>
      <c r="W1489" s="13"/>
    </row>
    <row r="1490" spans="1:23" x14ac:dyDescent="0.2">
      <c r="A1490"/>
      <c r="B1490"/>
      <c r="C1490"/>
      <c r="D1490"/>
      <c r="E1490"/>
      <c r="F1490"/>
      <c r="G1490"/>
      <c r="H1490"/>
      <c r="I1490"/>
      <c r="J1490"/>
      <c r="K1490" s="13" t="s">
        <v>135</v>
      </c>
      <c r="L1490" s="13" t="s">
        <v>381</v>
      </c>
      <c r="M1490" s="13" t="s">
        <v>382</v>
      </c>
      <c r="N1490" s="15">
        <v>61</v>
      </c>
      <c r="O1490" s="16">
        <v>0</v>
      </c>
      <c r="P1490" s="17">
        <v>0</v>
      </c>
      <c r="Q1490" s="17">
        <v>0</v>
      </c>
      <c r="R1490" s="13"/>
      <c r="S1490" s="13"/>
      <c r="T1490" s="13"/>
      <c r="U1490" s="13"/>
      <c r="V1490" s="13"/>
      <c r="W1490" s="13"/>
    </row>
    <row r="1491" spans="1:23" x14ac:dyDescent="0.2">
      <c r="A1491"/>
      <c r="B1491"/>
      <c r="C1491"/>
      <c r="D1491"/>
      <c r="E1491"/>
      <c r="F1491"/>
      <c r="G1491"/>
      <c r="H1491"/>
      <c r="I1491"/>
      <c r="J1491"/>
      <c r="K1491" s="13" t="s">
        <v>135</v>
      </c>
      <c r="L1491" s="13" t="s">
        <v>407</v>
      </c>
      <c r="M1491" s="13" t="s">
        <v>408</v>
      </c>
      <c r="N1491" s="15">
        <v>10</v>
      </c>
      <c r="O1491" s="16">
        <v>0</v>
      </c>
      <c r="P1491" s="17">
        <v>0</v>
      </c>
      <c r="Q1491" s="17">
        <v>0</v>
      </c>
      <c r="R1491" s="13"/>
      <c r="S1491" s="13"/>
      <c r="T1491" s="13"/>
      <c r="U1491" s="13"/>
      <c r="V1491" s="13"/>
      <c r="W1491" s="13"/>
    </row>
    <row r="1492" spans="1:23" x14ac:dyDescent="0.2">
      <c r="A1492"/>
      <c r="B1492"/>
      <c r="C1492"/>
      <c r="D1492"/>
      <c r="E1492"/>
      <c r="F1492"/>
      <c r="G1492"/>
      <c r="H1492"/>
      <c r="I1492"/>
      <c r="J1492"/>
      <c r="K1492" s="13" t="s">
        <v>135</v>
      </c>
      <c r="L1492" s="13" t="s">
        <v>411</v>
      </c>
      <c r="M1492" s="13" t="s">
        <v>362</v>
      </c>
      <c r="N1492" s="15">
        <v>0</v>
      </c>
      <c r="O1492" s="16">
        <v>0</v>
      </c>
      <c r="P1492" s="17">
        <v>101.88670000813826</v>
      </c>
      <c r="Q1492" s="17">
        <v>0</v>
      </c>
      <c r="R1492" s="13"/>
      <c r="S1492" s="13"/>
      <c r="T1492" s="13"/>
      <c r="U1492" s="13"/>
      <c r="V1492" s="13"/>
      <c r="W1492" s="13"/>
    </row>
    <row r="1493" spans="1:23" x14ac:dyDescent="0.2">
      <c r="A1493"/>
      <c r="B1493"/>
      <c r="C1493"/>
      <c r="D1493"/>
      <c r="E1493"/>
      <c r="F1493"/>
      <c r="G1493"/>
      <c r="H1493"/>
      <c r="I1493"/>
      <c r="J1493"/>
      <c r="K1493" s="13" t="s">
        <v>135</v>
      </c>
      <c r="L1493" s="13" t="s">
        <v>411</v>
      </c>
      <c r="M1493" s="13" t="s">
        <v>362</v>
      </c>
      <c r="N1493" s="15">
        <v>0</v>
      </c>
      <c r="O1493" s="16">
        <v>18.055417303059528</v>
      </c>
      <c r="P1493" s="17">
        <v>0</v>
      </c>
      <c r="Q1493" s="17">
        <v>0</v>
      </c>
      <c r="R1493" s="13"/>
      <c r="S1493" s="13"/>
      <c r="T1493" s="13"/>
      <c r="U1493" s="13"/>
      <c r="V1493" s="13"/>
      <c r="W1493" s="13"/>
    </row>
    <row r="1494" spans="1:23" x14ac:dyDescent="0.2">
      <c r="A1494"/>
      <c r="B1494"/>
      <c r="C1494"/>
      <c r="D1494"/>
      <c r="E1494"/>
      <c r="F1494"/>
      <c r="G1494"/>
      <c r="H1494"/>
      <c r="I1494"/>
      <c r="J1494"/>
      <c r="K1494" s="13" t="s">
        <v>135</v>
      </c>
      <c r="L1494" s="13" t="s">
        <v>413</v>
      </c>
      <c r="M1494" s="13" t="s">
        <v>428</v>
      </c>
      <c r="N1494" s="15">
        <v>3</v>
      </c>
      <c r="O1494" s="16">
        <v>0</v>
      </c>
      <c r="P1494" s="17">
        <v>0</v>
      </c>
      <c r="Q1494" s="17">
        <v>0</v>
      </c>
      <c r="R1494" s="13"/>
      <c r="S1494" s="13"/>
      <c r="T1494" s="13"/>
      <c r="U1494" s="13"/>
      <c r="V1494" s="13"/>
      <c r="W1494" s="13"/>
    </row>
    <row r="1495" spans="1:23" x14ac:dyDescent="0.2">
      <c r="A1495"/>
      <c r="B1495"/>
      <c r="C1495"/>
      <c r="D1495"/>
      <c r="E1495"/>
      <c r="F1495"/>
      <c r="G1495"/>
      <c r="H1495"/>
      <c r="I1495"/>
      <c r="J1495"/>
      <c r="K1495" s="13" t="s">
        <v>135</v>
      </c>
      <c r="L1495" s="13" t="s">
        <v>605</v>
      </c>
      <c r="M1495" s="13" t="s">
        <v>429</v>
      </c>
      <c r="N1495" s="15">
        <v>0</v>
      </c>
      <c r="O1495" s="16">
        <v>19.90029911119629</v>
      </c>
      <c r="P1495" s="17">
        <v>0</v>
      </c>
      <c r="Q1495" s="17">
        <v>0</v>
      </c>
      <c r="R1495" s="13"/>
      <c r="S1495" s="13"/>
      <c r="T1495" s="13"/>
      <c r="U1495" s="13"/>
      <c r="V1495" s="13"/>
      <c r="W1495" s="13"/>
    </row>
    <row r="1496" spans="1:23" x14ac:dyDescent="0.2">
      <c r="A1496"/>
      <c r="B1496"/>
      <c r="C1496"/>
      <c r="D1496"/>
      <c r="E1496"/>
      <c r="F1496"/>
      <c r="G1496"/>
      <c r="H1496"/>
      <c r="I1496"/>
      <c r="J1496"/>
      <c r="K1496" s="13" t="s">
        <v>135</v>
      </c>
      <c r="L1496" s="13" t="s">
        <v>606</v>
      </c>
      <c r="M1496" s="13" t="s">
        <v>430</v>
      </c>
      <c r="N1496" s="15">
        <v>17</v>
      </c>
      <c r="O1496" s="16">
        <v>0</v>
      </c>
      <c r="P1496" s="17">
        <v>0</v>
      </c>
      <c r="Q1496" s="17">
        <v>0</v>
      </c>
      <c r="R1496" s="13"/>
      <c r="S1496" s="13"/>
      <c r="T1496" s="13"/>
      <c r="U1496" s="13"/>
      <c r="V1496" s="13"/>
      <c r="W1496" s="13"/>
    </row>
    <row r="1497" spans="1:23" x14ac:dyDescent="0.2">
      <c r="A1497"/>
      <c r="B1497"/>
      <c r="C1497"/>
      <c r="D1497"/>
      <c r="E1497"/>
      <c r="F1497"/>
      <c r="G1497"/>
      <c r="H1497"/>
      <c r="I1497"/>
      <c r="J1497"/>
      <c r="K1497" s="13" t="s">
        <v>135</v>
      </c>
      <c r="L1497" s="13" t="s">
        <v>619</v>
      </c>
      <c r="M1497" s="13" t="s">
        <v>508</v>
      </c>
      <c r="N1497" s="15">
        <v>24</v>
      </c>
      <c r="O1497" s="16">
        <v>0</v>
      </c>
      <c r="P1497" s="17">
        <v>0</v>
      </c>
      <c r="Q1497" s="17">
        <v>0</v>
      </c>
      <c r="R1497" s="13"/>
      <c r="S1497" s="13"/>
      <c r="T1497" s="13"/>
      <c r="U1497" s="13"/>
      <c r="V1497" s="13"/>
      <c r="W1497" s="13"/>
    </row>
    <row r="1498" spans="1:23" x14ac:dyDescent="0.2">
      <c r="A1498"/>
      <c r="B1498"/>
      <c r="C1498"/>
      <c r="D1498"/>
      <c r="E1498"/>
      <c r="F1498"/>
      <c r="G1498"/>
      <c r="H1498"/>
      <c r="I1498"/>
      <c r="J1498"/>
      <c r="K1498" s="13" t="s">
        <v>135</v>
      </c>
      <c r="L1498" s="13" t="s">
        <v>607</v>
      </c>
      <c r="M1498" s="13" t="s">
        <v>431</v>
      </c>
      <c r="N1498" s="15">
        <v>11</v>
      </c>
      <c r="O1498" s="16">
        <v>0</v>
      </c>
      <c r="P1498" s="17">
        <v>0</v>
      </c>
      <c r="Q1498" s="17">
        <v>0</v>
      </c>
      <c r="R1498" s="13"/>
      <c r="S1498" s="13"/>
      <c r="T1498" s="13"/>
      <c r="U1498" s="13"/>
      <c r="V1498" s="13"/>
      <c r="W1498" s="13"/>
    </row>
    <row r="1499" spans="1:23" x14ac:dyDescent="0.2">
      <c r="A1499"/>
      <c r="B1499"/>
      <c r="C1499"/>
      <c r="D1499"/>
      <c r="E1499"/>
      <c r="F1499"/>
      <c r="G1499"/>
      <c r="H1499"/>
      <c r="I1499"/>
      <c r="J1499"/>
      <c r="K1499" s="13" t="s">
        <v>135</v>
      </c>
      <c r="L1499" s="13" t="s">
        <v>608</v>
      </c>
      <c r="M1499" s="13" t="s">
        <v>432</v>
      </c>
      <c r="N1499" s="15">
        <v>22</v>
      </c>
      <c r="O1499" s="16">
        <v>0</v>
      </c>
      <c r="P1499" s="17">
        <v>0</v>
      </c>
      <c r="Q1499" s="17">
        <v>0</v>
      </c>
      <c r="R1499" s="13"/>
      <c r="S1499" s="13"/>
      <c r="T1499" s="13"/>
      <c r="U1499" s="13"/>
      <c r="V1499" s="13"/>
      <c r="W1499" s="13"/>
    </row>
    <row r="1500" spans="1:23" x14ac:dyDescent="0.2">
      <c r="A1500"/>
      <c r="B1500"/>
      <c r="C1500"/>
      <c r="D1500"/>
      <c r="E1500"/>
      <c r="F1500"/>
      <c r="G1500"/>
      <c r="H1500"/>
      <c r="I1500"/>
      <c r="J1500"/>
      <c r="K1500" s="13" t="s">
        <v>135</v>
      </c>
      <c r="L1500" s="13" t="s">
        <v>615</v>
      </c>
      <c r="M1500" s="13" t="s">
        <v>449</v>
      </c>
      <c r="N1500" s="15">
        <v>8</v>
      </c>
      <c r="O1500" s="16">
        <v>0</v>
      </c>
      <c r="P1500" s="17">
        <v>0</v>
      </c>
      <c r="Q1500" s="17">
        <v>0</v>
      </c>
      <c r="R1500" s="13"/>
      <c r="S1500" s="13"/>
      <c r="T1500" s="13"/>
      <c r="U1500" s="13"/>
      <c r="V1500" s="13"/>
      <c r="W1500" s="13"/>
    </row>
    <row r="1501" spans="1:23" x14ac:dyDescent="0.2">
      <c r="A1501"/>
      <c r="B1501"/>
      <c r="C1501"/>
      <c r="D1501"/>
      <c r="E1501"/>
      <c r="F1501"/>
      <c r="G1501"/>
      <c r="H1501"/>
      <c r="I1501"/>
      <c r="J1501"/>
      <c r="K1501" s="13" t="s">
        <v>135</v>
      </c>
      <c r="L1501" s="13" t="s">
        <v>415</v>
      </c>
      <c r="M1501" s="13" t="s">
        <v>412</v>
      </c>
      <c r="N1501" s="15">
        <v>0</v>
      </c>
      <c r="O1501" s="16">
        <v>0</v>
      </c>
      <c r="P1501" s="17">
        <v>21.496949999590939</v>
      </c>
      <c r="Q1501" s="17">
        <v>0</v>
      </c>
      <c r="R1501" s="13"/>
      <c r="S1501" s="13"/>
      <c r="T1501" s="13"/>
      <c r="U1501" s="13"/>
      <c r="V1501" s="13"/>
      <c r="W1501" s="13"/>
    </row>
    <row r="1502" spans="1:23" x14ac:dyDescent="0.2">
      <c r="A1502"/>
      <c r="B1502"/>
      <c r="C1502"/>
      <c r="D1502"/>
      <c r="E1502"/>
      <c r="F1502"/>
      <c r="G1502"/>
      <c r="H1502"/>
      <c r="I1502"/>
      <c r="J1502"/>
      <c r="K1502" s="13" t="s">
        <v>135</v>
      </c>
      <c r="L1502" s="13" t="s">
        <v>523</v>
      </c>
      <c r="M1502" s="13" t="s">
        <v>476</v>
      </c>
      <c r="N1502" s="15">
        <v>0</v>
      </c>
      <c r="O1502" s="16">
        <v>0</v>
      </c>
      <c r="P1502" s="17">
        <v>0.77945000172250434</v>
      </c>
      <c r="Q1502" s="17">
        <v>0</v>
      </c>
      <c r="R1502" s="13"/>
      <c r="S1502" s="13"/>
      <c r="T1502" s="13"/>
      <c r="U1502" s="13"/>
      <c r="V1502" s="13"/>
      <c r="W1502" s="13"/>
    </row>
    <row r="1503" spans="1:23" x14ac:dyDescent="0.2">
      <c r="A1503"/>
      <c r="B1503"/>
      <c r="C1503"/>
      <c r="D1503"/>
      <c r="E1503"/>
      <c r="F1503"/>
      <c r="G1503"/>
      <c r="H1503"/>
      <c r="I1503"/>
      <c r="J1503"/>
      <c r="K1503" s="13" t="s">
        <v>135</v>
      </c>
      <c r="L1503" s="13" t="s">
        <v>609</v>
      </c>
      <c r="M1503" s="13" t="s">
        <v>416</v>
      </c>
      <c r="N1503" s="15">
        <v>0</v>
      </c>
      <c r="O1503" s="16">
        <v>15.152832006539274</v>
      </c>
      <c r="P1503" s="17">
        <v>0</v>
      </c>
      <c r="Q1503" s="17">
        <v>0</v>
      </c>
      <c r="R1503" s="13"/>
      <c r="S1503" s="13"/>
      <c r="T1503" s="13"/>
      <c r="U1503" s="13"/>
      <c r="V1503" s="13"/>
      <c r="W1503" s="13"/>
    </row>
    <row r="1504" spans="1:23" x14ac:dyDescent="0.2">
      <c r="A1504"/>
      <c r="B1504"/>
      <c r="C1504"/>
      <c r="D1504"/>
      <c r="E1504"/>
      <c r="F1504"/>
      <c r="G1504"/>
      <c r="H1504"/>
      <c r="I1504"/>
      <c r="J1504"/>
      <c r="K1504" s="13" t="s">
        <v>135</v>
      </c>
      <c r="L1504" s="13" t="s">
        <v>622</v>
      </c>
      <c r="M1504" s="13" t="s">
        <v>524</v>
      </c>
      <c r="N1504" s="15">
        <v>0</v>
      </c>
      <c r="O1504" s="16">
        <v>28.992455641625565</v>
      </c>
      <c r="P1504" s="17">
        <v>0</v>
      </c>
      <c r="Q1504" s="17">
        <v>0</v>
      </c>
      <c r="R1504" s="13"/>
      <c r="S1504" s="13"/>
      <c r="T1504" s="13"/>
      <c r="U1504" s="13"/>
      <c r="V1504" s="13"/>
      <c r="W1504" s="13"/>
    </row>
    <row r="1505" spans="1:23" x14ac:dyDescent="0.2">
      <c r="A1505"/>
      <c r="B1505"/>
      <c r="C1505"/>
      <c r="D1505"/>
      <c r="E1505"/>
      <c r="F1505"/>
      <c r="G1505"/>
      <c r="H1505"/>
      <c r="I1505"/>
      <c r="J1505"/>
      <c r="K1505" s="13" t="s">
        <v>135</v>
      </c>
      <c r="L1505" s="13" t="s">
        <v>421</v>
      </c>
      <c r="M1505" s="13" t="s">
        <v>443</v>
      </c>
      <c r="N1505" s="15">
        <v>30</v>
      </c>
      <c r="O1505" s="16">
        <v>0</v>
      </c>
      <c r="P1505" s="17">
        <v>0</v>
      </c>
      <c r="Q1505" s="17">
        <v>0</v>
      </c>
      <c r="R1505" s="13"/>
      <c r="S1505" s="13"/>
      <c r="T1505" s="13"/>
      <c r="U1505" s="13"/>
      <c r="V1505" s="13"/>
      <c r="W1505" s="13"/>
    </row>
    <row r="1506" spans="1:23" x14ac:dyDescent="0.2">
      <c r="A1506"/>
      <c r="B1506"/>
      <c r="C1506"/>
      <c r="D1506"/>
      <c r="E1506"/>
      <c r="F1506"/>
      <c r="G1506"/>
      <c r="H1506"/>
      <c r="I1506"/>
      <c r="J1506"/>
      <c r="K1506" s="13" t="s">
        <v>135</v>
      </c>
      <c r="L1506" s="13" t="s">
        <v>383</v>
      </c>
      <c r="M1506" s="13" t="s">
        <v>420</v>
      </c>
      <c r="N1506" s="15">
        <v>16</v>
      </c>
      <c r="O1506" s="16">
        <v>0</v>
      </c>
      <c r="P1506" s="17">
        <v>0</v>
      </c>
      <c r="Q1506" s="17">
        <v>0</v>
      </c>
      <c r="R1506" s="13"/>
      <c r="S1506" s="13"/>
      <c r="T1506" s="13"/>
      <c r="U1506" s="13"/>
      <c r="V1506" s="13"/>
      <c r="W1506" s="13"/>
    </row>
    <row r="1507" spans="1:23" x14ac:dyDescent="0.2">
      <c r="A1507"/>
      <c r="B1507"/>
      <c r="C1507"/>
      <c r="D1507"/>
      <c r="E1507"/>
      <c r="F1507"/>
      <c r="G1507"/>
      <c r="H1507"/>
      <c r="I1507"/>
      <c r="J1507"/>
      <c r="K1507" s="13" t="s">
        <v>135</v>
      </c>
      <c r="L1507" s="13" t="s">
        <v>467</v>
      </c>
      <c r="M1507" s="13" t="s">
        <v>422</v>
      </c>
      <c r="N1507" s="15">
        <v>0</v>
      </c>
      <c r="O1507" s="16">
        <v>913.73477200443631</v>
      </c>
      <c r="P1507" s="17">
        <v>0</v>
      </c>
      <c r="Q1507" s="17">
        <v>0</v>
      </c>
      <c r="R1507" s="13"/>
      <c r="S1507" s="13"/>
      <c r="T1507" s="13"/>
      <c r="U1507" s="13"/>
      <c r="V1507" s="13"/>
      <c r="W1507" s="13"/>
    </row>
    <row r="1508" spans="1:23" x14ac:dyDescent="0.2">
      <c r="A1508"/>
      <c r="B1508"/>
      <c r="C1508"/>
      <c r="D1508"/>
      <c r="E1508"/>
      <c r="F1508"/>
      <c r="G1508"/>
      <c r="H1508"/>
      <c r="I1508"/>
      <c r="J1508"/>
      <c r="K1508" s="13" t="s">
        <v>135</v>
      </c>
      <c r="L1508" s="13" t="s">
        <v>528</v>
      </c>
      <c r="M1508" s="13" t="s">
        <v>384</v>
      </c>
      <c r="N1508" s="15">
        <v>0</v>
      </c>
      <c r="O1508" s="16">
        <v>1988.8624878593855</v>
      </c>
      <c r="P1508" s="17">
        <v>0</v>
      </c>
      <c r="Q1508" s="17">
        <v>0</v>
      </c>
      <c r="R1508" s="13"/>
      <c r="S1508" s="13"/>
      <c r="T1508" s="13"/>
      <c r="U1508" s="13"/>
      <c r="V1508" s="13"/>
      <c r="W1508" s="13"/>
    </row>
    <row r="1509" spans="1:23" x14ac:dyDescent="0.2">
      <c r="A1509"/>
      <c r="B1509"/>
      <c r="C1509"/>
      <c r="D1509"/>
      <c r="E1509"/>
      <c r="F1509"/>
      <c r="G1509"/>
      <c r="H1509"/>
      <c r="I1509"/>
      <c r="J1509"/>
      <c r="K1509" s="13" t="s">
        <v>135</v>
      </c>
      <c r="L1509" s="13" t="s">
        <v>613</v>
      </c>
      <c r="M1509" s="13" t="s">
        <v>444</v>
      </c>
      <c r="N1509" s="15">
        <v>0</v>
      </c>
      <c r="O1509" s="16">
        <v>14.368822060509082</v>
      </c>
      <c r="P1509" s="17">
        <v>0</v>
      </c>
      <c r="Q1509" s="17">
        <v>0</v>
      </c>
      <c r="R1509" s="13"/>
      <c r="S1509" s="13"/>
      <c r="T1509" s="13"/>
      <c r="U1509" s="13"/>
      <c r="V1509" s="13"/>
      <c r="W1509" s="13"/>
    </row>
    <row r="1510" spans="1:23" x14ac:dyDescent="0.2">
      <c r="A1510"/>
      <c r="B1510"/>
      <c r="C1510"/>
      <c r="D1510"/>
      <c r="E1510"/>
      <c r="F1510"/>
      <c r="G1510"/>
      <c r="H1510"/>
      <c r="I1510"/>
      <c r="J1510"/>
      <c r="K1510" s="13" t="s">
        <v>135</v>
      </c>
      <c r="L1510" s="13" t="s">
        <v>611</v>
      </c>
      <c r="M1510" s="13" t="s">
        <v>423</v>
      </c>
      <c r="N1510" s="15">
        <v>0</v>
      </c>
      <c r="O1510" s="16">
        <v>131.15586112066819</v>
      </c>
      <c r="P1510" s="17">
        <v>0</v>
      </c>
      <c r="Q1510" s="17">
        <v>0</v>
      </c>
      <c r="R1510" s="13"/>
      <c r="S1510" s="13"/>
      <c r="T1510" s="13"/>
      <c r="U1510" s="13"/>
      <c r="V1510" s="13"/>
      <c r="W1510" s="13"/>
    </row>
    <row r="1511" spans="1:23" x14ac:dyDescent="0.2">
      <c r="A1511"/>
      <c r="B1511"/>
      <c r="C1511"/>
      <c r="D1511"/>
      <c r="E1511"/>
      <c r="F1511"/>
      <c r="G1511"/>
      <c r="H1511"/>
      <c r="I1511"/>
      <c r="J1511"/>
      <c r="K1511" s="13" t="s">
        <v>135</v>
      </c>
      <c r="L1511" s="13" t="s">
        <v>614</v>
      </c>
      <c r="M1511" s="13" t="s">
        <v>447</v>
      </c>
      <c r="N1511" s="15">
        <v>40</v>
      </c>
      <c r="O1511" s="16">
        <v>0</v>
      </c>
      <c r="P1511" s="17">
        <v>0</v>
      </c>
      <c r="Q1511" s="17">
        <v>0</v>
      </c>
      <c r="R1511" s="13"/>
      <c r="S1511" s="13"/>
      <c r="T1511" s="13"/>
      <c r="U1511" s="13"/>
      <c r="V1511" s="13"/>
      <c r="W1511" s="13"/>
    </row>
    <row r="1512" spans="1:23" x14ac:dyDescent="0.2">
      <c r="A1512"/>
      <c r="B1512"/>
      <c r="C1512"/>
      <c r="D1512"/>
      <c r="E1512"/>
      <c r="F1512"/>
      <c r="G1512"/>
      <c r="H1512"/>
      <c r="I1512"/>
      <c r="J1512"/>
      <c r="K1512" s="13" t="s">
        <v>135</v>
      </c>
      <c r="L1512" s="13" t="s">
        <v>612</v>
      </c>
      <c r="M1512" s="13" t="s">
        <v>425</v>
      </c>
      <c r="N1512" s="15">
        <v>9</v>
      </c>
      <c r="O1512" s="16">
        <v>0</v>
      </c>
      <c r="P1512" s="17">
        <v>0</v>
      </c>
      <c r="Q1512" s="17">
        <v>0</v>
      </c>
      <c r="R1512" s="13"/>
      <c r="S1512" s="13"/>
      <c r="T1512" s="13"/>
      <c r="U1512" s="13"/>
      <c r="V1512" s="13"/>
      <c r="W1512" s="13"/>
    </row>
    <row r="1513" spans="1:23" x14ac:dyDescent="0.2">
      <c r="A1513"/>
      <c r="B1513"/>
      <c r="C1513"/>
      <c r="D1513"/>
      <c r="E1513"/>
      <c r="F1513"/>
      <c r="G1513"/>
      <c r="H1513"/>
      <c r="I1513"/>
      <c r="J1513"/>
      <c r="K1513" s="13" t="s">
        <v>135</v>
      </c>
      <c r="L1513" s="13" t="s">
        <v>469</v>
      </c>
      <c r="M1513" s="13" t="s">
        <v>426</v>
      </c>
      <c r="N1513" s="15">
        <v>31</v>
      </c>
      <c r="O1513" s="16">
        <v>0</v>
      </c>
      <c r="P1513" s="17">
        <v>0</v>
      </c>
      <c r="Q1513" s="17">
        <v>0</v>
      </c>
      <c r="R1513" s="13"/>
      <c r="S1513" s="13"/>
      <c r="T1513" s="13"/>
      <c r="U1513" s="13"/>
      <c r="V1513" s="13"/>
      <c r="W1513" s="13"/>
    </row>
    <row r="1514" spans="1:23" x14ac:dyDescent="0.2">
      <c r="A1514"/>
      <c r="B1514"/>
      <c r="C1514"/>
      <c r="D1514"/>
      <c r="E1514"/>
      <c r="F1514"/>
      <c r="G1514"/>
      <c r="H1514"/>
      <c r="I1514"/>
      <c r="J1514"/>
      <c r="K1514" s="13" t="s">
        <v>135</v>
      </c>
      <c r="L1514" s="13" t="s">
        <v>454</v>
      </c>
      <c r="M1514" s="13" t="s">
        <v>455</v>
      </c>
      <c r="N1514" s="15">
        <v>0</v>
      </c>
      <c r="O1514" s="16">
        <v>0</v>
      </c>
      <c r="P1514" s="17">
        <v>43.033950000016674</v>
      </c>
      <c r="Q1514" s="17">
        <v>0</v>
      </c>
      <c r="R1514" s="13"/>
      <c r="S1514" s="13"/>
      <c r="T1514" s="13"/>
      <c r="U1514" s="13"/>
      <c r="V1514" s="13"/>
      <c r="W1514" s="13"/>
    </row>
    <row r="1515" spans="1:23" x14ac:dyDescent="0.2">
      <c r="A1515"/>
      <c r="B1515"/>
      <c r="C1515"/>
      <c r="D1515"/>
      <c r="E1515"/>
      <c r="F1515"/>
      <c r="G1515"/>
      <c r="H1515"/>
      <c r="I1515"/>
      <c r="J1515"/>
      <c r="K1515" s="13" t="s">
        <v>580</v>
      </c>
      <c r="L1515" s="13" t="s">
        <v>435</v>
      </c>
      <c r="M1515" s="13" t="s">
        <v>364</v>
      </c>
      <c r="N1515" s="15">
        <v>0</v>
      </c>
      <c r="O1515" s="16">
        <v>0</v>
      </c>
      <c r="P1515" s="17">
        <v>466.5846499759125</v>
      </c>
      <c r="Q1515" s="17">
        <v>0</v>
      </c>
      <c r="R1515" s="13"/>
      <c r="S1515" s="13"/>
      <c r="T1515" s="13"/>
      <c r="U1515" s="13"/>
      <c r="V1515" s="13"/>
      <c r="W1515" s="13"/>
    </row>
    <row r="1516" spans="1:23" x14ac:dyDescent="0.2">
      <c r="A1516"/>
      <c r="B1516"/>
      <c r="C1516"/>
      <c r="D1516"/>
      <c r="E1516"/>
      <c r="F1516"/>
      <c r="G1516"/>
      <c r="H1516"/>
      <c r="I1516"/>
      <c r="J1516"/>
      <c r="K1516" s="13" t="s">
        <v>580</v>
      </c>
      <c r="L1516" s="13" t="s">
        <v>435</v>
      </c>
      <c r="M1516" s="13" t="s">
        <v>364</v>
      </c>
      <c r="N1516" s="15">
        <v>0</v>
      </c>
      <c r="O1516" s="16">
        <v>27.473472539138662</v>
      </c>
      <c r="P1516" s="17">
        <v>0</v>
      </c>
      <c r="Q1516" s="17">
        <v>0</v>
      </c>
      <c r="R1516" s="13"/>
      <c r="S1516" s="13"/>
      <c r="T1516" s="13"/>
      <c r="U1516" s="13"/>
      <c r="V1516" s="13"/>
      <c r="W1516" s="13"/>
    </row>
    <row r="1517" spans="1:23" x14ac:dyDescent="0.2">
      <c r="A1517"/>
      <c r="B1517"/>
      <c r="C1517"/>
      <c r="D1517"/>
      <c r="E1517"/>
      <c r="F1517"/>
      <c r="G1517"/>
      <c r="H1517"/>
      <c r="I1517"/>
      <c r="J1517"/>
      <c r="K1517" s="13" t="s">
        <v>580</v>
      </c>
      <c r="L1517" s="13" t="s">
        <v>536</v>
      </c>
      <c r="M1517" s="13" t="s">
        <v>378</v>
      </c>
      <c r="N1517" s="15">
        <v>0</v>
      </c>
      <c r="O1517" s="16">
        <v>116.85998758234706</v>
      </c>
      <c r="P1517" s="17">
        <v>0</v>
      </c>
      <c r="Q1517" s="17">
        <v>0</v>
      </c>
      <c r="R1517" s="13"/>
      <c r="S1517" s="13"/>
      <c r="T1517" s="13"/>
      <c r="U1517" s="13"/>
      <c r="V1517" s="13"/>
      <c r="W1517" s="13"/>
    </row>
    <row r="1518" spans="1:23" x14ac:dyDescent="0.2">
      <c r="A1518"/>
      <c r="B1518"/>
      <c r="C1518"/>
      <c r="D1518"/>
      <c r="E1518"/>
      <c r="F1518"/>
      <c r="G1518"/>
      <c r="H1518"/>
      <c r="I1518"/>
      <c r="J1518"/>
      <c r="K1518" s="13" t="s">
        <v>580</v>
      </c>
      <c r="L1518" s="13" t="s">
        <v>387</v>
      </c>
      <c r="M1518" s="13" t="s">
        <v>386</v>
      </c>
      <c r="N1518" s="15">
        <v>0</v>
      </c>
      <c r="O1518" s="16">
        <v>0</v>
      </c>
      <c r="P1518" s="17">
        <v>836.56984999059455</v>
      </c>
      <c r="Q1518" s="17">
        <v>0</v>
      </c>
      <c r="R1518" s="13"/>
      <c r="S1518" s="13"/>
      <c r="T1518" s="13"/>
      <c r="U1518" s="13"/>
      <c r="V1518" s="13"/>
      <c r="W1518" s="13"/>
    </row>
    <row r="1519" spans="1:23" x14ac:dyDescent="0.2">
      <c r="A1519"/>
      <c r="B1519"/>
      <c r="C1519"/>
      <c r="D1519"/>
      <c r="E1519"/>
      <c r="F1519"/>
      <c r="G1519"/>
      <c r="H1519"/>
      <c r="I1519"/>
      <c r="J1519"/>
      <c r="K1519" s="13" t="s">
        <v>580</v>
      </c>
      <c r="L1519" s="13" t="s">
        <v>389</v>
      </c>
      <c r="M1519" s="13" t="s">
        <v>388</v>
      </c>
      <c r="N1519" s="15">
        <v>0</v>
      </c>
      <c r="O1519" s="16">
        <v>0</v>
      </c>
      <c r="P1519" s="17">
        <v>518.21064999615919</v>
      </c>
      <c r="Q1519" s="17">
        <v>0</v>
      </c>
      <c r="R1519" s="13"/>
      <c r="S1519" s="13"/>
      <c r="T1519" s="13"/>
      <c r="U1519" s="13"/>
      <c r="V1519" s="13"/>
      <c r="W1519" s="13"/>
    </row>
    <row r="1520" spans="1:23" x14ac:dyDescent="0.2">
      <c r="A1520"/>
      <c r="B1520"/>
      <c r="C1520"/>
      <c r="D1520"/>
      <c r="E1520"/>
      <c r="F1520"/>
      <c r="G1520"/>
      <c r="H1520"/>
      <c r="I1520"/>
      <c r="J1520"/>
      <c r="K1520" s="13" t="s">
        <v>580</v>
      </c>
      <c r="L1520" s="13" t="s">
        <v>391</v>
      </c>
      <c r="M1520" s="13" t="s">
        <v>358</v>
      </c>
      <c r="N1520" s="15">
        <v>0</v>
      </c>
      <c r="O1520" s="16">
        <v>0</v>
      </c>
      <c r="P1520" s="17">
        <v>186.82735000197295</v>
      </c>
      <c r="Q1520" s="17">
        <v>0</v>
      </c>
      <c r="R1520" s="13"/>
      <c r="S1520" s="13"/>
      <c r="T1520" s="13"/>
      <c r="U1520" s="13"/>
      <c r="V1520" s="13"/>
      <c r="W1520" s="13"/>
    </row>
    <row r="1521" spans="1:23" x14ac:dyDescent="0.2">
      <c r="A1521"/>
      <c r="B1521"/>
      <c r="C1521"/>
      <c r="D1521"/>
      <c r="E1521"/>
      <c r="F1521"/>
      <c r="G1521"/>
      <c r="H1521"/>
      <c r="I1521"/>
      <c r="J1521"/>
      <c r="K1521" s="13" t="s">
        <v>580</v>
      </c>
      <c r="L1521" s="13" t="s">
        <v>450</v>
      </c>
      <c r="M1521" s="13" t="s">
        <v>368</v>
      </c>
      <c r="N1521" s="15">
        <v>0</v>
      </c>
      <c r="O1521" s="16">
        <v>0</v>
      </c>
      <c r="P1521" s="17">
        <v>14.880599975253542</v>
      </c>
      <c r="Q1521" s="17">
        <v>0</v>
      </c>
      <c r="R1521" s="13"/>
      <c r="S1521" s="13"/>
      <c r="T1521" s="13"/>
      <c r="U1521" s="13"/>
      <c r="V1521" s="13"/>
      <c r="W1521" s="13"/>
    </row>
    <row r="1522" spans="1:23" x14ac:dyDescent="0.2">
      <c r="A1522"/>
      <c r="B1522"/>
      <c r="C1522"/>
      <c r="D1522"/>
      <c r="E1522"/>
      <c r="F1522"/>
      <c r="G1522"/>
      <c r="H1522"/>
      <c r="I1522"/>
      <c r="J1522"/>
      <c r="K1522" s="13" t="s">
        <v>580</v>
      </c>
      <c r="L1522" s="13" t="s">
        <v>519</v>
      </c>
      <c r="M1522" s="13" t="s">
        <v>478</v>
      </c>
      <c r="N1522" s="15">
        <v>0</v>
      </c>
      <c r="O1522" s="16">
        <v>0</v>
      </c>
      <c r="P1522" s="17">
        <v>6546.736249803289</v>
      </c>
      <c r="Q1522" s="17">
        <v>0</v>
      </c>
      <c r="R1522" s="13"/>
      <c r="S1522" s="13"/>
      <c r="T1522" s="13"/>
      <c r="U1522" s="13"/>
      <c r="V1522" s="13"/>
      <c r="W1522" s="13"/>
    </row>
    <row r="1523" spans="1:23" x14ac:dyDescent="0.2">
      <c r="A1523"/>
      <c r="B1523"/>
      <c r="C1523"/>
      <c r="D1523"/>
      <c r="E1523"/>
      <c r="F1523"/>
      <c r="G1523"/>
      <c r="H1523"/>
      <c r="I1523"/>
      <c r="J1523"/>
      <c r="K1523" s="13" t="s">
        <v>580</v>
      </c>
      <c r="L1523" s="13" t="s">
        <v>445</v>
      </c>
      <c r="M1523" s="13" t="s">
        <v>365</v>
      </c>
      <c r="N1523" s="15">
        <v>0</v>
      </c>
      <c r="O1523" s="16">
        <v>0</v>
      </c>
      <c r="P1523" s="17">
        <v>2.0524000041395425</v>
      </c>
      <c r="Q1523" s="17">
        <v>0</v>
      </c>
      <c r="R1523" s="13"/>
      <c r="S1523" s="13"/>
      <c r="T1523" s="13"/>
      <c r="U1523" s="13"/>
      <c r="V1523" s="13"/>
      <c r="W1523" s="13"/>
    </row>
    <row r="1524" spans="1:23" x14ac:dyDescent="0.2">
      <c r="A1524"/>
      <c r="B1524"/>
      <c r="C1524"/>
      <c r="D1524"/>
      <c r="E1524"/>
      <c r="F1524"/>
      <c r="G1524"/>
      <c r="H1524"/>
      <c r="I1524"/>
      <c r="J1524"/>
      <c r="K1524" s="13" t="s">
        <v>580</v>
      </c>
      <c r="L1524" s="13" t="s">
        <v>401</v>
      </c>
      <c r="M1524" s="13" t="s">
        <v>360</v>
      </c>
      <c r="N1524" s="15">
        <v>0</v>
      </c>
      <c r="O1524" s="16">
        <v>0</v>
      </c>
      <c r="P1524" s="17">
        <v>3006.2389999278985</v>
      </c>
      <c r="Q1524" s="17">
        <v>0</v>
      </c>
      <c r="R1524" s="13"/>
      <c r="S1524" s="13"/>
      <c r="T1524" s="13"/>
      <c r="U1524" s="13"/>
      <c r="V1524" s="13"/>
      <c r="W1524" s="13"/>
    </row>
    <row r="1525" spans="1:23" x14ac:dyDescent="0.2">
      <c r="A1525"/>
      <c r="B1525"/>
      <c r="C1525"/>
      <c r="D1525"/>
      <c r="E1525"/>
      <c r="F1525"/>
      <c r="G1525"/>
      <c r="H1525"/>
      <c r="I1525"/>
      <c r="J1525"/>
      <c r="K1525" s="13" t="s">
        <v>580</v>
      </c>
      <c r="L1525" s="13" t="s">
        <v>402</v>
      </c>
      <c r="M1525" s="13" t="s">
        <v>403</v>
      </c>
      <c r="N1525" s="15">
        <v>0</v>
      </c>
      <c r="O1525" s="16">
        <v>0</v>
      </c>
      <c r="P1525" s="17">
        <v>2314.6330450842197</v>
      </c>
      <c r="Q1525" s="17">
        <v>0</v>
      </c>
      <c r="R1525" s="13"/>
      <c r="S1525" s="13"/>
      <c r="T1525" s="13"/>
      <c r="U1525" s="13"/>
      <c r="V1525" s="13"/>
      <c r="W1525" s="13"/>
    </row>
    <row r="1526" spans="1:23" x14ac:dyDescent="0.2">
      <c r="A1526"/>
      <c r="B1526"/>
      <c r="C1526"/>
      <c r="D1526"/>
      <c r="E1526"/>
      <c r="F1526"/>
      <c r="G1526"/>
      <c r="H1526"/>
      <c r="I1526"/>
      <c r="J1526"/>
      <c r="K1526" s="13" t="s">
        <v>580</v>
      </c>
      <c r="L1526" s="13" t="s">
        <v>521</v>
      </c>
      <c r="M1526" s="13" t="s">
        <v>522</v>
      </c>
      <c r="N1526" s="15">
        <v>0</v>
      </c>
      <c r="O1526" s="16">
        <v>0</v>
      </c>
      <c r="P1526" s="17">
        <v>11445.070949834371</v>
      </c>
      <c r="Q1526" s="17">
        <v>0</v>
      </c>
      <c r="R1526" s="13"/>
      <c r="S1526" s="13"/>
      <c r="T1526" s="13"/>
      <c r="U1526" s="13"/>
      <c r="V1526" s="13"/>
      <c r="W1526" s="13"/>
    </row>
    <row r="1527" spans="1:23" x14ac:dyDescent="0.2">
      <c r="A1527"/>
      <c r="B1527"/>
      <c r="C1527"/>
      <c r="D1527"/>
      <c r="E1527"/>
      <c r="F1527"/>
      <c r="G1527"/>
      <c r="H1527"/>
      <c r="I1527"/>
      <c r="J1527"/>
      <c r="K1527" s="13" t="s">
        <v>580</v>
      </c>
      <c r="L1527" s="13" t="s">
        <v>448</v>
      </c>
      <c r="M1527" s="13" t="s">
        <v>366</v>
      </c>
      <c r="N1527" s="15">
        <v>0</v>
      </c>
      <c r="O1527" s="16">
        <v>0</v>
      </c>
      <c r="P1527" s="17">
        <v>1312.3314549198278</v>
      </c>
      <c r="Q1527" s="17">
        <v>0</v>
      </c>
      <c r="R1527" s="13"/>
      <c r="S1527" s="13"/>
      <c r="T1527" s="13"/>
      <c r="U1527" s="13"/>
      <c r="V1527" s="13"/>
      <c r="W1527" s="13"/>
    </row>
    <row r="1528" spans="1:23" x14ac:dyDescent="0.2">
      <c r="A1528"/>
      <c r="B1528"/>
      <c r="C1528"/>
      <c r="D1528"/>
      <c r="E1528"/>
      <c r="F1528"/>
      <c r="G1528"/>
      <c r="H1528"/>
      <c r="I1528"/>
      <c r="J1528"/>
      <c r="K1528" s="13" t="s">
        <v>580</v>
      </c>
      <c r="L1528" s="13" t="s">
        <v>605</v>
      </c>
      <c r="M1528" s="13" t="s">
        <v>429</v>
      </c>
      <c r="N1528" s="15">
        <v>0</v>
      </c>
      <c r="O1528" s="16">
        <v>21.470815049379134</v>
      </c>
      <c r="P1528" s="17">
        <v>0</v>
      </c>
      <c r="Q1528" s="17">
        <v>0</v>
      </c>
      <c r="R1528" s="13"/>
      <c r="S1528" s="13"/>
      <c r="T1528" s="13"/>
      <c r="U1528" s="13"/>
      <c r="V1528" s="13"/>
      <c r="W1528" s="13"/>
    </row>
    <row r="1529" spans="1:23" x14ac:dyDescent="0.2">
      <c r="A1529"/>
      <c r="B1529"/>
      <c r="C1529"/>
      <c r="D1529"/>
      <c r="E1529"/>
      <c r="F1529"/>
      <c r="G1529"/>
      <c r="H1529"/>
      <c r="I1529"/>
      <c r="J1529"/>
      <c r="K1529" s="13" t="s">
        <v>580</v>
      </c>
      <c r="L1529" s="13" t="s">
        <v>606</v>
      </c>
      <c r="M1529" s="13" t="s">
        <v>430</v>
      </c>
      <c r="N1529" s="15">
        <v>1</v>
      </c>
      <c r="O1529" s="16">
        <v>0</v>
      </c>
      <c r="P1529" s="17">
        <v>0</v>
      </c>
      <c r="Q1529" s="17">
        <v>0</v>
      </c>
      <c r="R1529" s="13"/>
      <c r="S1529" s="13"/>
      <c r="T1529" s="13"/>
      <c r="U1529" s="13"/>
      <c r="V1529" s="13"/>
      <c r="W1529" s="13"/>
    </row>
    <row r="1530" spans="1:23" x14ac:dyDescent="0.2">
      <c r="A1530"/>
      <c r="B1530"/>
      <c r="C1530"/>
      <c r="D1530"/>
      <c r="E1530"/>
      <c r="F1530"/>
      <c r="G1530"/>
      <c r="H1530"/>
      <c r="I1530"/>
      <c r="J1530"/>
      <c r="K1530" s="13" t="s">
        <v>580</v>
      </c>
      <c r="L1530" s="13" t="s">
        <v>619</v>
      </c>
      <c r="M1530" s="13" t="s">
        <v>508</v>
      </c>
      <c r="N1530" s="15">
        <v>16</v>
      </c>
      <c r="O1530" s="16">
        <v>0</v>
      </c>
      <c r="P1530" s="17">
        <v>0</v>
      </c>
      <c r="Q1530" s="17">
        <v>0</v>
      </c>
      <c r="R1530" s="13"/>
      <c r="S1530" s="13"/>
      <c r="T1530" s="13"/>
      <c r="U1530" s="13"/>
      <c r="V1530" s="13"/>
      <c r="W1530" s="13"/>
    </row>
    <row r="1531" spans="1:23" x14ac:dyDescent="0.2">
      <c r="A1531"/>
      <c r="B1531"/>
      <c r="C1531"/>
      <c r="D1531"/>
      <c r="E1531"/>
      <c r="F1531"/>
      <c r="G1531"/>
      <c r="H1531"/>
      <c r="I1531"/>
      <c r="J1531"/>
      <c r="K1531" s="13" t="s">
        <v>580</v>
      </c>
      <c r="L1531" s="13" t="s">
        <v>607</v>
      </c>
      <c r="M1531" s="13" t="s">
        <v>431</v>
      </c>
      <c r="N1531" s="15">
        <v>1</v>
      </c>
      <c r="O1531" s="16">
        <v>0</v>
      </c>
      <c r="P1531" s="17">
        <v>0</v>
      </c>
      <c r="Q1531" s="17">
        <v>0</v>
      </c>
      <c r="R1531" s="13"/>
      <c r="S1531" s="13"/>
      <c r="T1531" s="13"/>
      <c r="U1531" s="13"/>
      <c r="V1531" s="13"/>
      <c r="W1531" s="13"/>
    </row>
    <row r="1532" spans="1:23" x14ac:dyDescent="0.2">
      <c r="A1532"/>
      <c r="B1532"/>
      <c r="C1532"/>
      <c r="D1532"/>
      <c r="E1532"/>
      <c r="F1532"/>
      <c r="G1532"/>
      <c r="H1532"/>
      <c r="I1532"/>
      <c r="J1532"/>
      <c r="K1532" s="13" t="s">
        <v>580</v>
      </c>
      <c r="L1532" s="13" t="s">
        <v>615</v>
      </c>
      <c r="M1532" s="13" t="s">
        <v>449</v>
      </c>
      <c r="N1532" s="15">
        <v>1</v>
      </c>
      <c r="O1532" s="16">
        <v>0</v>
      </c>
      <c r="P1532" s="17">
        <v>0</v>
      </c>
      <c r="Q1532" s="17">
        <v>0</v>
      </c>
      <c r="R1532" s="13"/>
      <c r="S1532" s="13"/>
      <c r="T1532" s="13"/>
      <c r="U1532" s="13"/>
      <c r="V1532" s="13"/>
      <c r="W1532" s="13"/>
    </row>
    <row r="1533" spans="1:23" x14ac:dyDescent="0.2">
      <c r="A1533"/>
      <c r="B1533"/>
      <c r="C1533"/>
      <c r="D1533"/>
      <c r="E1533"/>
      <c r="F1533"/>
      <c r="G1533"/>
      <c r="H1533"/>
      <c r="I1533"/>
      <c r="J1533"/>
      <c r="K1533" s="13" t="s">
        <v>580</v>
      </c>
      <c r="L1533" s="13" t="s">
        <v>609</v>
      </c>
      <c r="M1533" s="13" t="s">
        <v>416</v>
      </c>
      <c r="N1533" s="15">
        <v>0</v>
      </c>
      <c r="O1533" s="16">
        <v>7.6797612976588185</v>
      </c>
      <c r="P1533" s="17">
        <v>0</v>
      </c>
      <c r="Q1533" s="17">
        <v>0</v>
      </c>
      <c r="R1533" s="13"/>
      <c r="S1533" s="13"/>
      <c r="T1533" s="13"/>
      <c r="U1533" s="13"/>
      <c r="V1533" s="13"/>
      <c r="W1533" s="13"/>
    </row>
    <row r="1534" spans="1:23" x14ac:dyDescent="0.2">
      <c r="A1534"/>
      <c r="B1534"/>
      <c r="C1534"/>
      <c r="D1534"/>
      <c r="E1534"/>
      <c r="F1534"/>
      <c r="G1534"/>
      <c r="H1534"/>
      <c r="I1534"/>
      <c r="J1534"/>
      <c r="K1534" s="13" t="s">
        <v>580</v>
      </c>
      <c r="L1534" s="13" t="s">
        <v>421</v>
      </c>
      <c r="M1534" s="13" t="s">
        <v>443</v>
      </c>
      <c r="N1534" s="15">
        <v>1</v>
      </c>
      <c r="O1534" s="16">
        <v>0</v>
      </c>
      <c r="P1534" s="17">
        <v>0</v>
      </c>
      <c r="Q1534" s="17">
        <v>0</v>
      </c>
      <c r="R1534" s="13"/>
      <c r="S1534" s="13"/>
      <c r="T1534" s="13"/>
      <c r="U1534" s="13"/>
      <c r="V1534" s="13"/>
      <c r="W1534" s="13"/>
    </row>
    <row r="1535" spans="1:23" x14ac:dyDescent="0.2">
      <c r="A1535"/>
      <c r="B1535"/>
      <c r="C1535"/>
      <c r="D1535"/>
      <c r="E1535"/>
      <c r="F1535"/>
      <c r="G1535"/>
      <c r="H1535"/>
      <c r="I1535"/>
      <c r="J1535"/>
      <c r="K1535" s="13" t="s">
        <v>580</v>
      </c>
      <c r="L1535" s="13" t="s">
        <v>383</v>
      </c>
      <c r="M1535" s="13" t="s">
        <v>420</v>
      </c>
      <c r="N1535" s="15">
        <v>1</v>
      </c>
      <c r="O1535" s="16">
        <v>0</v>
      </c>
      <c r="P1535" s="17">
        <v>0</v>
      </c>
      <c r="Q1535" s="17">
        <v>0</v>
      </c>
      <c r="R1535" s="13"/>
      <c r="S1535" s="13"/>
      <c r="T1535" s="13"/>
      <c r="U1535" s="13"/>
      <c r="V1535" s="13"/>
      <c r="W1535" s="13"/>
    </row>
    <row r="1536" spans="1:23" x14ac:dyDescent="0.2">
      <c r="A1536"/>
      <c r="B1536"/>
      <c r="C1536"/>
      <c r="D1536"/>
      <c r="E1536"/>
      <c r="F1536"/>
      <c r="G1536"/>
      <c r="H1536"/>
      <c r="I1536"/>
      <c r="J1536"/>
      <c r="K1536" s="13" t="s">
        <v>580</v>
      </c>
      <c r="L1536" s="13" t="s">
        <v>528</v>
      </c>
      <c r="M1536" s="13" t="s">
        <v>384</v>
      </c>
      <c r="N1536" s="15">
        <v>0</v>
      </c>
      <c r="O1536" s="16">
        <v>397.49210999090121</v>
      </c>
      <c r="P1536" s="17">
        <v>0</v>
      </c>
      <c r="Q1536" s="17">
        <v>0</v>
      </c>
      <c r="R1536" s="13"/>
      <c r="S1536" s="13"/>
      <c r="T1536" s="13"/>
      <c r="U1536" s="13"/>
      <c r="V1536" s="13"/>
      <c r="W1536" s="13"/>
    </row>
    <row r="1537" spans="1:23" x14ac:dyDescent="0.2">
      <c r="A1537"/>
      <c r="B1537"/>
      <c r="C1537"/>
      <c r="D1537"/>
      <c r="E1537"/>
      <c r="F1537"/>
      <c r="G1537"/>
      <c r="H1537"/>
      <c r="I1537"/>
      <c r="J1537"/>
      <c r="K1537" s="13" t="s">
        <v>580</v>
      </c>
      <c r="L1537" s="13" t="s">
        <v>613</v>
      </c>
      <c r="M1537" s="13" t="s">
        <v>444</v>
      </c>
      <c r="N1537" s="15">
        <v>0</v>
      </c>
      <c r="O1537" s="16">
        <v>33.310508151720981</v>
      </c>
      <c r="P1537" s="17">
        <v>0</v>
      </c>
      <c r="Q1537" s="17">
        <v>0</v>
      </c>
      <c r="R1537" s="13"/>
      <c r="S1537" s="13"/>
      <c r="T1537" s="13"/>
      <c r="U1537" s="13"/>
      <c r="V1537" s="13"/>
      <c r="W1537" s="13"/>
    </row>
    <row r="1538" spans="1:23" x14ac:dyDescent="0.2">
      <c r="A1538"/>
      <c r="B1538"/>
      <c r="C1538"/>
      <c r="D1538"/>
      <c r="E1538"/>
      <c r="F1538"/>
      <c r="G1538"/>
      <c r="H1538"/>
      <c r="I1538"/>
      <c r="J1538"/>
      <c r="K1538" s="13" t="s">
        <v>580</v>
      </c>
      <c r="L1538" s="13" t="s">
        <v>614</v>
      </c>
      <c r="M1538" s="13" t="s">
        <v>447</v>
      </c>
      <c r="N1538" s="15">
        <v>4</v>
      </c>
      <c r="O1538" s="16">
        <v>0</v>
      </c>
      <c r="P1538" s="17">
        <v>0</v>
      </c>
      <c r="Q1538" s="17">
        <v>0</v>
      </c>
      <c r="R1538" s="13"/>
      <c r="S1538" s="13"/>
      <c r="T1538" s="13"/>
      <c r="U1538" s="13"/>
      <c r="V1538" s="13"/>
      <c r="W1538" s="13"/>
    </row>
    <row r="1539" spans="1:23" x14ac:dyDescent="0.2">
      <c r="A1539"/>
      <c r="B1539"/>
      <c r="C1539"/>
      <c r="D1539"/>
      <c r="E1539"/>
      <c r="F1539"/>
      <c r="G1539"/>
      <c r="H1539"/>
      <c r="I1539"/>
      <c r="J1539"/>
      <c r="K1539" s="13" t="s">
        <v>580</v>
      </c>
      <c r="L1539" s="13" t="s">
        <v>469</v>
      </c>
      <c r="M1539" s="13" t="s">
        <v>426</v>
      </c>
      <c r="N1539" s="15">
        <v>30</v>
      </c>
      <c r="O1539" s="16">
        <v>0</v>
      </c>
      <c r="P1539" s="17">
        <v>0</v>
      </c>
      <c r="Q1539" s="17">
        <v>0</v>
      </c>
      <c r="R1539" s="13"/>
      <c r="S1539" s="13"/>
      <c r="T1539" s="13"/>
      <c r="U1539" s="13"/>
      <c r="V1539" s="13"/>
      <c r="W1539" s="13"/>
    </row>
    <row r="1540" spans="1:23" x14ac:dyDescent="0.2">
      <c r="A1540"/>
      <c r="B1540"/>
      <c r="C1540"/>
      <c r="D1540"/>
      <c r="E1540"/>
      <c r="F1540"/>
      <c r="G1540"/>
      <c r="H1540"/>
      <c r="I1540"/>
      <c r="J1540"/>
      <c r="K1540" s="13" t="s">
        <v>581</v>
      </c>
      <c r="L1540" s="13" t="s">
        <v>435</v>
      </c>
      <c r="M1540" s="13" t="s">
        <v>364</v>
      </c>
      <c r="N1540" s="15">
        <v>0</v>
      </c>
      <c r="O1540" s="16">
        <v>0</v>
      </c>
      <c r="P1540" s="17">
        <v>14.056549998847464</v>
      </c>
      <c r="Q1540" s="17">
        <v>0</v>
      </c>
      <c r="R1540" s="13"/>
      <c r="S1540" s="13"/>
      <c r="T1540" s="13"/>
      <c r="U1540" s="13"/>
      <c r="V1540" s="13"/>
      <c r="W1540" s="13"/>
    </row>
    <row r="1541" spans="1:23" x14ac:dyDescent="0.2">
      <c r="A1541"/>
      <c r="B1541"/>
      <c r="C1541"/>
      <c r="D1541"/>
      <c r="E1541"/>
      <c r="F1541"/>
      <c r="G1541"/>
      <c r="H1541"/>
      <c r="I1541"/>
      <c r="J1541"/>
      <c r="K1541" s="13" t="s">
        <v>581</v>
      </c>
      <c r="L1541" s="13" t="s">
        <v>435</v>
      </c>
      <c r="M1541" s="13" t="s">
        <v>364</v>
      </c>
      <c r="N1541" s="15">
        <v>1</v>
      </c>
      <c r="O1541" s="16">
        <v>0</v>
      </c>
      <c r="P1541" s="17">
        <v>0</v>
      </c>
      <c r="Q1541" s="17">
        <v>0</v>
      </c>
      <c r="R1541" s="13"/>
      <c r="S1541" s="13"/>
      <c r="T1541" s="13"/>
      <c r="U1541" s="13"/>
      <c r="V1541" s="13"/>
      <c r="W1541" s="13"/>
    </row>
    <row r="1542" spans="1:23" x14ac:dyDescent="0.2">
      <c r="A1542"/>
      <c r="B1542"/>
      <c r="C1542"/>
      <c r="D1542"/>
      <c r="E1542"/>
      <c r="F1542"/>
      <c r="G1542"/>
      <c r="H1542"/>
      <c r="I1542"/>
      <c r="J1542"/>
      <c r="K1542" s="13" t="s">
        <v>581</v>
      </c>
      <c r="L1542" s="13" t="s">
        <v>481</v>
      </c>
      <c r="M1542" s="13" t="s">
        <v>374</v>
      </c>
      <c r="N1542" s="15">
        <v>0</v>
      </c>
      <c r="O1542" s="16">
        <v>0</v>
      </c>
      <c r="P1542" s="17">
        <v>16998.062799705262</v>
      </c>
      <c r="Q1542" s="17">
        <v>0</v>
      </c>
      <c r="R1542" s="13"/>
      <c r="S1542" s="13"/>
      <c r="T1542" s="13"/>
      <c r="U1542" s="13"/>
      <c r="V1542" s="13"/>
      <c r="W1542" s="13"/>
    </row>
    <row r="1543" spans="1:23" x14ac:dyDescent="0.2">
      <c r="A1543"/>
      <c r="B1543"/>
      <c r="C1543"/>
      <c r="D1543"/>
      <c r="E1543"/>
      <c r="F1543"/>
      <c r="G1543"/>
      <c r="H1543"/>
      <c r="I1543"/>
      <c r="J1543"/>
      <c r="K1543" s="13" t="s">
        <v>581</v>
      </c>
      <c r="L1543" s="13" t="s">
        <v>389</v>
      </c>
      <c r="M1543" s="13" t="s">
        <v>388</v>
      </c>
      <c r="N1543" s="15">
        <v>0</v>
      </c>
      <c r="O1543" s="16">
        <v>0</v>
      </c>
      <c r="P1543" s="17">
        <v>40.673200014108509</v>
      </c>
      <c r="Q1543" s="17">
        <v>0</v>
      </c>
      <c r="R1543" s="13"/>
      <c r="S1543" s="13"/>
      <c r="T1543" s="13"/>
      <c r="U1543" s="13"/>
      <c r="V1543" s="13"/>
      <c r="W1543" s="13"/>
    </row>
    <row r="1544" spans="1:23" x14ac:dyDescent="0.2">
      <c r="A1544"/>
      <c r="B1544"/>
      <c r="C1544"/>
      <c r="D1544"/>
      <c r="E1544"/>
      <c r="F1544"/>
      <c r="G1544"/>
      <c r="H1544"/>
      <c r="I1544"/>
      <c r="J1544"/>
      <c r="K1544" s="13" t="s">
        <v>581</v>
      </c>
      <c r="L1544" s="13" t="s">
        <v>401</v>
      </c>
      <c r="M1544" s="13" t="s">
        <v>360</v>
      </c>
      <c r="N1544" s="15">
        <v>0</v>
      </c>
      <c r="O1544" s="16">
        <v>0</v>
      </c>
      <c r="P1544" s="17">
        <v>447.54275000172686</v>
      </c>
      <c r="Q1544" s="17">
        <v>0</v>
      </c>
      <c r="R1544" s="13"/>
      <c r="S1544" s="13"/>
      <c r="T1544" s="13"/>
      <c r="U1544" s="13"/>
      <c r="V1544" s="13"/>
      <c r="W1544" s="13"/>
    </row>
    <row r="1545" spans="1:23" x14ac:dyDescent="0.2">
      <c r="A1545"/>
      <c r="B1545"/>
      <c r="C1545"/>
      <c r="D1545"/>
      <c r="E1545"/>
      <c r="F1545"/>
      <c r="G1545"/>
      <c r="H1545"/>
      <c r="I1545"/>
      <c r="J1545"/>
      <c r="K1545" s="13" t="s">
        <v>581</v>
      </c>
      <c r="L1545" s="13" t="s">
        <v>521</v>
      </c>
      <c r="M1545" s="13" t="s">
        <v>522</v>
      </c>
      <c r="N1545" s="15">
        <v>0</v>
      </c>
      <c r="O1545" s="16">
        <v>0</v>
      </c>
      <c r="P1545" s="17">
        <v>14200.433949928623</v>
      </c>
      <c r="Q1545" s="17">
        <v>0</v>
      </c>
      <c r="R1545" s="13"/>
      <c r="S1545" s="13"/>
      <c r="T1545" s="13"/>
      <c r="U1545" s="13"/>
      <c r="V1545" s="13"/>
      <c r="W1545" s="13"/>
    </row>
    <row r="1546" spans="1:23" x14ac:dyDescent="0.2">
      <c r="A1546"/>
      <c r="B1546"/>
      <c r="C1546"/>
      <c r="D1546"/>
      <c r="E1546"/>
      <c r="F1546"/>
      <c r="G1546"/>
      <c r="H1546"/>
      <c r="I1546"/>
      <c r="J1546"/>
      <c r="K1546" s="13" t="s">
        <v>581</v>
      </c>
      <c r="L1546" s="13" t="s">
        <v>448</v>
      </c>
      <c r="M1546" s="13" t="s">
        <v>366</v>
      </c>
      <c r="N1546" s="15">
        <v>0</v>
      </c>
      <c r="O1546" s="16">
        <v>0</v>
      </c>
      <c r="P1546" s="17">
        <v>415.99194986671779</v>
      </c>
      <c r="Q1546" s="17">
        <v>0</v>
      </c>
      <c r="R1546" s="13"/>
      <c r="S1546" s="13"/>
      <c r="T1546" s="13"/>
      <c r="U1546" s="13"/>
      <c r="V1546" s="13"/>
      <c r="W1546" s="13"/>
    </row>
    <row r="1547" spans="1:23" x14ac:dyDescent="0.2">
      <c r="A1547"/>
      <c r="B1547"/>
      <c r="C1547"/>
      <c r="D1547"/>
      <c r="E1547"/>
      <c r="F1547"/>
      <c r="G1547"/>
      <c r="H1547"/>
      <c r="I1547"/>
      <c r="J1547"/>
      <c r="K1547" s="13" t="s">
        <v>581</v>
      </c>
      <c r="L1547" s="13" t="s">
        <v>471</v>
      </c>
      <c r="M1547" s="13" t="s">
        <v>472</v>
      </c>
      <c r="N1547" s="15">
        <v>0</v>
      </c>
      <c r="O1547" s="16">
        <v>0</v>
      </c>
      <c r="P1547" s="17">
        <v>3422.2027999579082</v>
      </c>
      <c r="Q1547" s="17">
        <v>0</v>
      </c>
      <c r="R1547" s="13"/>
      <c r="S1547" s="13"/>
      <c r="T1547" s="13"/>
      <c r="U1547" s="13"/>
      <c r="V1547" s="13"/>
      <c r="W1547" s="13"/>
    </row>
    <row r="1548" spans="1:23" x14ac:dyDescent="0.2">
      <c r="A1548"/>
      <c r="B1548"/>
      <c r="C1548"/>
      <c r="D1548"/>
      <c r="E1548"/>
      <c r="F1548"/>
      <c r="G1548"/>
      <c r="H1548"/>
      <c r="I1548"/>
      <c r="J1548"/>
      <c r="K1548" s="13" t="s">
        <v>581</v>
      </c>
      <c r="L1548" s="13" t="s">
        <v>411</v>
      </c>
      <c r="M1548" s="13" t="s">
        <v>362</v>
      </c>
      <c r="N1548" s="15">
        <v>1</v>
      </c>
      <c r="O1548" s="16">
        <v>0</v>
      </c>
      <c r="P1548" s="17">
        <v>0</v>
      </c>
      <c r="Q1548" s="17">
        <v>0</v>
      </c>
      <c r="R1548" s="13"/>
      <c r="S1548" s="13"/>
      <c r="T1548" s="13"/>
      <c r="U1548" s="13"/>
      <c r="V1548" s="13"/>
      <c r="W1548" s="13"/>
    </row>
    <row r="1549" spans="1:23" x14ac:dyDescent="0.2">
      <c r="A1549"/>
      <c r="B1549"/>
      <c r="C1549"/>
      <c r="D1549"/>
      <c r="E1549"/>
      <c r="F1549"/>
      <c r="G1549"/>
      <c r="H1549"/>
      <c r="I1549"/>
      <c r="J1549"/>
      <c r="K1549" s="13" t="s">
        <v>581</v>
      </c>
      <c r="L1549" s="13" t="s">
        <v>615</v>
      </c>
      <c r="M1549" s="13" t="s">
        <v>449</v>
      </c>
      <c r="N1549" s="15">
        <v>1</v>
      </c>
      <c r="O1549" s="16">
        <v>0</v>
      </c>
      <c r="P1549" s="17">
        <v>0</v>
      </c>
      <c r="Q1549" s="17">
        <v>0</v>
      </c>
      <c r="R1549" s="13"/>
      <c r="S1549" s="13"/>
      <c r="T1549" s="13"/>
      <c r="U1549" s="13"/>
      <c r="V1549" s="13"/>
      <c r="W1549" s="13"/>
    </row>
    <row r="1550" spans="1:23" x14ac:dyDescent="0.2">
      <c r="A1550"/>
      <c r="B1550"/>
      <c r="C1550"/>
      <c r="D1550"/>
      <c r="E1550"/>
      <c r="F1550"/>
      <c r="G1550"/>
      <c r="H1550"/>
      <c r="I1550"/>
      <c r="J1550"/>
      <c r="K1550" s="13" t="s">
        <v>581</v>
      </c>
      <c r="L1550" s="13" t="s">
        <v>421</v>
      </c>
      <c r="M1550" s="13" t="s">
        <v>443</v>
      </c>
      <c r="N1550" s="15">
        <v>2</v>
      </c>
      <c r="O1550" s="16">
        <v>0</v>
      </c>
      <c r="P1550" s="17">
        <v>0</v>
      </c>
      <c r="Q1550" s="17">
        <v>0</v>
      </c>
      <c r="R1550" s="13"/>
      <c r="S1550" s="13"/>
      <c r="T1550" s="13"/>
      <c r="U1550" s="13"/>
      <c r="V1550" s="13"/>
      <c r="W1550" s="13"/>
    </row>
    <row r="1551" spans="1:23" x14ac:dyDescent="0.2">
      <c r="A1551"/>
      <c r="B1551"/>
      <c r="C1551"/>
      <c r="D1551"/>
      <c r="E1551"/>
      <c r="F1551"/>
      <c r="G1551"/>
      <c r="H1551"/>
      <c r="I1551"/>
      <c r="J1551"/>
      <c r="K1551" s="13" t="s">
        <v>581</v>
      </c>
      <c r="L1551" s="13" t="s">
        <v>528</v>
      </c>
      <c r="M1551" s="13" t="s">
        <v>384</v>
      </c>
      <c r="N1551" s="15">
        <v>0</v>
      </c>
      <c r="O1551" s="16">
        <v>477.01546643789288</v>
      </c>
      <c r="P1551" s="17">
        <v>0</v>
      </c>
      <c r="Q1551" s="17">
        <v>0</v>
      </c>
      <c r="R1551" s="13"/>
      <c r="S1551" s="13"/>
      <c r="T1551" s="13"/>
      <c r="U1551" s="13"/>
      <c r="V1551" s="13"/>
      <c r="W1551" s="13"/>
    </row>
    <row r="1552" spans="1:23" x14ac:dyDescent="0.2">
      <c r="A1552"/>
      <c r="B1552"/>
      <c r="C1552"/>
      <c r="D1552"/>
      <c r="E1552"/>
      <c r="F1552"/>
      <c r="G1552"/>
      <c r="H1552"/>
      <c r="I1552"/>
      <c r="J1552"/>
      <c r="K1552" s="13" t="s">
        <v>581</v>
      </c>
      <c r="L1552" s="13" t="s">
        <v>614</v>
      </c>
      <c r="M1552" s="13" t="s">
        <v>447</v>
      </c>
      <c r="N1552" s="15">
        <v>2</v>
      </c>
      <c r="O1552" s="16">
        <v>0</v>
      </c>
      <c r="P1552" s="17">
        <v>0</v>
      </c>
      <c r="Q1552" s="17">
        <v>0</v>
      </c>
      <c r="R1552" s="13"/>
      <c r="S1552" s="13"/>
      <c r="T1552" s="13"/>
      <c r="U1552" s="13"/>
      <c r="V1552" s="13"/>
      <c r="W1552" s="13"/>
    </row>
    <row r="1553" spans="1:23" x14ac:dyDescent="0.2">
      <c r="A1553"/>
      <c r="B1553"/>
      <c r="C1553"/>
      <c r="D1553"/>
      <c r="E1553"/>
      <c r="F1553"/>
      <c r="G1553"/>
      <c r="H1553"/>
      <c r="I1553"/>
      <c r="J1553"/>
      <c r="K1553" s="13" t="s">
        <v>581</v>
      </c>
      <c r="L1553" s="13" t="s">
        <v>469</v>
      </c>
      <c r="M1553" s="13" t="s">
        <v>426</v>
      </c>
      <c r="N1553" s="15">
        <v>3</v>
      </c>
      <c r="O1553" s="16">
        <v>0</v>
      </c>
      <c r="P1553" s="17">
        <v>0</v>
      </c>
      <c r="Q1553" s="17">
        <v>0</v>
      </c>
      <c r="R1553" s="13"/>
      <c r="S1553" s="13"/>
      <c r="T1553" s="13"/>
      <c r="U1553" s="13"/>
      <c r="V1553" s="13"/>
      <c r="W1553" s="13"/>
    </row>
    <row r="1554" spans="1:23" x14ac:dyDescent="0.2">
      <c r="A1554"/>
      <c r="B1554"/>
      <c r="C1554"/>
      <c r="D1554"/>
      <c r="E1554"/>
      <c r="F1554"/>
      <c r="G1554"/>
      <c r="H1554"/>
      <c r="I1554"/>
      <c r="J1554"/>
      <c r="K1554" s="13" t="s">
        <v>139</v>
      </c>
      <c r="L1554" s="13" t="s">
        <v>481</v>
      </c>
      <c r="M1554" s="13" t="s">
        <v>374</v>
      </c>
      <c r="N1554" s="15">
        <v>0</v>
      </c>
      <c r="O1554" s="16">
        <v>0</v>
      </c>
      <c r="P1554" s="17">
        <v>13660.8775998892</v>
      </c>
      <c r="Q1554" s="17">
        <v>0</v>
      </c>
      <c r="R1554" s="13"/>
      <c r="S1554" s="13"/>
      <c r="T1554" s="13"/>
      <c r="U1554" s="13"/>
      <c r="V1554" s="13"/>
      <c r="W1554" s="13"/>
    </row>
    <row r="1555" spans="1:23" x14ac:dyDescent="0.2">
      <c r="A1555"/>
      <c r="B1555"/>
      <c r="C1555"/>
      <c r="D1555"/>
      <c r="E1555"/>
      <c r="F1555"/>
      <c r="G1555"/>
      <c r="H1555"/>
      <c r="I1555"/>
      <c r="J1555"/>
      <c r="K1555" s="13" t="s">
        <v>139</v>
      </c>
      <c r="L1555" s="13" t="s">
        <v>389</v>
      </c>
      <c r="M1555" s="13" t="s">
        <v>388</v>
      </c>
      <c r="N1555" s="15">
        <v>0</v>
      </c>
      <c r="O1555" s="16">
        <v>0</v>
      </c>
      <c r="P1555" s="17">
        <v>143.44944999374519</v>
      </c>
      <c r="Q1555" s="17">
        <v>0</v>
      </c>
      <c r="R1555" s="13"/>
      <c r="S1555" s="13"/>
      <c r="T1555" s="13"/>
      <c r="U1555" s="13"/>
      <c r="V1555" s="13"/>
      <c r="W1555" s="13"/>
    </row>
    <row r="1556" spans="1:23" x14ac:dyDescent="0.2">
      <c r="A1556"/>
      <c r="B1556"/>
      <c r="C1556"/>
      <c r="D1556"/>
      <c r="E1556"/>
      <c r="F1556"/>
      <c r="G1556"/>
      <c r="H1556"/>
      <c r="I1556"/>
      <c r="J1556"/>
      <c r="K1556" s="13" t="s">
        <v>139</v>
      </c>
      <c r="L1556" s="13" t="s">
        <v>391</v>
      </c>
      <c r="M1556" s="13" t="s">
        <v>358</v>
      </c>
      <c r="N1556" s="15">
        <v>0</v>
      </c>
      <c r="O1556" s="16">
        <v>0</v>
      </c>
      <c r="P1556" s="17">
        <v>972.36464998839574</v>
      </c>
      <c r="Q1556" s="17">
        <v>0</v>
      </c>
      <c r="R1556" s="13"/>
      <c r="S1556" s="13"/>
      <c r="T1556" s="13"/>
      <c r="U1556" s="13"/>
      <c r="V1556" s="13"/>
      <c r="W1556" s="13"/>
    </row>
    <row r="1557" spans="1:23" x14ac:dyDescent="0.2">
      <c r="A1557"/>
      <c r="B1557"/>
      <c r="C1557"/>
      <c r="D1557"/>
      <c r="E1557"/>
      <c r="F1557"/>
      <c r="G1557"/>
      <c r="H1557"/>
      <c r="I1557"/>
      <c r="J1557"/>
      <c r="K1557" s="13" t="s">
        <v>139</v>
      </c>
      <c r="L1557" s="13" t="s">
        <v>486</v>
      </c>
      <c r="M1557" s="13" t="s">
        <v>439</v>
      </c>
      <c r="N1557" s="15">
        <v>0</v>
      </c>
      <c r="O1557" s="16">
        <v>0</v>
      </c>
      <c r="P1557" s="17">
        <v>84.453249978188083</v>
      </c>
      <c r="Q1557" s="17">
        <v>0</v>
      </c>
      <c r="R1557" s="13"/>
      <c r="S1557" s="13"/>
      <c r="T1557" s="13"/>
      <c r="U1557" s="13"/>
      <c r="V1557" s="13"/>
      <c r="W1557" s="13"/>
    </row>
    <row r="1558" spans="1:23" x14ac:dyDescent="0.2">
      <c r="A1558"/>
      <c r="B1558"/>
      <c r="C1558"/>
      <c r="D1558"/>
      <c r="E1558"/>
      <c r="F1558"/>
      <c r="G1558"/>
      <c r="H1558"/>
      <c r="I1558"/>
      <c r="J1558"/>
      <c r="K1558" s="13" t="s">
        <v>139</v>
      </c>
      <c r="L1558" s="13" t="s">
        <v>448</v>
      </c>
      <c r="M1558" s="13" t="s">
        <v>366</v>
      </c>
      <c r="N1558" s="15">
        <v>0</v>
      </c>
      <c r="O1558" s="16">
        <v>0</v>
      </c>
      <c r="P1558" s="17">
        <v>28550.091799489517</v>
      </c>
      <c r="Q1558" s="17">
        <v>0</v>
      </c>
      <c r="R1558" s="13"/>
      <c r="S1558" s="13"/>
      <c r="T1558" s="13"/>
      <c r="U1558" s="13"/>
      <c r="V1558" s="13"/>
      <c r="W1558" s="13"/>
    </row>
    <row r="1559" spans="1:23" x14ac:dyDescent="0.2">
      <c r="A1559"/>
      <c r="B1559"/>
      <c r="C1559"/>
      <c r="D1559"/>
      <c r="E1559"/>
      <c r="F1559"/>
      <c r="G1559"/>
      <c r="H1559"/>
      <c r="I1559"/>
      <c r="J1559"/>
      <c r="K1559" s="13" t="s">
        <v>139</v>
      </c>
      <c r="L1559" s="13" t="s">
        <v>456</v>
      </c>
      <c r="M1559" s="13" t="s">
        <v>457</v>
      </c>
      <c r="N1559" s="15">
        <v>0</v>
      </c>
      <c r="O1559" s="16">
        <v>0</v>
      </c>
      <c r="P1559" s="17">
        <v>154.66824999161716</v>
      </c>
      <c r="Q1559" s="17">
        <v>0</v>
      </c>
      <c r="R1559" s="13"/>
      <c r="S1559" s="13"/>
      <c r="T1559" s="13"/>
      <c r="U1559" s="13"/>
      <c r="V1559" s="13"/>
      <c r="W1559" s="13"/>
    </row>
    <row r="1560" spans="1:23" x14ac:dyDescent="0.2">
      <c r="A1560"/>
      <c r="B1560"/>
      <c r="C1560"/>
      <c r="D1560"/>
      <c r="E1560"/>
      <c r="F1560"/>
      <c r="G1560"/>
      <c r="H1560"/>
      <c r="I1560"/>
      <c r="J1560"/>
      <c r="K1560" s="13" t="s">
        <v>139</v>
      </c>
      <c r="L1560" s="13" t="s">
        <v>475</v>
      </c>
      <c r="M1560" s="13" t="s">
        <v>470</v>
      </c>
      <c r="N1560" s="15">
        <v>4</v>
      </c>
      <c r="O1560" s="16">
        <v>0</v>
      </c>
      <c r="P1560" s="17">
        <v>0</v>
      </c>
      <c r="Q1560" s="17">
        <v>0</v>
      </c>
      <c r="R1560" s="13"/>
      <c r="S1560" s="13"/>
      <c r="T1560" s="13"/>
      <c r="U1560" s="13"/>
      <c r="V1560" s="13"/>
      <c r="W1560" s="13"/>
    </row>
    <row r="1561" spans="1:23" x14ac:dyDescent="0.2">
      <c r="A1561"/>
      <c r="B1561"/>
      <c r="C1561"/>
      <c r="D1561"/>
      <c r="E1561"/>
      <c r="F1561"/>
      <c r="G1561"/>
      <c r="H1561"/>
      <c r="I1561"/>
      <c r="J1561"/>
      <c r="K1561" s="13" t="s">
        <v>139</v>
      </c>
      <c r="L1561" s="13" t="s">
        <v>606</v>
      </c>
      <c r="M1561" s="13" t="s">
        <v>430</v>
      </c>
      <c r="N1561" s="15">
        <v>3</v>
      </c>
      <c r="O1561" s="16">
        <v>0</v>
      </c>
      <c r="P1561" s="17">
        <v>0</v>
      </c>
      <c r="Q1561" s="17">
        <v>0</v>
      </c>
      <c r="R1561" s="13"/>
      <c r="S1561" s="13"/>
      <c r="T1561" s="13"/>
      <c r="U1561" s="13"/>
      <c r="V1561" s="13"/>
      <c r="W1561" s="13"/>
    </row>
    <row r="1562" spans="1:23" x14ac:dyDescent="0.2">
      <c r="A1562"/>
      <c r="B1562"/>
      <c r="C1562"/>
      <c r="D1562"/>
      <c r="E1562"/>
      <c r="F1562"/>
      <c r="G1562"/>
      <c r="H1562"/>
      <c r="I1562"/>
      <c r="J1562"/>
      <c r="K1562" s="13" t="s">
        <v>139</v>
      </c>
      <c r="L1562" s="13" t="s">
        <v>619</v>
      </c>
      <c r="M1562" s="13" t="s">
        <v>508</v>
      </c>
      <c r="N1562" s="15">
        <v>4</v>
      </c>
      <c r="O1562" s="16">
        <v>0</v>
      </c>
      <c r="P1562" s="17">
        <v>0</v>
      </c>
      <c r="Q1562" s="17">
        <v>0</v>
      </c>
      <c r="R1562" s="13"/>
      <c r="S1562" s="13"/>
      <c r="T1562" s="13"/>
      <c r="U1562" s="13"/>
      <c r="V1562" s="13"/>
      <c r="W1562" s="13"/>
    </row>
    <row r="1563" spans="1:23" x14ac:dyDescent="0.2">
      <c r="A1563"/>
      <c r="B1563"/>
      <c r="C1563"/>
      <c r="D1563"/>
      <c r="E1563"/>
      <c r="F1563"/>
      <c r="G1563"/>
      <c r="H1563"/>
      <c r="I1563"/>
      <c r="J1563"/>
      <c r="K1563" s="13" t="s">
        <v>139</v>
      </c>
      <c r="L1563" s="13" t="s">
        <v>607</v>
      </c>
      <c r="M1563" s="13" t="s">
        <v>431</v>
      </c>
      <c r="N1563" s="15">
        <v>1</v>
      </c>
      <c r="O1563" s="16">
        <v>0</v>
      </c>
      <c r="P1563" s="17">
        <v>0</v>
      </c>
      <c r="Q1563" s="17">
        <v>0</v>
      </c>
      <c r="R1563" s="13"/>
      <c r="S1563" s="13"/>
      <c r="T1563" s="13"/>
      <c r="U1563" s="13"/>
      <c r="V1563" s="13"/>
      <c r="W1563" s="13"/>
    </row>
    <row r="1564" spans="1:23" x14ac:dyDescent="0.2">
      <c r="A1564"/>
      <c r="B1564"/>
      <c r="C1564"/>
      <c r="D1564"/>
      <c r="E1564"/>
      <c r="F1564"/>
      <c r="G1564"/>
      <c r="H1564"/>
      <c r="I1564"/>
      <c r="J1564"/>
      <c r="K1564" s="13" t="s">
        <v>139</v>
      </c>
      <c r="L1564" s="13" t="s">
        <v>608</v>
      </c>
      <c r="M1564" s="13" t="s">
        <v>432</v>
      </c>
      <c r="N1564" s="15">
        <v>8</v>
      </c>
      <c r="O1564" s="16">
        <v>0</v>
      </c>
      <c r="P1564" s="17">
        <v>0</v>
      </c>
      <c r="Q1564" s="17">
        <v>0</v>
      </c>
      <c r="R1564" s="13"/>
      <c r="S1564" s="13"/>
      <c r="T1564" s="13"/>
      <c r="U1564" s="13"/>
      <c r="V1564" s="13"/>
      <c r="W1564" s="13"/>
    </row>
    <row r="1565" spans="1:23" x14ac:dyDescent="0.2">
      <c r="A1565"/>
      <c r="B1565"/>
      <c r="C1565"/>
      <c r="D1565"/>
      <c r="E1565"/>
      <c r="F1565"/>
      <c r="G1565"/>
      <c r="H1565"/>
      <c r="I1565"/>
      <c r="J1565"/>
      <c r="K1565" s="13" t="s">
        <v>139</v>
      </c>
      <c r="L1565" s="13" t="s">
        <v>523</v>
      </c>
      <c r="M1565" s="13" t="s">
        <v>476</v>
      </c>
      <c r="N1565" s="15">
        <v>0</v>
      </c>
      <c r="O1565" s="16">
        <v>0</v>
      </c>
      <c r="P1565" s="17">
        <v>22.521749998087067</v>
      </c>
      <c r="Q1565" s="17">
        <v>0</v>
      </c>
      <c r="R1565" s="13"/>
      <c r="S1565" s="13"/>
      <c r="T1565" s="13"/>
      <c r="U1565" s="13"/>
      <c r="V1565" s="13"/>
      <c r="W1565" s="13"/>
    </row>
    <row r="1566" spans="1:23" x14ac:dyDescent="0.2">
      <c r="A1566"/>
      <c r="B1566"/>
      <c r="C1566"/>
      <c r="D1566"/>
      <c r="E1566"/>
      <c r="F1566"/>
      <c r="G1566"/>
      <c r="H1566"/>
      <c r="I1566"/>
      <c r="J1566"/>
      <c r="K1566" s="13" t="s">
        <v>139</v>
      </c>
      <c r="L1566" s="13" t="s">
        <v>609</v>
      </c>
      <c r="M1566" s="13" t="s">
        <v>416</v>
      </c>
      <c r="N1566" s="15">
        <v>0</v>
      </c>
      <c r="O1566" s="16">
        <v>22.972078973046131</v>
      </c>
      <c r="P1566" s="17">
        <v>0</v>
      </c>
      <c r="Q1566" s="17">
        <v>0</v>
      </c>
      <c r="R1566" s="13"/>
      <c r="S1566" s="13"/>
      <c r="T1566" s="13"/>
      <c r="U1566" s="13"/>
      <c r="V1566" s="13"/>
      <c r="W1566" s="13"/>
    </row>
    <row r="1567" spans="1:23" x14ac:dyDescent="0.2">
      <c r="A1567"/>
      <c r="B1567"/>
      <c r="C1567"/>
      <c r="D1567"/>
      <c r="E1567"/>
      <c r="F1567"/>
      <c r="G1567"/>
      <c r="H1567"/>
      <c r="I1567"/>
      <c r="J1567"/>
      <c r="K1567" s="13" t="s">
        <v>139</v>
      </c>
      <c r="L1567" s="13" t="s">
        <v>421</v>
      </c>
      <c r="M1567" s="13" t="s">
        <v>443</v>
      </c>
      <c r="N1567" s="15">
        <v>3</v>
      </c>
      <c r="O1567" s="16">
        <v>0</v>
      </c>
      <c r="P1567" s="17">
        <v>0</v>
      </c>
      <c r="Q1567" s="17">
        <v>0</v>
      </c>
      <c r="R1567" s="13"/>
      <c r="S1567" s="13"/>
      <c r="T1567" s="13"/>
      <c r="U1567" s="13"/>
      <c r="V1567" s="13"/>
      <c r="W1567" s="13"/>
    </row>
    <row r="1568" spans="1:23" x14ac:dyDescent="0.2">
      <c r="A1568"/>
      <c r="B1568"/>
      <c r="C1568"/>
      <c r="D1568"/>
      <c r="E1568"/>
      <c r="F1568"/>
      <c r="G1568"/>
      <c r="H1568"/>
      <c r="I1568"/>
      <c r="J1568"/>
      <c r="K1568" s="13" t="s">
        <v>139</v>
      </c>
      <c r="L1568" s="13" t="s">
        <v>383</v>
      </c>
      <c r="M1568" s="13" t="s">
        <v>420</v>
      </c>
      <c r="N1568" s="15">
        <v>1</v>
      </c>
      <c r="O1568" s="16">
        <v>0</v>
      </c>
      <c r="P1568" s="17">
        <v>0</v>
      </c>
      <c r="Q1568" s="17">
        <v>0</v>
      </c>
      <c r="R1568" s="13"/>
      <c r="S1568" s="13"/>
      <c r="T1568" s="13"/>
      <c r="U1568" s="13"/>
      <c r="V1568" s="13"/>
      <c r="W1568" s="13"/>
    </row>
    <row r="1569" spans="1:23" x14ac:dyDescent="0.2">
      <c r="A1569"/>
      <c r="B1569"/>
      <c r="C1569"/>
      <c r="D1569"/>
      <c r="E1569"/>
      <c r="F1569"/>
      <c r="G1569"/>
      <c r="H1569"/>
      <c r="I1569"/>
      <c r="J1569"/>
      <c r="K1569" s="13" t="s">
        <v>139</v>
      </c>
      <c r="L1569" s="13" t="s">
        <v>528</v>
      </c>
      <c r="M1569" s="13" t="s">
        <v>384</v>
      </c>
      <c r="N1569" s="15">
        <v>0</v>
      </c>
      <c r="O1569" s="16">
        <v>189.50343412327018</v>
      </c>
      <c r="P1569" s="17">
        <v>0</v>
      </c>
      <c r="Q1569" s="17">
        <v>0</v>
      </c>
      <c r="R1569" s="13"/>
      <c r="S1569" s="13"/>
      <c r="T1569" s="13"/>
      <c r="U1569" s="13"/>
      <c r="V1569" s="13"/>
      <c r="W1569" s="13"/>
    </row>
    <row r="1570" spans="1:23" x14ac:dyDescent="0.2">
      <c r="A1570"/>
      <c r="B1570"/>
      <c r="C1570"/>
      <c r="D1570"/>
      <c r="E1570"/>
      <c r="F1570"/>
      <c r="G1570"/>
      <c r="H1570"/>
      <c r="I1570"/>
      <c r="J1570"/>
      <c r="K1570" s="13" t="s">
        <v>139</v>
      </c>
      <c r="L1570" s="13" t="s">
        <v>613</v>
      </c>
      <c r="M1570" s="13" t="s">
        <v>444</v>
      </c>
      <c r="N1570" s="15">
        <v>0</v>
      </c>
      <c r="O1570" s="16">
        <v>40.218191151626527</v>
      </c>
      <c r="P1570" s="17">
        <v>0</v>
      </c>
      <c r="Q1570" s="17">
        <v>0</v>
      </c>
      <c r="R1570" s="13"/>
      <c r="S1570" s="13"/>
      <c r="T1570" s="13"/>
      <c r="U1570" s="13"/>
      <c r="V1570" s="13"/>
      <c r="W1570" s="13"/>
    </row>
    <row r="1571" spans="1:23" x14ac:dyDescent="0.2">
      <c r="A1571"/>
      <c r="B1571"/>
      <c r="C1571"/>
      <c r="D1571"/>
      <c r="E1571"/>
      <c r="F1571"/>
      <c r="G1571"/>
      <c r="H1571"/>
      <c r="I1571"/>
      <c r="J1571"/>
      <c r="K1571" s="13" t="s">
        <v>139</v>
      </c>
      <c r="L1571" s="13" t="s">
        <v>614</v>
      </c>
      <c r="M1571" s="13" t="s">
        <v>447</v>
      </c>
      <c r="N1571" s="15">
        <v>2</v>
      </c>
      <c r="O1571" s="16">
        <v>0</v>
      </c>
      <c r="P1571" s="17">
        <v>0</v>
      </c>
      <c r="Q1571" s="17">
        <v>0</v>
      </c>
      <c r="R1571" s="13"/>
      <c r="S1571" s="13"/>
      <c r="T1571" s="13"/>
      <c r="U1571" s="13"/>
      <c r="V1571" s="13"/>
      <c r="W1571" s="13"/>
    </row>
    <row r="1572" spans="1:23" x14ac:dyDescent="0.2">
      <c r="A1572"/>
      <c r="B1572"/>
      <c r="C1572"/>
      <c r="D1572"/>
      <c r="E1572"/>
      <c r="F1572"/>
      <c r="G1572"/>
      <c r="H1572"/>
      <c r="I1572"/>
      <c r="J1572"/>
      <c r="K1572" s="13" t="s">
        <v>139</v>
      </c>
      <c r="L1572" s="13" t="s">
        <v>469</v>
      </c>
      <c r="M1572" s="13" t="s">
        <v>426</v>
      </c>
      <c r="N1572" s="15">
        <v>2</v>
      </c>
      <c r="O1572" s="16">
        <v>0</v>
      </c>
      <c r="P1572" s="17">
        <v>0</v>
      </c>
      <c r="Q1572" s="17">
        <v>0</v>
      </c>
      <c r="R1572" s="13"/>
      <c r="S1572" s="13"/>
      <c r="T1572" s="13"/>
      <c r="U1572" s="13"/>
      <c r="V1572" s="13"/>
      <c r="W1572" s="13"/>
    </row>
    <row r="1573" spans="1:23" x14ac:dyDescent="0.2">
      <c r="A1573"/>
      <c r="B1573"/>
      <c r="C1573"/>
      <c r="D1573"/>
      <c r="E1573"/>
      <c r="F1573"/>
      <c r="G1573"/>
      <c r="H1573"/>
      <c r="I1573"/>
      <c r="J1573"/>
      <c r="K1573" s="13" t="s">
        <v>141</v>
      </c>
      <c r="L1573" s="13" t="s">
        <v>387</v>
      </c>
      <c r="M1573" s="13" t="s">
        <v>386</v>
      </c>
      <c r="N1573" s="15">
        <v>0</v>
      </c>
      <c r="O1573" s="16">
        <v>0</v>
      </c>
      <c r="P1573" s="17">
        <v>1224.0020499813661</v>
      </c>
      <c r="Q1573" s="17">
        <v>0</v>
      </c>
      <c r="R1573" s="13"/>
      <c r="S1573" s="13"/>
      <c r="T1573" s="13"/>
      <c r="U1573" s="13"/>
      <c r="V1573" s="13"/>
      <c r="W1573" s="13"/>
    </row>
    <row r="1574" spans="1:23" x14ac:dyDescent="0.2">
      <c r="A1574"/>
      <c r="B1574"/>
      <c r="C1574"/>
      <c r="D1574"/>
      <c r="E1574"/>
      <c r="F1574"/>
      <c r="G1574"/>
      <c r="H1574"/>
      <c r="I1574"/>
      <c r="J1574"/>
      <c r="K1574" s="13" t="s">
        <v>141</v>
      </c>
      <c r="L1574" s="13" t="s">
        <v>391</v>
      </c>
      <c r="M1574" s="13" t="s">
        <v>358</v>
      </c>
      <c r="N1574" s="15">
        <v>0</v>
      </c>
      <c r="O1574" s="16">
        <v>0</v>
      </c>
      <c r="P1574" s="17">
        <v>187.14125000088242</v>
      </c>
      <c r="Q1574" s="17">
        <v>0</v>
      </c>
      <c r="R1574" s="13"/>
      <c r="S1574" s="13"/>
      <c r="T1574" s="13"/>
      <c r="U1574" s="13"/>
      <c r="V1574" s="13"/>
      <c r="W1574" s="13"/>
    </row>
    <row r="1575" spans="1:23" x14ac:dyDescent="0.2">
      <c r="A1575"/>
      <c r="B1575"/>
      <c r="C1575"/>
      <c r="D1575"/>
      <c r="E1575"/>
      <c r="F1575"/>
      <c r="G1575"/>
      <c r="H1575"/>
      <c r="I1575"/>
      <c r="J1575"/>
      <c r="K1575" s="13" t="s">
        <v>141</v>
      </c>
      <c r="L1575" s="13" t="s">
        <v>401</v>
      </c>
      <c r="M1575" s="13" t="s">
        <v>360</v>
      </c>
      <c r="N1575" s="15">
        <v>0</v>
      </c>
      <c r="O1575" s="16">
        <v>0</v>
      </c>
      <c r="P1575" s="17">
        <v>1402.1547308919864</v>
      </c>
      <c r="Q1575" s="17">
        <v>0</v>
      </c>
      <c r="R1575" s="13"/>
      <c r="S1575" s="13"/>
      <c r="T1575" s="13"/>
      <c r="U1575" s="13"/>
      <c r="V1575" s="13"/>
      <c r="W1575" s="13"/>
    </row>
    <row r="1576" spans="1:23" x14ac:dyDescent="0.2">
      <c r="A1576"/>
      <c r="B1576"/>
      <c r="C1576"/>
      <c r="D1576"/>
      <c r="E1576"/>
      <c r="F1576"/>
      <c r="G1576"/>
      <c r="H1576"/>
      <c r="I1576"/>
      <c r="J1576"/>
      <c r="K1576" s="13" t="s">
        <v>141</v>
      </c>
      <c r="L1576" s="13" t="s">
        <v>402</v>
      </c>
      <c r="M1576" s="13" t="s">
        <v>403</v>
      </c>
      <c r="N1576" s="15">
        <v>0</v>
      </c>
      <c r="O1576" s="16">
        <v>0</v>
      </c>
      <c r="P1576" s="17">
        <v>9622.0953190534456</v>
      </c>
      <c r="Q1576" s="17">
        <v>0</v>
      </c>
      <c r="R1576" s="13"/>
      <c r="S1576" s="13"/>
      <c r="T1576" s="13"/>
      <c r="U1576" s="13"/>
      <c r="V1576" s="13"/>
      <c r="W1576" s="13"/>
    </row>
    <row r="1577" spans="1:23" x14ac:dyDescent="0.2">
      <c r="A1577"/>
      <c r="B1577"/>
      <c r="C1577"/>
      <c r="D1577"/>
      <c r="E1577"/>
      <c r="F1577"/>
      <c r="G1577"/>
      <c r="H1577"/>
      <c r="I1577"/>
      <c r="J1577"/>
      <c r="K1577" s="13" t="s">
        <v>141</v>
      </c>
      <c r="L1577" s="13" t="s">
        <v>456</v>
      </c>
      <c r="M1577" s="13" t="s">
        <v>457</v>
      </c>
      <c r="N1577" s="15">
        <v>0</v>
      </c>
      <c r="O1577" s="16">
        <v>0</v>
      </c>
      <c r="P1577" s="17">
        <v>423.03974994790718</v>
      </c>
      <c r="Q1577" s="17">
        <v>0</v>
      </c>
      <c r="R1577" s="13"/>
      <c r="S1577" s="13"/>
      <c r="T1577" s="13"/>
      <c r="U1577" s="13"/>
      <c r="V1577" s="13"/>
      <c r="W1577" s="13"/>
    </row>
    <row r="1578" spans="1:23" x14ac:dyDescent="0.2">
      <c r="A1578"/>
      <c r="B1578"/>
      <c r="C1578"/>
      <c r="D1578"/>
      <c r="E1578"/>
      <c r="F1578"/>
      <c r="G1578"/>
      <c r="H1578"/>
      <c r="I1578"/>
      <c r="J1578"/>
      <c r="K1578" s="13" t="s">
        <v>141</v>
      </c>
      <c r="L1578" s="13" t="s">
        <v>381</v>
      </c>
      <c r="M1578" s="13" t="s">
        <v>382</v>
      </c>
      <c r="N1578" s="15">
        <v>1</v>
      </c>
      <c r="O1578" s="16">
        <v>0</v>
      </c>
      <c r="P1578" s="17">
        <v>0</v>
      </c>
      <c r="Q1578" s="17">
        <v>0</v>
      </c>
      <c r="R1578" s="13"/>
      <c r="S1578" s="13"/>
      <c r="T1578" s="13"/>
      <c r="U1578" s="13"/>
      <c r="V1578" s="13"/>
      <c r="W1578" s="13"/>
    </row>
    <row r="1579" spans="1:23" x14ac:dyDescent="0.2">
      <c r="A1579"/>
      <c r="B1579"/>
      <c r="C1579"/>
      <c r="D1579"/>
      <c r="E1579"/>
      <c r="F1579"/>
      <c r="G1579"/>
      <c r="H1579"/>
      <c r="I1579"/>
      <c r="J1579"/>
      <c r="K1579" s="13" t="s">
        <v>141</v>
      </c>
      <c r="L1579" s="13" t="s">
        <v>413</v>
      </c>
      <c r="M1579" s="13" t="s">
        <v>428</v>
      </c>
      <c r="N1579" s="15">
        <v>1</v>
      </c>
      <c r="O1579" s="16">
        <v>0</v>
      </c>
      <c r="P1579" s="17">
        <v>0</v>
      </c>
      <c r="Q1579" s="17">
        <v>0</v>
      </c>
      <c r="R1579" s="13"/>
      <c r="S1579" s="13"/>
      <c r="T1579" s="13"/>
      <c r="U1579" s="13"/>
      <c r="V1579" s="13"/>
      <c r="W1579" s="13"/>
    </row>
    <row r="1580" spans="1:23" x14ac:dyDescent="0.2">
      <c r="A1580"/>
      <c r="B1580"/>
      <c r="C1580"/>
      <c r="D1580"/>
      <c r="E1580"/>
      <c r="F1580"/>
      <c r="G1580"/>
      <c r="H1580"/>
      <c r="I1580"/>
      <c r="J1580"/>
      <c r="K1580" s="13" t="s">
        <v>141</v>
      </c>
      <c r="L1580" s="13" t="s">
        <v>606</v>
      </c>
      <c r="M1580" s="13" t="s">
        <v>430</v>
      </c>
      <c r="N1580" s="15">
        <v>6</v>
      </c>
      <c r="O1580" s="16">
        <v>0</v>
      </c>
      <c r="P1580" s="17">
        <v>0</v>
      </c>
      <c r="Q1580" s="17">
        <v>0</v>
      </c>
      <c r="R1580" s="13"/>
      <c r="S1580" s="13"/>
      <c r="T1580" s="13"/>
      <c r="U1580" s="13"/>
      <c r="V1580" s="13"/>
      <c r="W1580" s="13"/>
    </row>
    <row r="1581" spans="1:23" x14ac:dyDescent="0.2">
      <c r="A1581"/>
      <c r="B1581"/>
      <c r="C1581"/>
      <c r="D1581"/>
      <c r="E1581"/>
      <c r="F1581"/>
      <c r="G1581"/>
      <c r="H1581"/>
      <c r="I1581"/>
      <c r="J1581"/>
      <c r="K1581" s="13" t="s">
        <v>141</v>
      </c>
      <c r="L1581" s="13" t="s">
        <v>608</v>
      </c>
      <c r="M1581" s="13" t="s">
        <v>432</v>
      </c>
      <c r="N1581" s="15">
        <v>1</v>
      </c>
      <c r="O1581" s="16">
        <v>0</v>
      </c>
      <c r="P1581" s="17">
        <v>0</v>
      </c>
      <c r="Q1581" s="17">
        <v>0</v>
      </c>
      <c r="R1581" s="13"/>
      <c r="S1581" s="13"/>
      <c r="T1581" s="13"/>
      <c r="U1581" s="13"/>
      <c r="V1581" s="13"/>
      <c r="W1581" s="13"/>
    </row>
    <row r="1582" spans="1:23" x14ac:dyDescent="0.2">
      <c r="A1582"/>
      <c r="B1582"/>
      <c r="C1582"/>
      <c r="D1582"/>
      <c r="E1582"/>
      <c r="F1582"/>
      <c r="G1582"/>
      <c r="H1582"/>
      <c r="I1582"/>
      <c r="J1582"/>
      <c r="K1582" s="13" t="s">
        <v>141</v>
      </c>
      <c r="L1582" s="13" t="s">
        <v>415</v>
      </c>
      <c r="M1582" s="13" t="s">
        <v>412</v>
      </c>
      <c r="N1582" s="15">
        <v>0</v>
      </c>
      <c r="O1582" s="16">
        <v>0</v>
      </c>
      <c r="P1582" s="17">
        <v>1.902900000602612</v>
      </c>
      <c r="Q1582" s="17">
        <v>0</v>
      </c>
      <c r="R1582" s="13"/>
      <c r="S1582" s="13"/>
      <c r="T1582" s="13"/>
      <c r="U1582" s="13"/>
      <c r="V1582" s="13"/>
      <c r="W1582" s="13"/>
    </row>
    <row r="1583" spans="1:23" x14ac:dyDescent="0.2">
      <c r="A1583"/>
      <c r="B1583"/>
      <c r="C1583"/>
      <c r="D1583"/>
      <c r="E1583"/>
      <c r="F1583"/>
      <c r="G1583"/>
      <c r="H1583"/>
      <c r="I1583"/>
      <c r="J1583"/>
      <c r="K1583" s="13" t="s">
        <v>141</v>
      </c>
      <c r="L1583" s="13" t="s">
        <v>613</v>
      </c>
      <c r="M1583" s="13" t="s">
        <v>444</v>
      </c>
      <c r="N1583" s="15">
        <v>0</v>
      </c>
      <c r="O1583" s="16">
        <v>39.364048823912384</v>
      </c>
      <c r="P1583" s="17">
        <v>0</v>
      </c>
      <c r="Q1583" s="17">
        <v>0</v>
      </c>
      <c r="R1583" s="13"/>
      <c r="S1583" s="13"/>
      <c r="T1583" s="13"/>
      <c r="U1583" s="13"/>
      <c r="V1583" s="13"/>
      <c r="W1583" s="13"/>
    </row>
    <row r="1584" spans="1:23" x14ac:dyDescent="0.2">
      <c r="A1584"/>
      <c r="B1584"/>
      <c r="C1584"/>
      <c r="D1584"/>
      <c r="E1584"/>
      <c r="F1584"/>
      <c r="G1584"/>
      <c r="H1584"/>
      <c r="I1584"/>
      <c r="J1584"/>
      <c r="K1584" s="13" t="s">
        <v>141</v>
      </c>
      <c r="L1584" s="13" t="s">
        <v>611</v>
      </c>
      <c r="M1584" s="13" t="s">
        <v>423</v>
      </c>
      <c r="N1584" s="15">
        <v>0</v>
      </c>
      <c r="O1584" s="16">
        <v>22.969681029431946</v>
      </c>
      <c r="P1584" s="17">
        <v>0</v>
      </c>
      <c r="Q1584" s="17">
        <v>0</v>
      </c>
      <c r="R1584" s="13"/>
      <c r="S1584" s="13"/>
      <c r="T1584" s="13"/>
      <c r="U1584" s="13"/>
      <c r="V1584" s="13"/>
      <c r="W1584" s="13"/>
    </row>
    <row r="1585" spans="1:23" x14ac:dyDescent="0.2">
      <c r="A1585"/>
      <c r="B1585"/>
      <c r="C1585"/>
      <c r="D1585"/>
      <c r="E1585"/>
      <c r="F1585"/>
      <c r="G1585"/>
      <c r="H1585"/>
      <c r="I1585"/>
      <c r="J1585"/>
      <c r="K1585" s="13" t="s">
        <v>143</v>
      </c>
      <c r="L1585" s="13" t="s">
        <v>435</v>
      </c>
      <c r="M1585" s="13" t="s">
        <v>364</v>
      </c>
      <c r="N1585" s="15">
        <v>0</v>
      </c>
      <c r="O1585" s="16">
        <v>0</v>
      </c>
      <c r="P1585" s="17">
        <v>230.93039998495058</v>
      </c>
      <c r="Q1585" s="17">
        <v>0</v>
      </c>
      <c r="R1585" s="13"/>
      <c r="S1585" s="13"/>
      <c r="T1585" s="13"/>
      <c r="U1585" s="13"/>
      <c r="V1585" s="13"/>
      <c r="W1585" s="13"/>
    </row>
    <row r="1586" spans="1:23" x14ac:dyDescent="0.2">
      <c r="A1586"/>
      <c r="B1586"/>
      <c r="C1586"/>
      <c r="D1586"/>
      <c r="E1586"/>
      <c r="F1586"/>
      <c r="G1586"/>
      <c r="H1586"/>
      <c r="I1586"/>
      <c r="J1586"/>
      <c r="K1586" s="13" t="s">
        <v>143</v>
      </c>
      <c r="L1586" s="13" t="s">
        <v>387</v>
      </c>
      <c r="M1586" s="13" t="s">
        <v>386</v>
      </c>
      <c r="N1586" s="15">
        <v>0</v>
      </c>
      <c r="O1586" s="16">
        <v>0</v>
      </c>
      <c r="P1586" s="17">
        <v>3519.6384999577986</v>
      </c>
      <c r="Q1586" s="17">
        <v>0</v>
      </c>
      <c r="R1586" s="13"/>
      <c r="S1586" s="13"/>
      <c r="T1586" s="13"/>
      <c r="U1586" s="13"/>
      <c r="V1586" s="13"/>
      <c r="W1586" s="13"/>
    </row>
    <row r="1587" spans="1:23" x14ac:dyDescent="0.2">
      <c r="A1587"/>
      <c r="B1587"/>
      <c r="C1587"/>
      <c r="D1587"/>
      <c r="E1587"/>
      <c r="F1587"/>
      <c r="G1587"/>
      <c r="H1587"/>
      <c r="I1587"/>
      <c r="J1587"/>
      <c r="K1587" s="13" t="s">
        <v>143</v>
      </c>
      <c r="L1587" s="13" t="s">
        <v>389</v>
      </c>
      <c r="M1587" s="13" t="s">
        <v>388</v>
      </c>
      <c r="N1587" s="15">
        <v>0</v>
      </c>
      <c r="O1587" s="16">
        <v>0</v>
      </c>
      <c r="P1587" s="17">
        <v>1137.7554146527677</v>
      </c>
      <c r="Q1587" s="17">
        <v>0</v>
      </c>
      <c r="R1587" s="13"/>
      <c r="S1587" s="13"/>
      <c r="T1587" s="13"/>
      <c r="U1587" s="13"/>
      <c r="V1587" s="13"/>
      <c r="W1587" s="13"/>
    </row>
    <row r="1588" spans="1:23" x14ac:dyDescent="0.2">
      <c r="A1588"/>
      <c r="B1588"/>
      <c r="C1588"/>
      <c r="D1588"/>
      <c r="E1588"/>
      <c r="F1588"/>
      <c r="G1588"/>
      <c r="H1588"/>
      <c r="I1588"/>
      <c r="J1588"/>
      <c r="K1588" s="13" t="s">
        <v>143</v>
      </c>
      <c r="L1588" s="13" t="s">
        <v>542</v>
      </c>
      <c r="M1588" s="13" t="s">
        <v>390</v>
      </c>
      <c r="N1588" s="15">
        <v>0</v>
      </c>
      <c r="O1588" s="16">
        <v>0</v>
      </c>
      <c r="P1588" s="17">
        <v>17.767950002280834</v>
      </c>
      <c r="Q1588" s="17">
        <v>0</v>
      </c>
      <c r="R1588" s="13"/>
      <c r="S1588" s="13"/>
      <c r="T1588" s="13"/>
      <c r="U1588" s="13"/>
      <c r="V1588" s="13"/>
      <c r="W1588" s="13"/>
    </row>
    <row r="1589" spans="1:23" x14ac:dyDescent="0.2">
      <c r="A1589"/>
      <c r="B1589"/>
      <c r="C1589"/>
      <c r="D1589"/>
      <c r="E1589"/>
      <c r="F1589"/>
      <c r="G1589"/>
      <c r="H1589"/>
      <c r="I1589"/>
      <c r="J1589"/>
      <c r="K1589" s="13" t="s">
        <v>143</v>
      </c>
      <c r="L1589" s="13" t="s">
        <v>391</v>
      </c>
      <c r="M1589" s="13" t="s">
        <v>358</v>
      </c>
      <c r="N1589" s="15">
        <v>0</v>
      </c>
      <c r="O1589" s="16">
        <v>0</v>
      </c>
      <c r="P1589" s="17">
        <v>11.25414999484704</v>
      </c>
      <c r="Q1589" s="17">
        <v>0</v>
      </c>
      <c r="R1589" s="13"/>
      <c r="S1589" s="13"/>
      <c r="T1589" s="13"/>
      <c r="U1589" s="13"/>
      <c r="V1589" s="13"/>
      <c r="W1589" s="13"/>
    </row>
    <row r="1590" spans="1:23" x14ac:dyDescent="0.2">
      <c r="A1590"/>
      <c r="B1590"/>
      <c r="C1590"/>
      <c r="D1590"/>
      <c r="E1590"/>
      <c r="F1590"/>
      <c r="G1590"/>
      <c r="H1590"/>
      <c r="I1590"/>
      <c r="J1590"/>
      <c r="K1590" s="13" t="s">
        <v>143</v>
      </c>
      <c r="L1590" s="13" t="s">
        <v>392</v>
      </c>
      <c r="M1590" s="13" t="s">
        <v>437</v>
      </c>
      <c r="N1590" s="15">
        <v>0</v>
      </c>
      <c r="O1590" s="16">
        <v>0</v>
      </c>
      <c r="P1590" s="17">
        <v>194.67414999255186</v>
      </c>
      <c r="Q1590" s="17">
        <v>0</v>
      </c>
      <c r="R1590" s="13"/>
      <c r="S1590" s="13"/>
      <c r="T1590" s="13"/>
      <c r="U1590" s="13"/>
      <c r="V1590" s="13"/>
      <c r="W1590" s="13"/>
    </row>
    <row r="1591" spans="1:23" x14ac:dyDescent="0.2">
      <c r="A1591"/>
      <c r="B1591"/>
      <c r="C1591"/>
      <c r="D1591"/>
      <c r="E1591"/>
      <c r="F1591"/>
      <c r="G1591"/>
      <c r="H1591"/>
      <c r="I1591"/>
      <c r="J1591"/>
      <c r="K1591" s="13" t="s">
        <v>143</v>
      </c>
      <c r="L1591" s="13" t="s">
        <v>460</v>
      </c>
      <c r="M1591" s="13" t="s">
        <v>393</v>
      </c>
      <c r="N1591" s="15">
        <v>0</v>
      </c>
      <c r="O1591" s="16">
        <v>0</v>
      </c>
      <c r="P1591" s="17">
        <v>56.822600013514844</v>
      </c>
      <c r="Q1591" s="17">
        <v>0</v>
      </c>
      <c r="R1591" s="13"/>
      <c r="S1591" s="13"/>
      <c r="T1591" s="13"/>
      <c r="U1591" s="13"/>
      <c r="V1591" s="13"/>
      <c r="W1591" s="13"/>
    </row>
    <row r="1592" spans="1:23" x14ac:dyDescent="0.2">
      <c r="A1592"/>
      <c r="B1592"/>
      <c r="C1592"/>
      <c r="D1592"/>
      <c r="E1592"/>
      <c r="F1592"/>
      <c r="G1592"/>
      <c r="H1592"/>
      <c r="I1592"/>
      <c r="J1592"/>
      <c r="K1592" s="13" t="s">
        <v>143</v>
      </c>
      <c r="L1592" s="13" t="s">
        <v>486</v>
      </c>
      <c r="M1592" s="13" t="s">
        <v>439</v>
      </c>
      <c r="N1592" s="15">
        <v>0</v>
      </c>
      <c r="O1592" s="16">
        <v>0</v>
      </c>
      <c r="P1592" s="17">
        <v>8.6662999970157877</v>
      </c>
      <c r="Q1592" s="17">
        <v>0</v>
      </c>
      <c r="R1592" s="13"/>
      <c r="S1592" s="13"/>
      <c r="T1592" s="13"/>
      <c r="U1592" s="13"/>
      <c r="V1592" s="13"/>
      <c r="W1592" s="13"/>
    </row>
    <row r="1593" spans="1:23" x14ac:dyDescent="0.2">
      <c r="A1593"/>
      <c r="B1593"/>
      <c r="C1593"/>
      <c r="D1593"/>
      <c r="E1593"/>
      <c r="F1593"/>
      <c r="G1593"/>
      <c r="H1593"/>
      <c r="I1593"/>
      <c r="J1593"/>
      <c r="K1593" s="13" t="s">
        <v>143</v>
      </c>
      <c r="L1593" s="13" t="s">
        <v>517</v>
      </c>
      <c r="M1593" s="13" t="s">
        <v>516</v>
      </c>
      <c r="N1593" s="15">
        <v>0</v>
      </c>
      <c r="O1593" s="16">
        <v>0</v>
      </c>
      <c r="P1593" s="17">
        <v>8637.6532999568881</v>
      </c>
      <c r="Q1593" s="17">
        <v>0</v>
      </c>
      <c r="R1593" s="13"/>
      <c r="S1593" s="13"/>
      <c r="T1593" s="13"/>
      <c r="U1593" s="13"/>
      <c r="V1593" s="13"/>
      <c r="W1593" s="13"/>
    </row>
    <row r="1594" spans="1:23" x14ac:dyDescent="0.2">
      <c r="A1594"/>
      <c r="B1594"/>
      <c r="C1594"/>
      <c r="D1594"/>
      <c r="E1594"/>
      <c r="F1594"/>
      <c r="G1594"/>
      <c r="H1594"/>
      <c r="I1594"/>
      <c r="J1594"/>
      <c r="K1594" s="13" t="s">
        <v>143</v>
      </c>
      <c r="L1594" s="13" t="s">
        <v>519</v>
      </c>
      <c r="M1594" s="13" t="s">
        <v>478</v>
      </c>
      <c r="N1594" s="15">
        <v>0</v>
      </c>
      <c r="O1594" s="16">
        <v>0</v>
      </c>
      <c r="P1594" s="17">
        <v>112.59185001017465</v>
      </c>
      <c r="Q1594" s="17">
        <v>0</v>
      </c>
      <c r="R1594" s="13"/>
      <c r="S1594" s="13"/>
      <c r="T1594" s="13"/>
      <c r="U1594" s="13"/>
      <c r="V1594" s="13"/>
      <c r="W1594" s="13"/>
    </row>
    <row r="1595" spans="1:23" x14ac:dyDescent="0.2">
      <c r="A1595"/>
      <c r="B1595"/>
      <c r="C1595"/>
      <c r="D1595"/>
      <c r="E1595"/>
      <c r="F1595"/>
      <c r="G1595"/>
      <c r="H1595"/>
      <c r="I1595"/>
      <c r="J1595"/>
      <c r="K1595" s="13" t="s">
        <v>143</v>
      </c>
      <c r="L1595" s="13" t="s">
        <v>399</v>
      </c>
      <c r="M1595" s="13" t="s">
        <v>400</v>
      </c>
      <c r="N1595" s="15">
        <v>0</v>
      </c>
      <c r="O1595" s="16">
        <v>0</v>
      </c>
      <c r="P1595" s="17">
        <v>205.63983529143366</v>
      </c>
      <c r="Q1595" s="17">
        <v>0</v>
      </c>
      <c r="R1595" s="13"/>
      <c r="S1595" s="13"/>
      <c r="T1595" s="13"/>
      <c r="U1595" s="13"/>
      <c r="V1595" s="13"/>
      <c r="W1595" s="13"/>
    </row>
    <row r="1596" spans="1:23" x14ac:dyDescent="0.2">
      <c r="A1596"/>
      <c r="B1596"/>
      <c r="C1596"/>
      <c r="D1596"/>
      <c r="E1596"/>
      <c r="F1596"/>
      <c r="G1596"/>
      <c r="H1596"/>
      <c r="I1596"/>
      <c r="J1596"/>
      <c r="K1596" s="13" t="s">
        <v>143</v>
      </c>
      <c r="L1596" s="13" t="s">
        <v>401</v>
      </c>
      <c r="M1596" s="13" t="s">
        <v>360</v>
      </c>
      <c r="N1596" s="15">
        <v>0</v>
      </c>
      <c r="O1596" s="16">
        <v>0</v>
      </c>
      <c r="P1596" s="17">
        <v>2266.9206000140562</v>
      </c>
      <c r="Q1596" s="17">
        <v>0</v>
      </c>
      <c r="R1596" s="13"/>
      <c r="S1596" s="13"/>
      <c r="T1596" s="13"/>
      <c r="U1596" s="13"/>
      <c r="V1596" s="13"/>
      <c r="W1596" s="13"/>
    </row>
    <row r="1597" spans="1:23" x14ac:dyDescent="0.2">
      <c r="A1597"/>
      <c r="B1597"/>
      <c r="C1597"/>
      <c r="D1597"/>
      <c r="E1597"/>
      <c r="F1597"/>
      <c r="G1597"/>
      <c r="H1597"/>
      <c r="I1597"/>
      <c r="J1597"/>
      <c r="K1597" s="13" t="s">
        <v>143</v>
      </c>
      <c r="L1597" s="13" t="s">
        <v>511</v>
      </c>
      <c r="M1597" s="13" t="s">
        <v>377</v>
      </c>
      <c r="N1597" s="15">
        <v>0</v>
      </c>
      <c r="O1597" s="16">
        <v>0</v>
      </c>
      <c r="P1597" s="17">
        <v>115.95264998932274</v>
      </c>
      <c r="Q1597" s="17">
        <v>0</v>
      </c>
      <c r="R1597" s="13"/>
      <c r="S1597" s="13"/>
      <c r="T1597" s="13"/>
      <c r="U1597" s="13"/>
      <c r="V1597" s="13"/>
      <c r="W1597" s="13"/>
    </row>
    <row r="1598" spans="1:23" x14ac:dyDescent="0.2">
      <c r="A1598"/>
      <c r="B1598"/>
      <c r="C1598"/>
      <c r="D1598"/>
      <c r="E1598"/>
      <c r="F1598"/>
      <c r="G1598"/>
      <c r="H1598"/>
      <c r="I1598"/>
      <c r="J1598"/>
      <c r="K1598" s="13" t="s">
        <v>143</v>
      </c>
      <c r="L1598" s="13" t="s">
        <v>402</v>
      </c>
      <c r="M1598" s="13" t="s">
        <v>403</v>
      </c>
      <c r="N1598" s="15">
        <v>0</v>
      </c>
      <c r="O1598" s="16">
        <v>0</v>
      </c>
      <c r="P1598" s="17">
        <v>2688.5543498779443</v>
      </c>
      <c r="Q1598" s="17">
        <v>0</v>
      </c>
      <c r="R1598" s="13"/>
      <c r="S1598" s="13"/>
      <c r="T1598" s="13"/>
      <c r="U1598" s="13"/>
      <c r="V1598" s="13"/>
      <c r="W1598" s="13"/>
    </row>
    <row r="1599" spans="1:23" x14ac:dyDescent="0.2">
      <c r="A1599"/>
      <c r="B1599"/>
      <c r="C1599"/>
      <c r="D1599"/>
      <c r="E1599"/>
      <c r="F1599"/>
      <c r="G1599"/>
      <c r="H1599"/>
      <c r="I1599"/>
      <c r="J1599"/>
      <c r="K1599" s="13" t="s">
        <v>143</v>
      </c>
      <c r="L1599" s="13" t="s">
        <v>521</v>
      </c>
      <c r="M1599" s="13" t="s">
        <v>522</v>
      </c>
      <c r="N1599" s="15">
        <v>0</v>
      </c>
      <c r="O1599" s="16">
        <v>0</v>
      </c>
      <c r="P1599" s="17">
        <v>21178.536899860566</v>
      </c>
      <c r="Q1599" s="17">
        <v>0</v>
      </c>
      <c r="R1599" s="13"/>
      <c r="S1599" s="13"/>
      <c r="T1599" s="13"/>
      <c r="U1599" s="13"/>
      <c r="V1599" s="13"/>
      <c r="W1599" s="13"/>
    </row>
    <row r="1600" spans="1:23" x14ac:dyDescent="0.2">
      <c r="A1600"/>
      <c r="B1600"/>
      <c r="C1600"/>
      <c r="D1600"/>
      <c r="E1600"/>
      <c r="F1600"/>
      <c r="G1600"/>
      <c r="H1600"/>
      <c r="I1600"/>
      <c r="J1600"/>
      <c r="K1600" s="13" t="s">
        <v>143</v>
      </c>
      <c r="L1600" s="13" t="s">
        <v>448</v>
      </c>
      <c r="M1600" s="13" t="s">
        <v>366</v>
      </c>
      <c r="N1600" s="15">
        <v>0</v>
      </c>
      <c r="O1600" s="16">
        <v>0</v>
      </c>
      <c r="P1600" s="17">
        <v>131.11634999671318</v>
      </c>
      <c r="Q1600" s="17">
        <v>0</v>
      </c>
      <c r="R1600" s="13"/>
      <c r="S1600" s="13"/>
      <c r="T1600" s="13"/>
      <c r="U1600" s="13"/>
      <c r="V1600" s="13"/>
      <c r="W1600" s="13"/>
    </row>
    <row r="1601" spans="1:23" x14ac:dyDescent="0.2">
      <c r="A1601"/>
      <c r="B1601"/>
      <c r="C1601"/>
      <c r="D1601"/>
      <c r="E1601"/>
      <c r="F1601"/>
      <c r="G1601"/>
      <c r="H1601"/>
      <c r="I1601"/>
      <c r="J1601"/>
      <c r="K1601" s="13" t="s">
        <v>143</v>
      </c>
      <c r="L1601" s="13" t="s">
        <v>404</v>
      </c>
      <c r="M1601" s="13" t="s">
        <v>405</v>
      </c>
      <c r="N1601" s="15">
        <v>0</v>
      </c>
      <c r="O1601" s="16">
        <v>0</v>
      </c>
      <c r="P1601" s="17">
        <v>373.56414997399349</v>
      </c>
      <c r="Q1601" s="17">
        <v>684.34019503107947</v>
      </c>
      <c r="R1601" s="13"/>
      <c r="S1601" s="13"/>
      <c r="T1601" s="13"/>
      <c r="U1601" s="13"/>
      <c r="V1601" s="13"/>
      <c r="W1601" s="13"/>
    </row>
    <row r="1602" spans="1:23" x14ac:dyDescent="0.2">
      <c r="A1602"/>
      <c r="B1602"/>
      <c r="C1602"/>
      <c r="D1602"/>
      <c r="E1602"/>
      <c r="F1602"/>
      <c r="G1602"/>
      <c r="H1602"/>
      <c r="I1602"/>
      <c r="J1602"/>
      <c r="K1602" s="13" t="s">
        <v>143</v>
      </c>
      <c r="L1602" s="13" t="s">
        <v>381</v>
      </c>
      <c r="M1602" s="13" t="s">
        <v>382</v>
      </c>
      <c r="N1602" s="15">
        <v>12</v>
      </c>
      <c r="O1602" s="16">
        <v>0</v>
      </c>
      <c r="P1602" s="17">
        <v>0</v>
      </c>
      <c r="Q1602" s="17">
        <v>0</v>
      </c>
      <c r="R1602" s="13"/>
      <c r="S1602" s="13"/>
      <c r="T1602" s="13"/>
      <c r="U1602" s="13"/>
      <c r="V1602" s="13"/>
      <c r="W1602" s="13"/>
    </row>
    <row r="1603" spans="1:23" x14ac:dyDescent="0.2">
      <c r="A1603"/>
      <c r="B1603"/>
      <c r="C1603"/>
      <c r="D1603"/>
      <c r="E1603"/>
      <c r="F1603"/>
      <c r="G1603"/>
      <c r="H1603"/>
      <c r="I1603"/>
      <c r="J1603"/>
      <c r="K1603" s="13" t="s">
        <v>143</v>
      </c>
      <c r="L1603" s="13" t="s">
        <v>411</v>
      </c>
      <c r="M1603" s="13" t="s">
        <v>362</v>
      </c>
      <c r="N1603" s="15">
        <v>0</v>
      </c>
      <c r="O1603" s="16">
        <v>36.861199361803941</v>
      </c>
      <c r="P1603" s="17">
        <v>0</v>
      </c>
      <c r="Q1603" s="17">
        <v>0</v>
      </c>
      <c r="R1603" s="13"/>
      <c r="S1603" s="13"/>
      <c r="T1603" s="13"/>
      <c r="U1603" s="13"/>
      <c r="V1603" s="13"/>
      <c r="W1603" s="13"/>
    </row>
    <row r="1604" spans="1:23" x14ac:dyDescent="0.2">
      <c r="A1604"/>
      <c r="B1604"/>
      <c r="C1604"/>
      <c r="D1604"/>
      <c r="E1604"/>
      <c r="F1604"/>
      <c r="G1604"/>
      <c r="H1604"/>
      <c r="I1604"/>
      <c r="J1604"/>
      <c r="K1604" s="13" t="s">
        <v>143</v>
      </c>
      <c r="L1604" s="13" t="s">
        <v>411</v>
      </c>
      <c r="M1604" s="13" t="s">
        <v>362</v>
      </c>
      <c r="N1604" s="15">
        <v>2</v>
      </c>
      <c r="O1604" s="16">
        <v>0</v>
      </c>
      <c r="P1604" s="17">
        <v>0</v>
      </c>
      <c r="Q1604" s="17">
        <v>0</v>
      </c>
      <c r="R1604" s="13"/>
      <c r="S1604" s="13"/>
      <c r="T1604" s="13"/>
      <c r="U1604" s="13"/>
      <c r="V1604" s="13"/>
      <c r="W1604" s="13"/>
    </row>
    <row r="1605" spans="1:23" x14ac:dyDescent="0.2">
      <c r="A1605"/>
      <c r="B1605"/>
      <c r="C1605"/>
      <c r="D1605"/>
      <c r="E1605"/>
      <c r="F1605"/>
      <c r="G1605"/>
      <c r="H1605"/>
      <c r="I1605"/>
      <c r="J1605"/>
      <c r="K1605" s="13" t="s">
        <v>143</v>
      </c>
      <c r="L1605" s="13" t="s">
        <v>413</v>
      </c>
      <c r="M1605" s="13" t="s">
        <v>428</v>
      </c>
      <c r="N1605" s="15">
        <v>5</v>
      </c>
      <c r="O1605" s="16">
        <v>0</v>
      </c>
      <c r="P1605" s="17">
        <v>0</v>
      </c>
      <c r="Q1605" s="17">
        <v>0</v>
      </c>
      <c r="R1605" s="13"/>
      <c r="S1605" s="13"/>
      <c r="T1605" s="13"/>
      <c r="U1605" s="13"/>
      <c r="V1605" s="13"/>
      <c r="W1605" s="13"/>
    </row>
    <row r="1606" spans="1:23" x14ac:dyDescent="0.2">
      <c r="A1606"/>
      <c r="B1606"/>
      <c r="C1606"/>
      <c r="D1606"/>
      <c r="E1606"/>
      <c r="F1606"/>
      <c r="G1606"/>
      <c r="H1606"/>
      <c r="I1606"/>
      <c r="J1606"/>
      <c r="K1606" s="13" t="s">
        <v>143</v>
      </c>
      <c r="L1606" s="13" t="s">
        <v>475</v>
      </c>
      <c r="M1606" s="13" t="s">
        <v>470</v>
      </c>
      <c r="N1606" s="15">
        <v>1</v>
      </c>
      <c r="O1606" s="16">
        <v>0</v>
      </c>
      <c r="P1606" s="17">
        <v>0</v>
      </c>
      <c r="Q1606" s="17">
        <v>0</v>
      </c>
      <c r="R1606" s="13"/>
      <c r="S1606" s="13"/>
      <c r="T1606" s="13"/>
      <c r="U1606" s="13"/>
      <c r="V1606" s="13"/>
      <c r="W1606" s="13"/>
    </row>
    <row r="1607" spans="1:23" x14ac:dyDescent="0.2">
      <c r="A1607"/>
      <c r="B1607"/>
      <c r="C1607"/>
      <c r="D1607"/>
      <c r="E1607"/>
      <c r="F1607"/>
      <c r="G1607"/>
      <c r="H1607"/>
      <c r="I1607"/>
      <c r="J1607"/>
      <c r="K1607" s="13" t="s">
        <v>143</v>
      </c>
      <c r="L1607" s="13" t="s">
        <v>603</v>
      </c>
      <c r="M1607" s="13" t="s">
        <v>385</v>
      </c>
      <c r="N1607" s="15">
        <v>31</v>
      </c>
      <c r="O1607" s="16">
        <v>0</v>
      </c>
      <c r="P1607" s="17">
        <v>0</v>
      </c>
      <c r="Q1607" s="17">
        <v>0</v>
      </c>
      <c r="R1607" s="13"/>
      <c r="S1607" s="13"/>
      <c r="T1607" s="13"/>
      <c r="U1607" s="13"/>
      <c r="V1607" s="13"/>
      <c r="W1607" s="13"/>
    </row>
    <row r="1608" spans="1:23" x14ac:dyDescent="0.2">
      <c r="A1608"/>
      <c r="B1608"/>
      <c r="C1608"/>
      <c r="D1608"/>
      <c r="E1608"/>
      <c r="F1608"/>
      <c r="G1608"/>
      <c r="H1608"/>
      <c r="I1608"/>
      <c r="J1608"/>
      <c r="K1608" s="13" t="s">
        <v>143</v>
      </c>
      <c r="L1608" s="13" t="s">
        <v>605</v>
      </c>
      <c r="M1608" s="13" t="s">
        <v>429</v>
      </c>
      <c r="N1608" s="15">
        <v>0</v>
      </c>
      <c r="O1608" s="16">
        <v>8.2133671528180585</v>
      </c>
      <c r="P1608" s="17">
        <v>0</v>
      </c>
      <c r="Q1608" s="17">
        <v>0</v>
      </c>
      <c r="R1608" s="13"/>
      <c r="S1608" s="13"/>
      <c r="T1608" s="13"/>
      <c r="U1608" s="13"/>
      <c r="V1608" s="13"/>
      <c r="W1608" s="13"/>
    </row>
    <row r="1609" spans="1:23" x14ac:dyDescent="0.2">
      <c r="A1609"/>
      <c r="B1609"/>
      <c r="C1609"/>
      <c r="D1609"/>
      <c r="E1609"/>
      <c r="F1609"/>
      <c r="G1609"/>
      <c r="H1609"/>
      <c r="I1609"/>
      <c r="J1609"/>
      <c r="K1609" s="13" t="s">
        <v>143</v>
      </c>
      <c r="L1609" s="13" t="s">
        <v>606</v>
      </c>
      <c r="M1609" s="13" t="s">
        <v>430</v>
      </c>
      <c r="N1609" s="15">
        <v>21</v>
      </c>
      <c r="O1609" s="16">
        <v>0</v>
      </c>
      <c r="P1609" s="17">
        <v>0</v>
      </c>
      <c r="Q1609" s="17">
        <v>0</v>
      </c>
      <c r="R1609" s="13"/>
      <c r="S1609" s="13"/>
      <c r="T1609" s="13"/>
      <c r="U1609" s="13"/>
      <c r="V1609" s="13"/>
      <c r="W1609" s="13"/>
    </row>
    <row r="1610" spans="1:23" x14ac:dyDescent="0.2">
      <c r="A1610"/>
      <c r="B1610"/>
      <c r="C1610"/>
      <c r="D1610"/>
      <c r="E1610"/>
      <c r="F1610"/>
      <c r="G1610"/>
      <c r="H1610"/>
      <c r="I1610"/>
      <c r="J1610"/>
      <c r="K1610" s="13" t="s">
        <v>143</v>
      </c>
      <c r="L1610" s="13" t="s">
        <v>619</v>
      </c>
      <c r="M1610" s="13" t="s">
        <v>508</v>
      </c>
      <c r="N1610" s="15">
        <v>12</v>
      </c>
      <c r="O1610" s="16">
        <v>0</v>
      </c>
      <c r="P1610" s="17">
        <v>0</v>
      </c>
      <c r="Q1610" s="17">
        <v>0</v>
      </c>
      <c r="R1610" s="13"/>
      <c r="S1610" s="13"/>
      <c r="T1610" s="13"/>
      <c r="U1610" s="13"/>
      <c r="V1610" s="13"/>
      <c r="W1610" s="13"/>
    </row>
    <row r="1611" spans="1:23" x14ac:dyDescent="0.2">
      <c r="A1611"/>
      <c r="B1611"/>
      <c r="C1611"/>
      <c r="D1611"/>
      <c r="E1611"/>
      <c r="F1611"/>
      <c r="G1611"/>
      <c r="H1611"/>
      <c r="I1611"/>
      <c r="J1611"/>
      <c r="K1611" s="13" t="s">
        <v>143</v>
      </c>
      <c r="L1611" s="13" t="s">
        <v>607</v>
      </c>
      <c r="M1611" s="13" t="s">
        <v>431</v>
      </c>
      <c r="N1611" s="15">
        <v>3</v>
      </c>
      <c r="O1611" s="16">
        <v>0</v>
      </c>
      <c r="P1611" s="17">
        <v>0</v>
      </c>
      <c r="Q1611" s="17">
        <v>0</v>
      </c>
      <c r="R1611" s="13"/>
      <c r="S1611" s="13"/>
      <c r="T1611" s="13"/>
      <c r="U1611" s="13"/>
      <c r="V1611" s="13"/>
      <c r="W1611" s="13"/>
    </row>
    <row r="1612" spans="1:23" x14ac:dyDescent="0.2">
      <c r="A1612"/>
      <c r="B1612"/>
      <c r="C1612"/>
      <c r="D1612"/>
      <c r="E1612"/>
      <c r="F1612"/>
      <c r="G1612"/>
      <c r="H1612"/>
      <c r="I1612"/>
      <c r="J1612"/>
      <c r="K1612" s="13" t="s">
        <v>143</v>
      </c>
      <c r="L1612" s="13" t="s">
        <v>608</v>
      </c>
      <c r="M1612" s="13" t="s">
        <v>432</v>
      </c>
      <c r="N1612" s="15">
        <v>10</v>
      </c>
      <c r="O1612" s="16">
        <v>0</v>
      </c>
      <c r="P1612" s="17">
        <v>0</v>
      </c>
      <c r="Q1612" s="17">
        <v>0</v>
      </c>
      <c r="R1612" s="13"/>
      <c r="S1612" s="13"/>
      <c r="T1612" s="13"/>
      <c r="U1612" s="13"/>
      <c r="V1612" s="13"/>
      <c r="W1612" s="13"/>
    </row>
    <row r="1613" spans="1:23" x14ac:dyDescent="0.2">
      <c r="A1613"/>
      <c r="B1613"/>
      <c r="C1613"/>
      <c r="D1613"/>
      <c r="E1613"/>
      <c r="F1613"/>
      <c r="G1613"/>
      <c r="H1613"/>
      <c r="I1613"/>
      <c r="J1613"/>
      <c r="K1613" s="13" t="s">
        <v>143</v>
      </c>
      <c r="L1613" s="13" t="s">
        <v>615</v>
      </c>
      <c r="M1613" s="13" t="s">
        <v>449</v>
      </c>
      <c r="N1613" s="15">
        <v>1</v>
      </c>
      <c r="O1613" s="16">
        <v>0</v>
      </c>
      <c r="P1613" s="17">
        <v>0</v>
      </c>
      <c r="Q1613" s="17">
        <v>0</v>
      </c>
      <c r="R1613" s="13"/>
      <c r="S1613" s="13"/>
      <c r="T1613" s="13"/>
      <c r="U1613" s="13"/>
      <c r="V1613" s="13"/>
      <c r="W1613" s="13"/>
    </row>
    <row r="1614" spans="1:23" x14ac:dyDescent="0.2">
      <c r="A1614"/>
      <c r="B1614"/>
      <c r="C1614"/>
      <c r="D1614"/>
      <c r="E1614"/>
      <c r="F1614"/>
      <c r="G1614"/>
      <c r="H1614"/>
      <c r="I1614"/>
      <c r="J1614"/>
      <c r="K1614" s="13" t="s">
        <v>143</v>
      </c>
      <c r="L1614" s="13" t="s">
        <v>415</v>
      </c>
      <c r="M1614" s="13" t="s">
        <v>412</v>
      </c>
      <c r="N1614" s="15">
        <v>0</v>
      </c>
      <c r="O1614" s="16">
        <v>0</v>
      </c>
      <c r="P1614" s="17">
        <v>13.182950000396069</v>
      </c>
      <c r="Q1614" s="17">
        <v>0</v>
      </c>
      <c r="R1614" s="13"/>
      <c r="S1614" s="13"/>
      <c r="T1614" s="13"/>
      <c r="U1614" s="13"/>
      <c r="V1614" s="13"/>
      <c r="W1614" s="13"/>
    </row>
    <row r="1615" spans="1:23" x14ac:dyDescent="0.2">
      <c r="A1615"/>
      <c r="B1615"/>
      <c r="C1615"/>
      <c r="D1615"/>
      <c r="E1615"/>
      <c r="F1615"/>
      <c r="G1615"/>
      <c r="H1615"/>
      <c r="I1615"/>
      <c r="J1615"/>
      <c r="K1615" s="13" t="s">
        <v>143</v>
      </c>
      <c r="L1615" s="13" t="s">
        <v>609</v>
      </c>
      <c r="M1615" s="13" t="s">
        <v>416</v>
      </c>
      <c r="N1615" s="15">
        <v>0</v>
      </c>
      <c r="O1615" s="16">
        <v>79.789564873891649</v>
      </c>
      <c r="P1615" s="17">
        <v>0</v>
      </c>
      <c r="Q1615" s="17">
        <v>0</v>
      </c>
      <c r="R1615" s="13"/>
      <c r="S1615" s="13"/>
      <c r="T1615" s="13"/>
      <c r="U1615" s="13"/>
      <c r="V1615" s="13"/>
      <c r="W1615" s="13"/>
    </row>
    <row r="1616" spans="1:23" x14ac:dyDescent="0.2">
      <c r="A1616"/>
      <c r="B1616"/>
      <c r="C1616"/>
      <c r="D1616"/>
      <c r="E1616"/>
      <c r="F1616"/>
      <c r="G1616"/>
      <c r="H1616"/>
      <c r="I1616"/>
      <c r="J1616"/>
      <c r="K1616" s="13" t="s">
        <v>143</v>
      </c>
      <c r="L1616" s="13" t="s">
        <v>421</v>
      </c>
      <c r="M1616" s="13" t="s">
        <v>443</v>
      </c>
      <c r="N1616" s="15">
        <v>7</v>
      </c>
      <c r="O1616" s="16">
        <v>0</v>
      </c>
      <c r="P1616" s="17">
        <v>0</v>
      </c>
      <c r="Q1616" s="17">
        <v>0</v>
      </c>
      <c r="R1616" s="13"/>
      <c r="S1616" s="13"/>
      <c r="T1616" s="13"/>
      <c r="U1616" s="13"/>
      <c r="V1616" s="13"/>
      <c r="W1616" s="13"/>
    </row>
    <row r="1617" spans="1:23" x14ac:dyDescent="0.2">
      <c r="A1617"/>
      <c r="B1617"/>
      <c r="C1617"/>
      <c r="D1617"/>
      <c r="E1617"/>
      <c r="F1617"/>
      <c r="G1617"/>
      <c r="H1617"/>
      <c r="I1617"/>
      <c r="J1617"/>
      <c r="K1617" s="13" t="s">
        <v>143</v>
      </c>
      <c r="L1617" s="13" t="s">
        <v>383</v>
      </c>
      <c r="M1617" s="13" t="s">
        <v>420</v>
      </c>
      <c r="N1617" s="15">
        <v>6</v>
      </c>
      <c r="O1617" s="16">
        <v>0</v>
      </c>
      <c r="P1617" s="17">
        <v>0</v>
      </c>
      <c r="Q1617" s="17">
        <v>0</v>
      </c>
      <c r="R1617" s="13"/>
      <c r="S1617" s="13"/>
      <c r="T1617" s="13"/>
      <c r="U1617" s="13"/>
      <c r="V1617" s="13"/>
      <c r="W1617" s="13"/>
    </row>
    <row r="1618" spans="1:23" x14ac:dyDescent="0.2">
      <c r="A1618"/>
      <c r="B1618"/>
      <c r="C1618"/>
      <c r="D1618"/>
      <c r="E1618"/>
      <c r="F1618"/>
      <c r="G1618"/>
      <c r="H1618"/>
      <c r="I1618"/>
      <c r="J1618"/>
      <c r="K1618" s="13" t="s">
        <v>143</v>
      </c>
      <c r="L1618" s="13" t="s">
        <v>528</v>
      </c>
      <c r="M1618" s="13" t="s">
        <v>384</v>
      </c>
      <c r="N1618" s="15">
        <v>0</v>
      </c>
      <c r="O1618" s="16">
        <v>600.36091060792785</v>
      </c>
      <c r="P1618" s="17">
        <v>0</v>
      </c>
      <c r="Q1618" s="17">
        <v>0</v>
      </c>
      <c r="R1618" s="13"/>
      <c r="S1618" s="13"/>
      <c r="T1618" s="13"/>
      <c r="U1618" s="13"/>
      <c r="V1618" s="13"/>
      <c r="W1618" s="13"/>
    </row>
    <row r="1619" spans="1:23" x14ac:dyDescent="0.2">
      <c r="A1619"/>
      <c r="B1619"/>
      <c r="C1619"/>
      <c r="D1619"/>
      <c r="E1619"/>
      <c r="F1619"/>
      <c r="G1619"/>
      <c r="H1619"/>
      <c r="I1619"/>
      <c r="J1619"/>
      <c r="K1619" s="13" t="s">
        <v>143</v>
      </c>
      <c r="L1619" s="13" t="s">
        <v>613</v>
      </c>
      <c r="M1619" s="13" t="s">
        <v>444</v>
      </c>
      <c r="N1619" s="15">
        <v>0</v>
      </c>
      <c r="O1619" s="16">
        <v>9.7113953691036468</v>
      </c>
      <c r="P1619" s="17">
        <v>0</v>
      </c>
      <c r="Q1619" s="17">
        <v>0</v>
      </c>
      <c r="R1619" s="13"/>
      <c r="S1619" s="13"/>
      <c r="T1619" s="13"/>
      <c r="U1619" s="13"/>
      <c r="V1619" s="13"/>
      <c r="W1619" s="13"/>
    </row>
    <row r="1620" spans="1:23" x14ac:dyDescent="0.2">
      <c r="A1620"/>
      <c r="B1620"/>
      <c r="C1620"/>
      <c r="D1620"/>
      <c r="E1620"/>
      <c r="F1620"/>
      <c r="G1620"/>
      <c r="H1620"/>
      <c r="I1620"/>
      <c r="J1620"/>
      <c r="K1620" s="13" t="s">
        <v>143</v>
      </c>
      <c r="L1620" s="13" t="s">
        <v>614</v>
      </c>
      <c r="M1620" s="13" t="s">
        <v>447</v>
      </c>
      <c r="N1620" s="15">
        <v>18</v>
      </c>
      <c r="O1620" s="16">
        <v>0</v>
      </c>
      <c r="P1620" s="17">
        <v>0</v>
      </c>
      <c r="Q1620" s="17">
        <v>0</v>
      </c>
      <c r="R1620" s="13"/>
      <c r="S1620" s="13"/>
      <c r="T1620" s="13"/>
      <c r="U1620" s="13"/>
      <c r="V1620" s="13"/>
      <c r="W1620" s="13"/>
    </row>
    <row r="1621" spans="1:23" x14ac:dyDescent="0.2">
      <c r="A1621"/>
      <c r="B1621"/>
      <c r="C1621"/>
      <c r="D1621"/>
      <c r="E1621"/>
      <c r="F1621"/>
      <c r="G1621"/>
      <c r="H1621"/>
      <c r="I1621"/>
      <c r="J1621"/>
      <c r="K1621" s="13" t="s">
        <v>143</v>
      </c>
      <c r="L1621" s="13" t="s">
        <v>469</v>
      </c>
      <c r="M1621" s="13" t="s">
        <v>426</v>
      </c>
      <c r="N1621" s="15">
        <v>14</v>
      </c>
      <c r="O1621" s="16">
        <v>0</v>
      </c>
      <c r="P1621" s="17">
        <v>0</v>
      </c>
      <c r="Q1621" s="17">
        <v>0</v>
      </c>
      <c r="R1621" s="13"/>
      <c r="S1621" s="13"/>
      <c r="T1621" s="13"/>
      <c r="U1621" s="13"/>
      <c r="V1621" s="13"/>
      <c r="W1621" s="13"/>
    </row>
    <row r="1622" spans="1:23" x14ac:dyDescent="0.2">
      <c r="A1622"/>
      <c r="B1622"/>
      <c r="C1622"/>
      <c r="D1622"/>
      <c r="E1622"/>
      <c r="F1622"/>
      <c r="G1622"/>
      <c r="H1622"/>
      <c r="I1622"/>
      <c r="J1622"/>
      <c r="K1622" s="13" t="s">
        <v>145</v>
      </c>
      <c r="L1622" s="13" t="s">
        <v>435</v>
      </c>
      <c r="M1622" s="13" t="s">
        <v>364</v>
      </c>
      <c r="N1622" s="15">
        <v>0</v>
      </c>
      <c r="O1622" s="16">
        <v>10.151087343155874</v>
      </c>
      <c r="P1622" s="17">
        <v>0</v>
      </c>
      <c r="Q1622" s="17">
        <v>0</v>
      </c>
      <c r="R1622" s="13"/>
      <c r="S1622" s="13"/>
      <c r="T1622" s="13"/>
      <c r="U1622" s="13"/>
      <c r="V1622" s="13"/>
      <c r="W1622" s="13"/>
    </row>
    <row r="1623" spans="1:23" x14ac:dyDescent="0.2">
      <c r="A1623"/>
      <c r="B1623"/>
      <c r="C1623"/>
      <c r="D1623"/>
      <c r="E1623"/>
      <c r="F1623"/>
      <c r="G1623"/>
      <c r="H1623"/>
      <c r="I1623"/>
      <c r="J1623"/>
      <c r="K1623" s="13" t="s">
        <v>145</v>
      </c>
      <c r="L1623" s="13" t="s">
        <v>435</v>
      </c>
      <c r="M1623" s="13" t="s">
        <v>364</v>
      </c>
      <c r="N1623" s="15">
        <v>1</v>
      </c>
      <c r="O1623" s="16">
        <v>0</v>
      </c>
      <c r="P1623" s="17">
        <v>0</v>
      </c>
      <c r="Q1623" s="17">
        <v>0</v>
      </c>
      <c r="R1623" s="13"/>
      <c r="S1623" s="13"/>
      <c r="T1623" s="13"/>
      <c r="U1623" s="13"/>
      <c r="V1623" s="13"/>
      <c r="W1623" s="13"/>
    </row>
    <row r="1624" spans="1:23" x14ac:dyDescent="0.2">
      <c r="A1624"/>
      <c r="B1624"/>
      <c r="C1624"/>
      <c r="D1624"/>
      <c r="E1624"/>
      <c r="F1624"/>
      <c r="G1624"/>
      <c r="H1624"/>
      <c r="I1624"/>
      <c r="J1624"/>
      <c r="K1624" s="13" t="s">
        <v>145</v>
      </c>
      <c r="L1624" s="13" t="s">
        <v>481</v>
      </c>
      <c r="M1624" s="13" t="s">
        <v>374</v>
      </c>
      <c r="N1624" s="15">
        <v>0</v>
      </c>
      <c r="O1624" s="16">
        <v>0</v>
      </c>
      <c r="P1624" s="17">
        <v>274.34035000849315</v>
      </c>
      <c r="Q1624" s="17">
        <v>0</v>
      </c>
      <c r="R1624" s="13"/>
      <c r="S1624" s="13"/>
      <c r="T1624" s="13"/>
      <c r="U1624" s="13"/>
      <c r="V1624" s="13"/>
      <c r="W1624" s="13"/>
    </row>
    <row r="1625" spans="1:23" x14ac:dyDescent="0.2">
      <c r="A1625"/>
      <c r="B1625"/>
      <c r="C1625"/>
      <c r="D1625"/>
      <c r="E1625"/>
      <c r="F1625"/>
      <c r="G1625"/>
      <c r="H1625"/>
      <c r="I1625"/>
      <c r="J1625"/>
      <c r="K1625" s="13" t="s">
        <v>145</v>
      </c>
      <c r="L1625" s="13" t="s">
        <v>387</v>
      </c>
      <c r="M1625" s="13" t="s">
        <v>386</v>
      </c>
      <c r="N1625" s="15">
        <v>0</v>
      </c>
      <c r="O1625" s="16">
        <v>0</v>
      </c>
      <c r="P1625" s="17">
        <v>280.17159997561339</v>
      </c>
      <c r="Q1625" s="17">
        <v>0</v>
      </c>
      <c r="R1625" s="13"/>
      <c r="S1625" s="13"/>
      <c r="T1625" s="13"/>
      <c r="U1625" s="13"/>
      <c r="V1625" s="13"/>
      <c r="W1625" s="13"/>
    </row>
    <row r="1626" spans="1:23" x14ac:dyDescent="0.2">
      <c r="A1626"/>
      <c r="B1626"/>
      <c r="C1626"/>
      <c r="D1626"/>
      <c r="E1626"/>
      <c r="F1626"/>
      <c r="G1626"/>
      <c r="H1626"/>
      <c r="I1626"/>
      <c r="J1626"/>
      <c r="K1626" s="13" t="s">
        <v>145</v>
      </c>
      <c r="L1626" s="13" t="s">
        <v>389</v>
      </c>
      <c r="M1626" s="13" t="s">
        <v>388</v>
      </c>
      <c r="N1626" s="15">
        <v>0</v>
      </c>
      <c r="O1626" s="16">
        <v>0</v>
      </c>
      <c r="P1626" s="17">
        <v>185.72475001852476</v>
      </c>
      <c r="Q1626" s="17">
        <v>0</v>
      </c>
      <c r="R1626" s="13"/>
      <c r="S1626" s="13"/>
      <c r="T1626" s="13"/>
      <c r="U1626" s="13"/>
      <c r="V1626" s="13"/>
      <c r="W1626" s="13"/>
    </row>
    <row r="1627" spans="1:23" x14ac:dyDescent="0.2">
      <c r="A1627"/>
      <c r="B1627"/>
      <c r="C1627"/>
      <c r="D1627"/>
      <c r="E1627"/>
      <c r="F1627"/>
      <c r="G1627"/>
      <c r="H1627"/>
      <c r="I1627"/>
      <c r="J1627"/>
      <c r="K1627" s="13" t="s">
        <v>145</v>
      </c>
      <c r="L1627" s="13" t="s">
        <v>391</v>
      </c>
      <c r="M1627" s="13" t="s">
        <v>358</v>
      </c>
      <c r="N1627" s="15">
        <v>0</v>
      </c>
      <c r="O1627" s="16">
        <v>0</v>
      </c>
      <c r="P1627" s="17">
        <v>1.4500000434461979E-3</v>
      </c>
      <c r="Q1627" s="17">
        <v>0</v>
      </c>
      <c r="R1627" s="13"/>
      <c r="S1627" s="13"/>
      <c r="T1627" s="13"/>
      <c r="U1627" s="13"/>
      <c r="V1627" s="13"/>
      <c r="W1627" s="13"/>
    </row>
    <row r="1628" spans="1:23" x14ac:dyDescent="0.2">
      <c r="A1628"/>
      <c r="B1628"/>
      <c r="C1628"/>
      <c r="D1628"/>
      <c r="E1628"/>
      <c r="F1628"/>
      <c r="G1628"/>
      <c r="H1628"/>
      <c r="I1628"/>
      <c r="J1628"/>
      <c r="K1628" s="13" t="s">
        <v>145</v>
      </c>
      <c r="L1628" s="13" t="s">
        <v>450</v>
      </c>
      <c r="M1628" s="13" t="s">
        <v>368</v>
      </c>
      <c r="N1628" s="15">
        <v>0</v>
      </c>
      <c r="O1628" s="16">
        <v>0</v>
      </c>
      <c r="P1628" s="17">
        <v>985.16420000477081</v>
      </c>
      <c r="Q1628" s="17">
        <v>0</v>
      </c>
      <c r="R1628" s="13"/>
      <c r="S1628" s="13"/>
      <c r="T1628" s="13"/>
      <c r="U1628" s="13"/>
      <c r="V1628" s="13"/>
      <c r="W1628" s="13"/>
    </row>
    <row r="1629" spans="1:23" x14ac:dyDescent="0.2">
      <c r="A1629"/>
      <c r="B1629"/>
      <c r="C1629"/>
      <c r="D1629"/>
      <c r="E1629"/>
      <c r="F1629"/>
      <c r="G1629"/>
      <c r="H1629"/>
      <c r="I1629"/>
      <c r="J1629"/>
      <c r="K1629" s="13" t="s">
        <v>145</v>
      </c>
      <c r="L1629" s="13" t="s">
        <v>486</v>
      </c>
      <c r="M1629" s="13" t="s">
        <v>439</v>
      </c>
      <c r="N1629" s="15">
        <v>0</v>
      </c>
      <c r="O1629" s="16">
        <v>0</v>
      </c>
      <c r="P1629" s="17">
        <v>11.233349999790288</v>
      </c>
      <c r="Q1629" s="17">
        <v>0</v>
      </c>
      <c r="R1629" s="13"/>
      <c r="S1629" s="13"/>
      <c r="T1629" s="13"/>
      <c r="U1629" s="13"/>
      <c r="V1629" s="13"/>
      <c r="W1629" s="13"/>
    </row>
    <row r="1630" spans="1:23" x14ac:dyDescent="0.2">
      <c r="A1630"/>
      <c r="B1630"/>
      <c r="C1630"/>
      <c r="D1630"/>
      <c r="E1630"/>
      <c r="F1630"/>
      <c r="G1630"/>
      <c r="H1630"/>
      <c r="I1630"/>
      <c r="J1630"/>
      <c r="K1630" s="13" t="s">
        <v>145</v>
      </c>
      <c r="L1630" s="13" t="s">
        <v>519</v>
      </c>
      <c r="M1630" s="13" t="s">
        <v>478</v>
      </c>
      <c r="N1630" s="15">
        <v>0</v>
      </c>
      <c r="O1630" s="16">
        <v>0</v>
      </c>
      <c r="P1630" s="17">
        <v>261.69649998704165</v>
      </c>
      <c r="Q1630" s="17">
        <v>0</v>
      </c>
      <c r="R1630" s="13"/>
      <c r="S1630" s="13"/>
      <c r="T1630" s="13"/>
      <c r="U1630" s="13"/>
      <c r="V1630" s="13"/>
      <c r="W1630" s="13"/>
    </row>
    <row r="1631" spans="1:23" x14ac:dyDescent="0.2">
      <c r="A1631"/>
      <c r="B1631"/>
      <c r="C1631"/>
      <c r="D1631"/>
      <c r="E1631"/>
      <c r="F1631"/>
      <c r="G1631"/>
      <c r="H1631"/>
      <c r="I1631"/>
      <c r="J1631"/>
      <c r="K1631" s="13" t="s">
        <v>145</v>
      </c>
      <c r="L1631" s="13" t="s">
        <v>532</v>
      </c>
      <c r="M1631" s="13" t="s">
        <v>620</v>
      </c>
      <c r="N1631" s="15">
        <v>0</v>
      </c>
      <c r="O1631" s="16">
        <v>0</v>
      </c>
      <c r="P1631" s="17">
        <v>227.33805000391726</v>
      </c>
      <c r="Q1631" s="17">
        <v>0</v>
      </c>
      <c r="R1631" s="13"/>
      <c r="S1631" s="13"/>
      <c r="T1631" s="13"/>
      <c r="U1631" s="13"/>
      <c r="V1631" s="13"/>
      <c r="W1631" s="13"/>
    </row>
    <row r="1632" spans="1:23" x14ac:dyDescent="0.2">
      <c r="A1632"/>
      <c r="B1632"/>
      <c r="C1632"/>
      <c r="D1632"/>
      <c r="E1632"/>
      <c r="F1632"/>
      <c r="G1632"/>
      <c r="H1632"/>
      <c r="I1632"/>
      <c r="J1632"/>
      <c r="K1632" s="13" t="s">
        <v>145</v>
      </c>
      <c r="L1632" s="13" t="s">
        <v>399</v>
      </c>
      <c r="M1632" s="13" t="s">
        <v>400</v>
      </c>
      <c r="N1632" s="15">
        <v>0</v>
      </c>
      <c r="O1632" s="16">
        <v>0</v>
      </c>
      <c r="P1632" s="17">
        <v>6.2044999978791457</v>
      </c>
      <c r="Q1632" s="17">
        <v>0</v>
      </c>
      <c r="R1632" s="13"/>
      <c r="S1632" s="13"/>
      <c r="T1632" s="13"/>
      <c r="U1632" s="13"/>
      <c r="V1632" s="13"/>
      <c r="W1632" s="13"/>
    </row>
    <row r="1633" spans="1:23" x14ac:dyDescent="0.2">
      <c r="A1633"/>
      <c r="B1633"/>
      <c r="C1633"/>
      <c r="D1633"/>
      <c r="E1633"/>
      <c r="F1633"/>
      <c r="G1633"/>
      <c r="H1633"/>
      <c r="I1633"/>
      <c r="J1633"/>
      <c r="K1633" s="13" t="s">
        <v>145</v>
      </c>
      <c r="L1633" s="13" t="s">
        <v>401</v>
      </c>
      <c r="M1633" s="13" t="s">
        <v>360</v>
      </c>
      <c r="N1633" s="15">
        <v>0</v>
      </c>
      <c r="O1633" s="16">
        <v>0</v>
      </c>
      <c r="P1633" s="17">
        <v>2179.3476000828014</v>
      </c>
      <c r="Q1633" s="17">
        <v>0</v>
      </c>
      <c r="R1633" s="13"/>
      <c r="S1633" s="13"/>
      <c r="T1633" s="13"/>
      <c r="U1633" s="13"/>
      <c r="V1633" s="13"/>
      <c r="W1633" s="13"/>
    </row>
    <row r="1634" spans="1:23" x14ac:dyDescent="0.2">
      <c r="A1634"/>
      <c r="B1634"/>
      <c r="C1634"/>
      <c r="D1634"/>
      <c r="E1634"/>
      <c r="F1634"/>
      <c r="G1634"/>
      <c r="H1634"/>
      <c r="I1634"/>
      <c r="J1634"/>
      <c r="K1634" s="13" t="s">
        <v>145</v>
      </c>
      <c r="L1634" s="13" t="s">
        <v>402</v>
      </c>
      <c r="M1634" s="13" t="s">
        <v>403</v>
      </c>
      <c r="N1634" s="15">
        <v>0</v>
      </c>
      <c r="O1634" s="16">
        <v>0</v>
      </c>
      <c r="P1634" s="17">
        <v>18323.331399991788</v>
      </c>
      <c r="Q1634" s="17">
        <v>0</v>
      </c>
      <c r="R1634" s="13"/>
      <c r="S1634" s="13"/>
      <c r="T1634" s="13"/>
      <c r="U1634" s="13"/>
      <c r="V1634" s="13"/>
      <c r="W1634" s="13"/>
    </row>
    <row r="1635" spans="1:23" x14ac:dyDescent="0.2">
      <c r="A1635"/>
      <c r="B1635"/>
      <c r="C1635"/>
      <c r="D1635"/>
      <c r="E1635"/>
      <c r="F1635"/>
      <c r="G1635"/>
      <c r="H1635"/>
      <c r="I1635"/>
      <c r="J1635"/>
      <c r="K1635" s="13" t="s">
        <v>145</v>
      </c>
      <c r="L1635" s="13" t="s">
        <v>525</v>
      </c>
      <c r="M1635" s="13" t="s">
        <v>526</v>
      </c>
      <c r="N1635" s="15">
        <v>0</v>
      </c>
      <c r="O1635" s="16">
        <v>0</v>
      </c>
      <c r="P1635" s="17">
        <v>7956.7718999602639</v>
      </c>
      <c r="Q1635" s="17">
        <v>0</v>
      </c>
      <c r="R1635" s="13"/>
      <c r="S1635" s="13"/>
      <c r="T1635" s="13"/>
      <c r="U1635" s="13"/>
      <c r="V1635" s="13"/>
      <c r="W1635" s="13"/>
    </row>
    <row r="1636" spans="1:23" x14ac:dyDescent="0.2">
      <c r="A1636"/>
      <c r="B1636"/>
      <c r="C1636"/>
      <c r="D1636"/>
      <c r="E1636"/>
      <c r="F1636"/>
      <c r="G1636"/>
      <c r="H1636"/>
      <c r="I1636"/>
      <c r="J1636"/>
      <c r="K1636" s="13" t="s">
        <v>145</v>
      </c>
      <c r="L1636" s="13" t="s">
        <v>448</v>
      </c>
      <c r="M1636" s="13" t="s">
        <v>366</v>
      </c>
      <c r="N1636" s="15">
        <v>0</v>
      </c>
      <c r="O1636" s="16">
        <v>0</v>
      </c>
      <c r="P1636" s="17">
        <v>931.61844995325043</v>
      </c>
      <c r="Q1636" s="17">
        <v>0</v>
      </c>
      <c r="R1636" s="13"/>
      <c r="S1636" s="13"/>
      <c r="T1636" s="13"/>
      <c r="U1636" s="13"/>
      <c r="V1636" s="13"/>
      <c r="W1636" s="13"/>
    </row>
    <row r="1637" spans="1:23" x14ac:dyDescent="0.2">
      <c r="A1637"/>
      <c r="B1637"/>
      <c r="C1637"/>
      <c r="D1637"/>
      <c r="E1637"/>
      <c r="F1637"/>
      <c r="G1637"/>
      <c r="H1637"/>
      <c r="I1637"/>
      <c r="J1637"/>
      <c r="K1637" s="13" t="s">
        <v>145</v>
      </c>
      <c r="L1637" s="13" t="s">
        <v>404</v>
      </c>
      <c r="M1637" s="13" t="s">
        <v>405</v>
      </c>
      <c r="N1637" s="15">
        <v>0</v>
      </c>
      <c r="O1637" s="16">
        <v>0</v>
      </c>
      <c r="P1637" s="17">
        <v>808.03909983031997</v>
      </c>
      <c r="Q1637" s="17">
        <v>2328.2785442355648</v>
      </c>
      <c r="R1637" s="13"/>
      <c r="S1637" s="13"/>
      <c r="T1637" s="13"/>
      <c r="U1637" s="13"/>
      <c r="V1637" s="13"/>
      <c r="W1637" s="13"/>
    </row>
    <row r="1638" spans="1:23" x14ac:dyDescent="0.2">
      <c r="A1638"/>
      <c r="B1638"/>
      <c r="C1638"/>
      <c r="D1638"/>
      <c r="E1638"/>
      <c r="F1638"/>
      <c r="G1638"/>
      <c r="H1638"/>
      <c r="I1638"/>
      <c r="J1638"/>
      <c r="K1638" s="13" t="s">
        <v>145</v>
      </c>
      <c r="L1638" s="13" t="s">
        <v>381</v>
      </c>
      <c r="M1638" s="13" t="s">
        <v>382</v>
      </c>
      <c r="N1638" s="15">
        <v>3</v>
      </c>
      <c r="O1638" s="16">
        <v>0</v>
      </c>
      <c r="P1638" s="17">
        <v>0</v>
      </c>
      <c r="Q1638" s="17">
        <v>0</v>
      </c>
      <c r="R1638" s="13"/>
      <c r="S1638" s="13"/>
      <c r="T1638" s="13"/>
      <c r="U1638" s="13"/>
      <c r="V1638" s="13"/>
      <c r="W1638" s="13"/>
    </row>
    <row r="1639" spans="1:23" x14ac:dyDescent="0.2">
      <c r="A1639"/>
      <c r="B1639"/>
      <c r="C1639"/>
      <c r="D1639"/>
      <c r="E1639"/>
      <c r="F1639"/>
      <c r="G1639"/>
      <c r="H1639"/>
      <c r="I1639"/>
      <c r="J1639"/>
      <c r="K1639" s="13" t="s">
        <v>145</v>
      </c>
      <c r="L1639" s="13" t="s">
        <v>475</v>
      </c>
      <c r="M1639" s="13" t="s">
        <v>470</v>
      </c>
      <c r="N1639" s="15">
        <v>4</v>
      </c>
      <c r="O1639" s="16">
        <v>0</v>
      </c>
      <c r="P1639" s="17">
        <v>0</v>
      </c>
      <c r="Q1639" s="17">
        <v>0</v>
      </c>
      <c r="R1639" s="13"/>
      <c r="S1639" s="13"/>
      <c r="T1639" s="13"/>
      <c r="U1639" s="13"/>
      <c r="V1639" s="13"/>
      <c r="W1639" s="13"/>
    </row>
    <row r="1640" spans="1:23" x14ac:dyDescent="0.2">
      <c r="A1640"/>
      <c r="B1640"/>
      <c r="C1640"/>
      <c r="D1640"/>
      <c r="E1640"/>
      <c r="F1640"/>
      <c r="G1640"/>
      <c r="H1640"/>
      <c r="I1640"/>
      <c r="J1640"/>
      <c r="K1640" s="13" t="s">
        <v>145</v>
      </c>
      <c r="L1640" s="13" t="s">
        <v>605</v>
      </c>
      <c r="M1640" s="13" t="s">
        <v>429</v>
      </c>
      <c r="N1640" s="15">
        <v>0</v>
      </c>
      <c r="O1640" s="16">
        <v>3.0978218158907458</v>
      </c>
      <c r="P1640" s="17">
        <v>0</v>
      </c>
      <c r="Q1640" s="17">
        <v>0</v>
      </c>
      <c r="R1640" s="13"/>
      <c r="S1640" s="13"/>
      <c r="T1640" s="13"/>
      <c r="U1640" s="13"/>
      <c r="V1640" s="13"/>
      <c r="W1640" s="13"/>
    </row>
    <row r="1641" spans="1:23" x14ac:dyDescent="0.2">
      <c r="A1641"/>
      <c r="B1641"/>
      <c r="C1641"/>
      <c r="D1641"/>
      <c r="E1641"/>
      <c r="F1641"/>
      <c r="G1641"/>
      <c r="H1641"/>
      <c r="I1641"/>
      <c r="J1641"/>
      <c r="K1641" s="13" t="s">
        <v>145</v>
      </c>
      <c r="L1641" s="13" t="s">
        <v>619</v>
      </c>
      <c r="M1641" s="13" t="s">
        <v>508</v>
      </c>
      <c r="N1641" s="15">
        <v>6</v>
      </c>
      <c r="O1641" s="16">
        <v>0</v>
      </c>
      <c r="P1641" s="17">
        <v>0</v>
      </c>
      <c r="Q1641" s="17">
        <v>0</v>
      </c>
      <c r="R1641" s="13"/>
      <c r="S1641" s="13"/>
      <c r="T1641" s="13"/>
      <c r="U1641" s="13"/>
      <c r="V1641" s="13"/>
      <c r="W1641" s="13"/>
    </row>
    <row r="1642" spans="1:23" x14ac:dyDescent="0.2">
      <c r="A1642"/>
      <c r="B1642"/>
      <c r="C1642"/>
      <c r="D1642"/>
      <c r="E1642"/>
      <c r="F1642"/>
      <c r="G1642"/>
      <c r="H1642"/>
      <c r="I1642"/>
      <c r="J1642"/>
      <c r="K1642" s="13" t="s">
        <v>145</v>
      </c>
      <c r="L1642" s="13" t="s">
        <v>615</v>
      </c>
      <c r="M1642" s="13" t="s">
        <v>449</v>
      </c>
      <c r="N1642" s="15">
        <v>2</v>
      </c>
      <c r="O1642" s="16">
        <v>0</v>
      </c>
      <c r="P1642" s="17">
        <v>0</v>
      </c>
      <c r="Q1642" s="17">
        <v>0</v>
      </c>
      <c r="R1642" s="13"/>
      <c r="S1642" s="13"/>
      <c r="T1642" s="13"/>
      <c r="U1642" s="13"/>
      <c r="V1642" s="13"/>
      <c r="W1642" s="13"/>
    </row>
    <row r="1643" spans="1:23" x14ac:dyDescent="0.2">
      <c r="A1643"/>
      <c r="B1643"/>
      <c r="C1643"/>
      <c r="D1643"/>
      <c r="E1643"/>
      <c r="F1643"/>
      <c r="G1643"/>
      <c r="H1643"/>
      <c r="I1643"/>
      <c r="J1643"/>
      <c r="K1643" s="13" t="s">
        <v>145</v>
      </c>
      <c r="L1643" s="13" t="s">
        <v>421</v>
      </c>
      <c r="M1643" s="13" t="s">
        <v>443</v>
      </c>
      <c r="N1643" s="15">
        <v>2</v>
      </c>
      <c r="O1643" s="16">
        <v>0</v>
      </c>
      <c r="P1643" s="17">
        <v>0</v>
      </c>
      <c r="Q1643" s="17">
        <v>0</v>
      </c>
      <c r="R1643" s="13"/>
      <c r="S1643" s="13"/>
      <c r="T1643" s="13"/>
      <c r="U1643" s="13"/>
      <c r="V1643" s="13"/>
      <c r="W1643" s="13"/>
    </row>
    <row r="1644" spans="1:23" x14ac:dyDescent="0.2">
      <c r="A1644"/>
      <c r="B1644"/>
      <c r="C1644"/>
      <c r="D1644"/>
      <c r="E1644"/>
      <c r="F1644"/>
      <c r="G1644"/>
      <c r="H1644"/>
      <c r="I1644"/>
      <c r="J1644"/>
      <c r="K1644" s="13" t="s">
        <v>145</v>
      </c>
      <c r="L1644" s="13" t="s">
        <v>383</v>
      </c>
      <c r="M1644" s="13" t="s">
        <v>420</v>
      </c>
      <c r="N1644" s="15">
        <v>4</v>
      </c>
      <c r="O1644" s="16">
        <v>0</v>
      </c>
      <c r="P1644" s="17">
        <v>0</v>
      </c>
      <c r="Q1644" s="17">
        <v>0</v>
      </c>
      <c r="R1644" s="13"/>
      <c r="S1644" s="13"/>
      <c r="T1644" s="13"/>
      <c r="U1644" s="13"/>
      <c r="V1644" s="13"/>
      <c r="W1644" s="13"/>
    </row>
    <row r="1645" spans="1:23" x14ac:dyDescent="0.2">
      <c r="A1645"/>
      <c r="B1645"/>
      <c r="C1645"/>
      <c r="D1645"/>
      <c r="E1645"/>
      <c r="F1645"/>
      <c r="G1645"/>
      <c r="H1645"/>
      <c r="I1645"/>
      <c r="J1645"/>
      <c r="K1645" s="13" t="s">
        <v>145</v>
      </c>
      <c r="L1645" s="13" t="s">
        <v>528</v>
      </c>
      <c r="M1645" s="13" t="s">
        <v>384</v>
      </c>
      <c r="N1645" s="15">
        <v>0</v>
      </c>
      <c r="O1645" s="16">
        <v>79.801826833467373</v>
      </c>
      <c r="P1645" s="17">
        <v>0</v>
      </c>
      <c r="Q1645" s="17">
        <v>0</v>
      </c>
      <c r="R1645" s="13"/>
      <c r="S1645" s="13"/>
      <c r="T1645" s="13"/>
      <c r="U1645" s="13"/>
      <c r="V1645" s="13"/>
      <c r="W1645" s="13"/>
    </row>
    <row r="1646" spans="1:23" x14ac:dyDescent="0.2">
      <c r="A1646"/>
      <c r="B1646"/>
      <c r="C1646"/>
      <c r="D1646"/>
      <c r="E1646"/>
      <c r="F1646"/>
      <c r="G1646"/>
      <c r="H1646"/>
      <c r="I1646"/>
      <c r="J1646"/>
      <c r="K1646" s="13" t="s">
        <v>145</v>
      </c>
      <c r="L1646" s="13" t="s">
        <v>613</v>
      </c>
      <c r="M1646" s="13" t="s">
        <v>444</v>
      </c>
      <c r="N1646" s="15">
        <v>0</v>
      </c>
      <c r="O1646" s="16">
        <v>13.02153984702343</v>
      </c>
      <c r="P1646" s="17">
        <v>0</v>
      </c>
      <c r="Q1646" s="17">
        <v>0</v>
      </c>
      <c r="R1646" s="13"/>
      <c r="S1646" s="13"/>
      <c r="T1646" s="13"/>
      <c r="U1646" s="13"/>
      <c r="V1646" s="13"/>
      <c r="W1646" s="13"/>
    </row>
    <row r="1647" spans="1:23" x14ac:dyDescent="0.2">
      <c r="A1647"/>
      <c r="B1647"/>
      <c r="C1647"/>
      <c r="D1647"/>
      <c r="E1647"/>
      <c r="F1647"/>
      <c r="G1647"/>
      <c r="H1647"/>
      <c r="I1647"/>
      <c r="J1647"/>
      <c r="K1647" s="13" t="s">
        <v>145</v>
      </c>
      <c r="L1647" s="13" t="s">
        <v>614</v>
      </c>
      <c r="M1647" s="13" t="s">
        <v>447</v>
      </c>
      <c r="N1647" s="15">
        <v>1</v>
      </c>
      <c r="O1647" s="16">
        <v>0</v>
      </c>
      <c r="P1647" s="17">
        <v>0</v>
      </c>
      <c r="Q1647" s="17">
        <v>0</v>
      </c>
      <c r="R1647" s="13"/>
      <c r="S1647" s="13"/>
      <c r="T1647" s="13"/>
      <c r="U1647" s="13"/>
      <c r="V1647" s="13"/>
      <c r="W1647" s="13"/>
    </row>
    <row r="1648" spans="1:23" x14ac:dyDescent="0.2">
      <c r="A1648"/>
      <c r="B1648"/>
      <c r="C1648"/>
      <c r="D1648"/>
      <c r="E1648"/>
      <c r="F1648"/>
      <c r="G1648"/>
      <c r="H1648"/>
      <c r="I1648"/>
      <c r="J1648"/>
      <c r="K1648" s="13" t="s">
        <v>145</v>
      </c>
      <c r="L1648" s="13" t="s">
        <v>469</v>
      </c>
      <c r="M1648" s="13" t="s">
        <v>426</v>
      </c>
      <c r="N1648" s="15">
        <v>15</v>
      </c>
      <c r="O1648" s="16">
        <v>0</v>
      </c>
      <c r="P1648" s="17">
        <v>0</v>
      </c>
      <c r="Q1648" s="17">
        <v>0</v>
      </c>
      <c r="R1648" s="13"/>
      <c r="S1648" s="13"/>
      <c r="T1648" s="13"/>
      <c r="U1648" s="13"/>
      <c r="V1648" s="13"/>
      <c r="W1648" s="13"/>
    </row>
    <row r="1649" spans="1:23" x14ac:dyDescent="0.2">
      <c r="A1649"/>
      <c r="B1649"/>
      <c r="C1649"/>
      <c r="D1649"/>
      <c r="E1649"/>
      <c r="F1649"/>
      <c r="G1649"/>
      <c r="H1649"/>
      <c r="I1649"/>
      <c r="J1649"/>
      <c r="K1649" s="13" t="s">
        <v>147</v>
      </c>
      <c r="L1649" s="13" t="s">
        <v>389</v>
      </c>
      <c r="M1649" s="13" t="s">
        <v>388</v>
      </c>
      <c r="N1649" s="15">
        <v>0</v>
      </c>
      <c r="O1649" s="16">
        <v>0</v>
      </c>
      <c r="P1649" s="17">
        <v>117.88379999919044</v>
      </c>
      <c r="Q1649" s="17">
        <v>0</v>
      </c>
      <c r="R1649" s="13"/>
      <c r="S1649" s="13"/>
      <c r="T1649" s="13"/>
      <c r="U1649" s="13"/>
      <c r="V1649" s="13"/>
      <c r="W1649" s="13"/>
    </row>
    <row r="1650" spans="1:23" x14ac:dyDescent="0.2">
      <c r="A1650"/>
      <c r="B1650"/>
      <c r="C1650"/>
      <c r="D1650"/>
      <c r="E1650"/>
      <c r="F1650"/>
      <c r="G1650"/>
      <c r="H1650"/>
      <c r="I1650"/>
      <c r="J1650"/>
      <c r="K1650" s="13" t="s">
        <v>147</v>
      </c>
      <c r="L1650" s="13" t="s">
        <v>401</v>
      </c>
      <c r="M1650" s="13" t="s">
        <v>360</v>
      </c>
      <c r="N1650" s="15">
        <v>0</v>
      </c>
      <c r="O1650" s="16">
        <v>0</v>
      </c>
      <c r="P1650" s="17">
        <v>223.12075000036103</v>
      </c>
      <c r="Q1650" s="17">
        <v>0</v>
      </c>
      <c r="R1650" s="13"/>
      <c r="S1650" s="13"/>
      <c r="T1650" s="13"/>
      <c r="U1650" s="13"/>
      <c r="V1650" s="13"/>
      <c r="W1650" s="13"/>
    </row>
    <row r="1651" spans="1:23" x14ac:dyDescent="0.2">
      <c r="A1651"/>
      <c r="B1651"/>
      <c r="C1651"/>
      <c r="D1651"/>
      <c r="E1651"/>
      <c r="F1651"/>
      <c r="G1651"/>
      <c r="H1651"/>
      <c r="I1651"/>
      <c r="J1651"/>
      <c r="K1651" s="13" t="s">
        <v>147</v>
      </c>
      <c r="L1651" s="13" t="s">
        <v>402</v>
      </c>
      <c r="M1651" s="13" t="s">
        <v>403</v>
      </c>
      <c r="N1651" s="15">
        <v>0</v>
      </c>
      <c r="O1651" s="16">
        <v>0</v>
      </c>
      <c r="P1651" s="17">
        <v>1225.2970500131646</v>
      </c>
      <c r="Q1651" s="17">
        <v>0</v>
      </c>
      <c r="R1651" s="13"/>
      <c r="S1651" s="13"/>
      <c r="T1651" s="13"/>
      <c r="U1651" s="13"/>
      <c r="V1651" s="13"/>
      <c r="W1651" s="13"/>
    </row>
    <row r="1652" spans="1:23" x14ac:dyDescent="0.2">
      <c r="A1652"/>
      <c r="B1652"/>
      <c r="C1652"/>
      <c r="D1652"/>
      <c r="E1652"/>
      <c r="F1652"/>
      <c r="G1652"/>
      <c r="H1652"/>
      <c r="I1652"/>
      <c r="J1652"/>
      <c r="K1652" s="13" t="s">
        <v>147</v>
      </c>
      <c r="L1652" s="13" t="s">
        <v>525</v>
      </c>
      <c r="M1652" s="13" t="s">
        <v>526</v>
      </c>
      <c r="N1652" s="15">
        <v>0</v>
      </c>
      <c r="O1652" s="16">
        <v>0</v>
      </c>
      <c r="P1652" s="17">
        <v>4712.8578999294295</v>
      </c>
      <c r="Q1652" s="17">
        <v>0</v>
      </c>
      <c r="R1652" s="13"/>
      <c r="S1652" s="13"/>
      <c r="T1652" s="13"/>
      <c r="U1652" s="13"/>
      <c r="V1652" s="13"/>
      <c r="W1652" s="13"/>
    </row>
    <row r="1653" spans="1:23" x14ac:dyDescent="0.2">
      <c r="A1653"/>
      <c r="B1653"/>
      <c r="C1653"/>
      <c r="D1653"/>
      <c r="E1653"/>
      <c r="F1653"/>
      <c r="G1653"/>
      <c r="H1653"/>
      <c r="I1653"/>
      <c r="J1653"/>
      <c r="K1653" s="13" t="s">
        <v>147</v>
      </c>
      <c r="L1653" s="13" t="s">
        <v>381</v>
      </c>
      <c r="M1653" s="13" t="s">
        <v>382</v>
      </c>
      <c r="N1653" s="15">
        <v>2</v>
      </c>
      <c r="O1653" s="16">
        <v>0</v>
      </c>
      <c r="P1653" s="17">
        <v>0</v>
      </c>
      <c r="Q1653" s="17">
        <v>0</v>
      </c>
      <c r="R1653" s="13"/>
      <c r="S1653" s="13"/>
      <c r="T1653" s="13"/>
      <c r="U1653" s="13"/>
      <c r="V1653" s="13"/>
      <c r="W1653" s="13"/>
    </row>
    <row r="1654" spans="1:23" x14ac:dyDescent="0.2">
      <c r="A1654"/>
      <c r="B1654"/>
      <c r="C1654"/>
      <c r="D1654"/>
      <c r="E1654"/>
      <c r="F1654"/>
      <c r="G1654"/>
      <c r="H1654"/>
      <c r="I1654"/>
      <c r="J1654"/>
      <c r="K1654" s="13" t="s">
        <v>147</v>
      </c>
      <c r="L1654" s="13" t="s">
        <v>475</v>
      </c>
      <c r="M1654" s="13" t="s">
        <v>470</v>
      </c>
      <c r="N1654" s="15">
        <v>2</v>
      </c>
      <c r="O1654" s="16">
        <v>0</v>
      </c>
      <c r="P1654" s="17">
        <v>0</v>
      </c>
      <c r="Q1654" s="17">
        <v>0</v>
      </c>
      <c r="R1654" s="13"/>
      <c r="S1654" s="13"/>
      <c r="T1654" s="13"/>
      <c r="U1654" s="13"/>
      <c r="V1654" s="13"/>
      <c r="W1654" s="13"/>
    </row>
    <row r="1655" spans="1:23" x14ac:dyDescent="0.2">
      <c r="A1655"/>
      <c r="B1655"/>
      <c r="C1655"/>
      <c r="D1655"/>
      <c r="E1655"/>
      <c r="F1655"/>
      <c r="G1655"/>
      <c r="H1655"/>
      <c r="I1655"/>
      <c r="J1655"/>
      <c r="K1655" s="13" t="s">
        <v>147</v>
      </c>
      <c r="L1655" s="13" t="s">
        <v>606</v>
      </c>
      <c r="M1655" s="13" t="s">
        <v>430</v>
      </c>
      <c r="N1655" s="15">
        <v>4</v>
      </c>
      <c r="O1655" s="16">
        <v>0</v>
      </c>
      <c r="P1655" s="17">
        <v>0</v>
      </c>
      <c r="Q1655" s="17">
        <v>0</v>
      </c>
      <c r="R1655" s="13"/>
      <c r="S1655" s="13"/>
      <c r="T1655" s="13"/>
      <c r="U1655" s="13"/>
      <c r="V1655" s="13"/>
      <c r="W1655" s="13"/>
    </row>
    <row r="1656" spans="1:23" x14ac:dyDescent="0.2">
      <c r="A1656"/>
      <c r="B1656"/>
      <c r="C1656"/>
      <c r="D1656"/>
      <c r="E1656"/>
      <c r="F1656"/>
      <c r="G1656"/>
      <c r="H1656"/>
      <c r="I1656"/>
      <c r="J1656"/>
      <c r="K1656" s="13" t="s">
        <v>147</v>
      </c>
      <c r="L1656" s="13" t="s">
        <v>528</v>
      </c>
      <c r="M1656" s="13" t="s">
        <v>384</v>
      </c>
      <c r="N1656" s="15">
        <v>0</v>
      </c>
      <c r="O1656" s="16">
        <v>265.70514351394195</v>
      </c>
      <c r="P1656" s="17">
        <v>0</v>
      </c>
      <c r="Q1656" s="17">
        <v>0</v>
      </c>
      <c r="R1656" s="13"/>
      <c r="S1656" s="13"/>
      <c r="T1656" s="13"/>
      <c r="U1656" s="13"/>
      <c r="V1656" s="13"/>
      <c r="W1656" s="13"/>
    </row>
    <row r="1657" spans="1:23" x14ac:dyDescent="0.2">
      <c r="A1657"/>
      <c r="B1657"/>
      <c r="C1657"/>
      <c r="D1657"/>
      <c r="E1657"/>
      <c r="F1657"/>
      <c r="G1657"/>
      <c r="H1657"/>
      <c r="I1657"/>
      <c r="J1657"/>
      <c r="K1657" s="13" t="s">
        <v>147</v>
      </c>
      <c r="L1657" s="13" t="s">
        <v>469</v>
      </c>
      <c r="M1657" s="13" t="s">
        <v>426</v>
      </c>
      <c r="N1657" s="15">
        <v>4</v>
      </c>
      <c r="O1657" s="16">
        <v>0</v>
      </c>
      <c r="P1657" s="17">
        <v>0</v>
      </c>
      <c r="Q1657" s="17">
        <v>0</v>
      </c>
      <c r="R1657" s="13"/>
      <c r="S1657" s="13"/>
      <c r="T1657" s="13"/>
      <c r="U1657" s="13"/>
      <c r="V1657" s="13"/>
      <c r="W1657" s="13"/>
    </row>
    <row r="1658" spans="1:23" x14ac:dyDescent="0.2">
      <c r="A1658"/>
      <c r="B1658"/>
      <c r="C1658"/>
      <c r="D1658"/>
      <c r="E1658"/>
      <c r="F1658"/>
      <c r="G1658"/>
      <c r="H1658"/>
      <c r="I1658"/>
      <c r="J1658"/>
      <c r="K1658" s="13" t="s">
        <v>149</v>
      </c>
      <c r="L1658" s="13" t="s">
        <v>389</v>
      </c>
      <c r="M1658" s="13" t="s">
        <v>388</v>
      </c>
      <c r="N1658" s="15">
        <v>0</v>
      </c>
      <c r="O1658" s="16">
        <v>0</v>
      </c>
      <c r="P1658" s="17">
        <v>62.509149992882527</v>
      </c>
      <c r="Q1658" s="17">
        <v>0</v>
      </c>
      <c r="R1658" s="13"/>
      <c r="S1658" s="13"/>
      <c r="T1658" s="13"/>
      <c r="U1658" s="13"/>
      <c r="V1658" s="13"/>
      <c r="W1658" s="13"/>
    </row>
    <row r="1659" spans="1:23" x14ac:dyDescent="0.2">
      <c r="A1659"/>
      <c r="B1659"/>
      <c r="C1659"/>
      <c r="D1659"/>
      <c r="E1659"/>
      <c r="F1659"/>
      <c r="G1659"/>
      <c r="H1659"/>
      <c r="I1659"/>
      <c r="J1659"/>
      <c r="K1659" s="13" t="s">
        <v>149</v>
      </c>
      <c r="L1659" s="13" t="s">
        <v>477</v>
      </c>
      <c r="M1659" s="13" t="s">
        <v>510</v>
      </c>
      <c r="N1659" s="15">
        <v>0</v>
      </c>
      <c r="O1659" s="16">
        <v>0</v>
      </c>
      <c r="P1659" s="17">
        <v>71.309700002631004</v>
      </c>
      <c r="Q1659" s="17">
        <v>0</v>
      </c>
      <c r="R1659" s="13"/>
      <c r="S1659" s="13"/>
      <c r="T1659" s="13"/>
      <c r="U1659" s="13"/>
      <c r="V1659" s="13"/>
      <c r="W1659" s="13"/>
    </row>
    <row r="1660" spans="1:23" x14ac:dyDescent="0.2">
      <c r="A1660"/>
      <c r="B1660"/>
      <c r="C1660"/>
      <c r="D1660"/>
      <c r="E1660"/>
      <c r="F1660"/>
      <c r="G1660"/>
      <c r="H1660"/>
      <c r="I1660"/>
      <c r="J1660"/>
      <c r="K1660" s="13" t="s">
        <v>149</v>
      </c>
      <c r="L1660" s="13" t="s">
        <v>621</v>
      </c>
      <c r="M1660" s="13" t="s">
        <v>520</v>
      </c>
      <c r="N1660" s="15">
        <v>0</v>
      </c>
      <c r="O1660" s="16">
        <v>0</v>
      </c>
      <c r="P1660" s="17">
        <v>828.92060001017558</v>
      </c>
      <c r="Q1660" s="17">
        <v>0</v>
      </c>
      <c r="R1660" s="13"/>
      <c r="S1660" s="13"/>
      <c r="T1660" s="13"/>
      <c r="U1660" s="13"/>
      <c r="V1660" s="13"/>
      <c r="W1660" s="13"/>
    </row>
    <row r="1661" spans="1:23" x14ac:dyDescent="0.2">
      <c r="A1661"/>
      <c r="B1661"/>
      <c r="C1661"/>
      <c r="D1661"/>
      <c r="E1661"/>
      <c r="F1661"/>
      <c r="G1661"/>
      <c r="H1661"/>
      <c r="I1661"/>
      <c r="J1661"/>
      <c r="K1661" s="13" t="s">
        <v>149</v>
      </c>
      <c r="L1661" s="13" t="s">
        <v>532</v>
      </c>
      <c r="M1661" s="13" t="s">
        <v>620</v>
      </c>
      <c r="N1661" s="15">
        <v>0</v>
      </c>
      <c r="O1661" s="16">
        <v>0</v>
      </c>
      <c r="P1661" s="17">
        <v>30.920850000238485</v>
      </c>
      <c r="Q1661" s="17">
        <v>0</v>
      </c>
      <c r="R1661" s="13"/>
      <c r="S1661" s="13"/>
      <c r="T1661" s="13"/>
      <c r="U1661" s="13"/>
      <c r="V1661" s="13"/>
      <c r="W1661" s="13"/>
    </row>
    <row r="1662" spans="1:23" x14ac:dyDescent="0.2">
      <c r="A1662"/>
      <c r="B1662"/>
      <c r="C1662"/>
      <c r="D1662"/>
      <c r="E1662"/>
      <c r="F1662"/>
      <c r="G1662"/>
      <c r="H1662"/>
      <c r="I1662"/>
      <c r="J1662"/>
      <c r="K1662" s="13" t="s">
        <v>149</v>
      </c>
      <c r="L1662" s="13" t="s">
        <v>401</v>
      </c>
      <c r="M1662" s="13" t="s">
        <v>360</v>
      </c>
      <c r="N1662" s="15">
        <v>0</v>
      </c>
      <c r="O1662" s="16">
        <v>0</v>
      </c>
      <c r="P1662" s="17">
        <v>1858.6750999290682</v>
      </c>
      <c r="Q1662" s="17">
        <v>0</v>
      </c>
      <c r="R1662" s="13"/>
      <c r="S1662" s="13"/>
      <c r="T1662" s="13"/>
      <c r="U1662" s="13"/>
      <c r="V1662" s="13"/>
      <c r="W1662" s="13"/>
    </row>
    <row r="1663" spans="1:23" x14ac:dyDescent="0.2">
      <c r="A1663"/>
      <c r="B1663"/>
      <c r="C1663"/>
      <c r="D1663"/>
      <c r="E1663"/>
      <c r="F1663"/>
      <c r="G1663"/>
      <c r="H1663"/>
      <c r="I1663"/>
      <c r="J1663"/>
      <c r="K1663" s="13" t="s">
        <v>149</v>
      </c>
      <c r="L1663" s="13" t="s">
        <v>402</v>
      </c>
      <c r="M1663" s="13" t="s">
        <v>403</v>
      </c>
      <c r="N1663" s="15">
        <v>0</v>
      </c>
      <c r="O1663" s="16">
        <v>0</v>
      </c>
      <c r="P1663" s="17">
        <v>2573.2851498876703</v>
      </c>
      <c r="Q1663" s="17">
        <v>0</v>
      </c>
      <c r="R1663" s="13"/>
      <c r="S1663" s="13"/>
      <c r="T1663" s="13"/>
      <c r="U1663" s="13"/>
      <c r="V1663" s="13"/>
      <c r="W1663" s="13"/>
    </row>
    <row r="1664" spans="1:23" x14ac:dyDescent="0.2">
      <c r="A1664"/>
      <c r="B1664"/>
      <c r="C1664"/>
      <c r="D1664"/>
      <c r="E1664"/>
      <c r="F1664"/>
      <c r="G1664"/>
      <c r="H1664"/>
      <c r="I1664"/>
      <c r="J1664"/>
      <c r="K1664" s="13" t="s">
        <v>149</v>
      </c>
      <c r="L1664" s="13" t="s">
        <v>521</v>
      </c>
      <c r="M1664" s="13" t="s">
        <v>522</v>
      </c>
      <c r="N1664" s="15">
        <v>0</v>
      </c>
      <c r="O1664" s="16">
        <v>0</v>
      </c>
      <c r="P1664" s="17">
        <v>22236.606149786825</v>
      </c>
      <c r="Q1664" s="17">
        <v>0</v>
      </c>
      <c r="R1664" s="13"/>
      <c r="S1664" s="13"/>
      <c r="T1664" s="13"/>
      <c r="U1664" s="13"/>
      <c r="V1664" s="13"/>
      <c r="W1664" s="13"/>
    </row>
    <row r="1665" spans="1:23" x14ac:dyDescent="0.2">
      <c r="A1665"/>
      <c r="B1665"/>
      <c r="C1665"/>
      <c r="D1665"/>
      <c r="E1665"/>
      <c r="F1665"/>
      <c r="G1665"/>
      <c r="H1665"/>
      <c r="I1665"/>
      <c r="J1665"/>
      <c r="K1665" s="13" t="s">
        <v>149</v>
      </c>
      <c r="L1665" s="13" t="s">
        <v>411</v>
      </c>
      <c r="M1665" s="13" t="s">
        <v>362</v>
      </c>
      <c r="N1665" s="15">
        <v>0</v>
      </c>
      <c r="O1665" s="16">
        <v>2.7434649620746066</v>
      </c>
      <c r="P1665" s="17">
        <v>0</v>
      </c>
      <c r="Q1665" s="17">
        <v>0</v>
      </c>
      <c r="R1665" s="13"/>
      <c r="S1665" s="13"/>
      <c r="T1665" s="13"/>
      <c r="U1665" s="13"/>
      <c r="V1665" s="13"/>
      <c r="W1665" s="13"/>
    </row>
    <row r="1666" spans="1:23" x14ac:dyDescent="0.2">
      <c r="A1666"/>
      <c r="B1666"/>
      <c r="C1666"/>
      <c r="D1666"/>
      <c r="E1666"/>
      <c r="F1666"/>
      <c r="G1666"/>
      <c r="H1666"/>
      <c r="I1666"/>
      <c r="J1666"/>
      <c r="K1666" s="13" t="s">
        <v>149</v>
      </c>
      <c r="L1666" s="13" t="s">
        <v>614</v>
      </c>
      <c r="M1666" s="13" t="s">
        <v>447</v>
      </c>
      <c r="N1666" s="15">
        <v>2</v>
      </c>
      <c r="O1666" s="16">
        <v>0</v>
      </c>
      <c r="P1666" s="17">
        <v>0</v>
      </c>
      <c r="Q1666" s="17">
        <v>0</v>
      </c>
      <c r="R1666" s="13"/>
      <c r="S1666" s="13"/>
      <c r="T1666" s="13"/>
      <c r="U1666" s="13"/>
      <c r="V1666" s="13"/>
      <c r="W1666" s="13"/>
    </row>
    <row r="1667" spans="1:23" x14ac:dyDescent="0.2">
      <c r="A1667"/>
      <c r="B1667"/>
      <c r="C1667"/>
      <c r="D1667"/>
      <c r="E1667"/>
      <c r="F1667"/>
      <c r="G1667"/>
      <c r="H1667"/>
      <c r="I1667"/>
      <c r="J1667"/>
      <c r="K1667" s="13" t="s">
        <v>149</v>
      </c>
      <c r="L1667" s="13" t="s">
        <v>469</v>
      </c>
      <c r="M1667" s="13" t="s">
        <v>426</v>
      </c>
      <c r="N1667" s="15">
        <v>11</v>
      </c>
      <c r="O1667" s="16">
        <v>0</v>
      </c>
      <c r="P1667" s="17">
        <v>0</v>
      </c>
      <c r="Q1667" s="17">
        <v>0</v>
      </c>
      <c r="R1667" s="13"/>
      <c r="S1667" s="13"/>
      <c r="T1667" s="13"/>
      <c r="U1667" s="13"/>
      <c r="V1667" s="13"/>
      <c r="W1667" s="13"/>
    </row>
    <row r="1668" spans="1:23" x14ac:dyDescent="0.2">
      <c r="A1668"/>
      <c r="B1668"/>
      <c r="C1668"/>
      <c r="D1668"/>
      <c r="E1668"/>
      <c r="F1668"/>
      <c r="G1668"/>
      <c r="H1668"/>
      <c r="I1668"/>
      <c r="J1668"/>
      <c r="K1668" s="13" t="s">
        <v>151</v>
      </c>
      <c r="L1668" s="13" t="s">
        <v>435</v>
      </c>
      <c r="M1668" s="13" t="s">
        <v>364</v>
      </c>
      <c r="N1668" s="15">
        <v>0</v>
      </c>
      <c r="O1668" s="16">
        <v>0</v>
      </c>
      <c r="P1668" s="17">
        <v>60.821095433859277</v>
      </c>
      <c r="Q1668" s="17">
        <v>0</v>
      </c>
      <c r="R1668" s="13"/>
      <c r="S1668" s="13"/>
      <c r="T1668" s="13"/>
      <c r="U1668" s="13"/>
      <c r="V1668" s="13"/>
      <c r="W1668" s="13"/>
    </row>
    <row r="1669" spans="1:23" x14ac:dyDescent="0.2">
      <c r="A1669"/>
      <c r="B1669"/>
      <c r="C1669"/>
      <c r="D1669"/>
      <c r="E1669"/>
      <c r="F1669"/>
      <c r="G1669"/>
      <c r="H1669"/>
      <c r="I1669"/>
      <c r="J1669"/>
      <c r="K1669" s="13" t="s">
        <v>151</v>
      </c>
      <c r="L1669" s="13" t="s">
        <v>387</v>
      </c>
      <c r="M1669" s="13" t="s">
        <v>386</v>
      </c>
      <c r="N1669" s="15">
        <v>0</v>
      </c>
      <c r="O1669" s="16">
        <v>0</v>
      </c>
      <c r="P1669" s="17">
        <v>14.28549999572849</v>
      </c>
      <c r="Q1669" s="17">
        <v>0</v>
      </c>
      <c r="R1669" s="13"/>
      <c r="S1669" s="13"/>
      <c r="T1669" s="13"/>
      <c r="U1669" s="13"/>
      <c r="V1669" s="13"/>
      <c r="W1669" s="13"/>
    </row>
    <row r="1670" spans="1:23" x14ac:dyDescent="0.2">
      <c r="A1670"/>
      <c r="B1670"/>
      <c r="C1670"/>
      <c r="D1670"/>
      <c r="E1670"/>
      <c r="F1670"/>
      <c r="G1670"/>
      <c r="H1670"/>
      <c r="I1670"/>
      <c r="J1670"/>
      <c r="K1670" s="13" t="s">
        <v>151</v>
      </c>
      <c r="L1670" s="13" t="s">
        <v>389</v>
      </c>
      <c r="M1670" s="13" t="s">
        <v>388</v>
      </c>
      <c r="N1670" s="15">
        <v>0</v>
      </c>
      <c r="O1670" s="16">
        <v>0</v>
      </c>
      <c r="P1670" s="17">
        <v>54.649256081903118</v>
      </c>
      <c r="Q1670" s="17">
        <v>0</v>
      </c>
      <c r="R1670" s="13"/>
      <c r="S1670" s="13"/>
      <c r="T1670" s="13"/>
      <c r="U1670" s="13"/>
      <c r="V1670" s="13"/>
      <c r="W1670" s="13"/>
    </row>
    <row r="1671" spans="1:23" x14ac:dyDescent="0.2">
      <c r="A1671"/>
      <c r="B1671"/>
      <c r="C1671"/>
      <c r="D1671"/>
      <c r="E1671"/>
      <c r="F1671"/>
      <c r="G1671"/>
      <c r="H1671"/>
      <c r="I1671"/>
      <c r="J1671"/>
      <c r="K1671" s="13" t="s">
        <v>151</v>
      </c>
      <c r="L1671" s="13" t="s">
        <v>391</v>
      </c>
      <c r="M1671" s="13" t="s">
        <v>358</v>
      </c>
      <c r="N1671" s="15">
        <v>0</v>
      </c>
      <c r="O1671" s="16">
        <v>0</v>
      </c>
      <c r="P1671" s="17">
        <v>72.251352642303544</v>
      </c>
      <c r="Q1671" s="17">
        <v>0</v>
      </c>
      <c r="R1671" s="13"/>
      <c r="S1671" s="13"/>
      <c r="T1671" s="13"/>
      <c r="U1671" s="13"/>
      <c r="V1671" s="13"/>
      <c r="W1671" s="13"/>
    </row>
    <row r="1672" spans="1:23" x14ac:dyDescent="0.2">
      <c r="A1672"/>
      <c r="B1672"/>
      <c r="C1672"/>
      <c r="D1672"/>
      <c r="E1672"/>
      <c r="F1672"/>
      <c r="G1672"/>
      <c r="H1672"/>
      <c r="I1672"/>
      <c r="J1672"/>
      <c r="K1672" s="13" t="s">
        <v>151</v>
      </c>
      <c r="L1672" s="13" t="s">
        <v>515</v>
      </c>
      <c r="M1672" s="13" t="s">
        <v>527</v>
      </c>
      <c r="N1672" s="15">
        <v>0</v>
      </c>
      <c r="O1672" s="16">
        <v>0</v>
      </c>
      <c r="P1672" s="17">
        <v>518.82884996775192</v>
      </c>
      <c r="Q1672" s="17">
        <v>0</v>
      </c>
      <c r="R1672" s="13"/>
      <c r="S1672" s="13"/>
      <c r="T1672" s="13"/>
      <c r="U1672" s="13"/>
      <c r="V1672" s="13"/>
      <c r="W1672" s="13"/>
    </row>
    <row r="1673" spans="1:23" x14ac:dyDescent="0.2">
      <c r="A1673"/>
      <c r="B1673"/>
      <c r="C1673"/>
      <c r="D1673"/>
      <c r="E1673"/>
      <c r="F1673"/>
      <c r="G1673"/>
      <c r="H1673"/>
      <c r="I1673"/>
      <c r="J1673"/>
      <c r="K1673" s="13" t="s">
        <v>151</v>
      </c>
      <c r="L1673" s="13" t="s">
        <v>519</v>
      </c>
      <c r="M1673" s="13" t="s">
        <v>478</v>
      </c>
      <c r="N1673" s="15">
        <v>0</v>
      </c>
      <c r="O1673" s="16">
        <v>0</v>
      </c>
      <c r="P1673" s="17">
        <v>2671.8024307019987</v>
      </c>
      <c r="Q1673" s="17">
        <v>0</v>
      </c>
      <c r="R1673" s="13"/>
      <c r="S1673" s="13"/>
      <c r="T1673" s="13"/>
      <c r="U1673" s="13"/>
      <c r="V1673" s="13"/>
      <c r="W1673" s="13"/>
    </row>
    <row r="1674" spans="1:23" x14ac:dyDescent="0.2">
      <c r="A1674"/>
      <c r="B1674"/>
      <c r="C1674"/>
      <c r="D1674"/>
      <c r="E1674"/>
      <c r="F1674"/>
      <c r="G1674"/>
      <c r="H1674"/>
      <c r="I1674"/>
      <c r="J1674"/>
      <c r="K1674" s="13" t="s">
        <v>151</v>
      </c>
      <c r="L1674" s="13" t="s">
        <v>621</v>
      </c>
      <c r="M1674" s="13" t="s">
        <v>520</v>
      </c>
      <c r="N1674" s="15">
        <v>0</v>
      </c>
      <c r="O1674" s="16">
        <v>0</v>
      </c>
      <c r="P1674" s="17">
        <v>11.824399999865008</v>
      </c>
      <c r="Q1674" s="17">
        <v>0</v>
      </c>
      <c r="R1674" s="13"/>
      <c r="S1674" s="13"/>
      <c r="T1674" s="13"/>
      <c r="U1674" s="13"/>
      <c r="V1674" s="13"/>
      <c r="W1674" s="13"/>
    </row>
    <row r="1675" spans="1:23" x14ac:dyDescent="0.2">
      <c r="A1675"/>
      <c r="B1675"/>
      <c r="C1675"/>
      <c r="D1675"/>
      <c r="E1675"/>
      <c r="F1675"/>
      <c r="G1675"/>
      <c r="H1675"/>
      <c r="I1675"/>
      <c r="J1675"/>
      <c r="K1675" s="13" t="s">
        <v>151</v>
      </c>
      <c r="L1675" s="13" t="s">
        <v>512</v>
      </c>
      <c r="M1675" s="13" t="s">
        <v>466</v>
      </c>
      <c r="N1675" s="15">
        <v>0</v>
      </c>
      <c r="O1675" s="16">
        <v>0</v>
      </c>
      <c r="P1675" s="17">
        <v>90.080199999177907</v>
      </c>
      <c r="Q1675" s="17">
        <v>0</v>
      </c>
      <c r="R1675" s="13"/>
      <c r="S1675" s="13"/>
      <c r="T1675" s="13"/>
      <c r="U1675" s="13"/>
      <c r="V1675" s="13"/>
      <c r="W1675" s="13"/>
    </row>
    <row r="1676" spans="1:23" x14ac:dyDescent="0.2">
      <c r="A1676"/>
      <c r="B1676"/>
      <c r="C1676"/>
      <c r="D1676"/>
      <c r="E1676"/>
      <c r="F1676"/>
      <c r="G1676"/>
      <c r="H1676"/>
      <c r="I1676"/>
      <c r="J1676"/>
      <c r="K1676" s="13" t="s">
        <v>151</v>
      </c>
      <c r="L1676" s="13" t="s">
        <v>532</v>
      </c>
      <c r="M1676" s="13" t="s">
        <v>620</v>
      </c>
      <c r="N1676" s="15">
        <v>0</v>
      </c>
      <c r="O1676" s="16">
        <v>0</v>
      </c>
      <c r="P1676" s="17">
        <v>44.589000005145436</v>
      </c>
      <c r="Q1676" s="17">
        <v>0</v>
      </c>
      <c r="R1676" s="13"/>
      <c r="S1676" s="13"/>
      <c r="T1676" s="13"/>
      <c r="U1676" s="13"/>
      <c r="V1676" s="13"/>
      <c r="W1676" s="13"/>
    </row>
    <row r="1677" spans="1:23" x14ac:dyDescent="0.2">
      <c r="A1677"/>
      <c r="B1677"/>
      <c r="C1677"/>
      <c r="D1677"/>
      <c r="E1677"/>
      <c r="F1677"/>
      <c r="G1677"/>
      <c r="H1677"/>
      <c r="I1677"/>
      <c r="J1677"/>
      <c r="K1677" s="13" t="s">
        <v>151</v>
      </c>
      <c r="L1677" s="13" t="s">
        <v>401</v>
      </c>
      <c r="M1677" s="13" t="s">
        <v>360</v>
      </c>
      <c r="N1677" s="15">
        <v>0</v>
      </c>
      <c r="O1677" s="16">
        <v>0</v>
      </c>
      <c r="P1677" s="17">
        <v>783.03399711138877</v>
      </c>
      <c r="Q1677" s="17">
        <v>0</v>
      </c>
      <c r="R1677" s="13"/>
      <c r="S1677" s="13"/>
      <c r="T1677" s="13"/>
      <c r="U1677" s="13"/>
      <c r="V1677" s="13"/>
      <c r="W1677" s="13"/>
    </row>
    <row r="1678" spans="1:23" x14ac:dyDescent="0.2">
      <c r="A1678"/>
      <c r="B1678"/>
      <c r="C1678"/>
      <c r="D1678"/>
      <c r="E1678"/>
      <c r="F1678"/>
      <c r="G1678"/>
      <c r="H1678"/>
      <c r="I1678"/>
      <c r="J1678"/>
      <c r="K1678" s="13" t="s">
        <v>151</v>
      </c>
      <c r="L1678" s="13" t="s">
        <v>511</v>
      </c>
      <c r="M1678" s="13" t="s">
        <v>377</v>
      </c>
      <c r="N1678" s="15">
        <v>0</v>
      </c>
      <c r="O1678" s="16">
        <v>0</v>
      </c>
      <c r="P1678" s="17">
        <v>21.136600003543169</v>
      </c>
      <c r="Q1678" s="17">
        <v>0</v>
      </c>
      <c r="R1678" s="13"/>
      <c r="S1678" s="13"/>
      <c r="T1678" s="13"/>
      <c r="U1678" s="13"/>
      <c r="V1678" s="13"/>
      <c r="W1678" s="13"/>
    </row>
    <row r="1679" spans="1:23" x14ac:dyDescent="0.2">
      <c r="A1679"/>
      <c r="B1679"/>
      <c r="C1679"/>
      <c r="D1679"/>
      <c r="E1679"/>
      <c r="F1679"/>
      <c r="G1679"/>
      <c r="H1679"/>
      <c r="I1679"/>
      <c r="J1679"/>
      <c r="K1679" s="13" t="s">
        <v>151</v>
      </c>
      <c r="L1679" s="13" t="s">
        <v>402</v>
      </c>
      <c r="M1679" s="13" t="s">
        <v>403</v>
      </c>
      <c r="N1679" s="15">
        <v>0</v>
      </c>
      <c r="O1679" s="16">
        <v>0</v>
      </c>
      <c r="P1679" s="17">
        <v>1843.3324134129723</v>
      </c>
      <c r="Q1679" s="17">
        <v>0</v>
      </c>
      <c r="R1679" s="13"/>
      <c r="S1679" s="13"/>
      <c r="T1679" s="13"/>
      <c r="U1679" s="13"/>
      <c r="V1679" s="13"/>
      <c r="W1679" s="13"/>
    </row>
    <row r="1680" spans="1:23" x14ac:dyDescent="0.2">
      <c r="A1680"/>
      <c r="B1680"/>
      <c r="C1680"/>
      <c r="D1680"/>
      <c r="E1680"/>
      <c r="F1680"/>
      <c r="G1680"/>
      <c r="H1680"/>
      <c r="I1680"/>
      <c r="J1680"/>
      <c r="K1680" s="13" t="s">
        <v>151</v>
      </c>
      <c r="L1680" s="13" t="s">
        <v>521</v>
      </c>
      <c r="M1680" s="13" t="s">
        <v>522</v>
      </c>
      <c r="N1680" s="15">
        <v>0</v>
      </c>
      <c r="O1680" s="16">
        <v>0</v>
      </c>
      <c r="P1680" s="17">
        <v>21345.136995874083</v>
      </c>
      <c r="Q1680" s="17">
        <v>0</v>
      </c>
      <c r="R1680" s="13"/>
      <c r="S1680" s="13"/>
      <c r="T1680" s="13"/>
      <c r="U1680" s="13"/>
      <c r="V1680" s="13"/>
      <c r="W1680" s="13"/>
    </row>
    <row r="1681" spans="1:23" x14ac:dyDescent="0.2">
      <c r="A1681"/>
      <c r="B1681"/>
      <c r="C1681"/>
      <c r="D1681"/>
      <c r="E1681"/>
      <c r="F1681"/>
      <c r="G1681"/>
      <c r="H1681"/>
      <c r="I1681"/>
      <c r="J1681"/>
      <c r="K1681" s="13" t="s">
        <v>151</v>
      </c>
      <c r="L1681" s="13" t="s">
        <v>448</v>
      </c>
      <c r="M1681" s="13" t="s">
        <v>366</v>
      </c>
      <c r="N1681" s="15">
        <v>0</v>
      </c>
      <c r="O1681" s="16">
        <v>0</v>
      </c>
      <c r="P1681" s="17">
        <v>93.543049995910778</v>
      </c>
      <c r="Q1681" s="17">
        <v>0</v>
      </c>
      <c r="R1681" s="13"/>
      <c r="S1681" s="13"/>
      <c r="T1681" s="13"/>
      <c r="U1681" s="13"/>
      <c r="V1681" s="13"/>
      <c r="W1681" s="13"/>
    </row>
    <row r="1682" spans="1:23" x14ac:dyDescent="0.2">
      <c r="A1682"/>
      <c r="B1682"/>
      <c r="C1682"/>
      <c r="D1682"/>
      <c r="E1682"/>
      <c r="F1682"/>
      <c r="G1682"/>
      <c r="H1682"/>
      <c r="I1682"/>
      <c r="J1682"/>
      <c r="K1682" s="13" t="s">
        <v>151</v>
      </c>
      <c r="L1682" s="13" t="s">
        <v>456</v>
      </c>
      <c r="M1682" s="13" t="s">
        <v>457</v>
      </c>
      <c r="N1682" s="15">
        <v>0</v>
      </c>
      <c r="O1682" s="16">
        <v>0</v>
      </c>
      <c r="P1682" s="17">
        <v>428.17260000416087</v>
      </c>
      <c r="Q1682" s="17">
        <v>0</v>
      </c>
      <c r="R1682" s="13"/>
      <c r="S1682" s="13"/>
      <c r="T1682" s="13"/>
      <c r="U1682" s="13"/>
      <c r="V1682" s="13"/>
      <c r="W1682" s="13"/>
    </row>
    <row r="1683" spans="1:23" x14ac:dyDescent="0.2">
      <c r="A1683"/>
      <c r="B1683"/>
      <c r="C1683"/>
      <c r="D1683"/>
      <c r="E1683"/>
      <c r="F1683"/>
      <c r="G1683"/>
      <c r="H1683"/>
      <c r="I1683"/>
      <c r="J1683"/>
      <c r="K1683" s="13" t="s">
        <v>151</v>
      </c>
      <c r="L1683" s="13" t="s">
        <v>381</v>
      </c>
      <c r="M1683" s="13" t="s">
        <v>382</v>
      </c>
      <c r="N1683" s="15">
        <v>4</v>
      </c>
      <c r="O1683" s="16">
        <v>0</v>
      </c>
      <c r="P1683" s="17">
        <v>0</v>
      </c>
      <c r="Q1683" s="17">
        <v>0</v>
      </c>
      <c r="R1683" s="13"/>
      <c r="S1683" s="13"/>
      <c r="T1683" s="13"/>
      <c r="U1683" s="13"/>
      <c r="V1683" s="13"/>
      <c r="W1683" s="13"/>
    </row>
    <row r="1684" spans="1:23" x14ac:dyDescent="0.2">
      <c r="A1684"/>
      <c r="B1684"/>
      <c r="C1684"/>
      <c r="D1684"/>
      <c r="E1684"/>
      <c r="F1684"/>
      <c r="G1684"/>
      <c r="H1684"/>
      <c r="I1684"/>
      <c r="J1684"/>
      <c r="K1684" s="13" t="s">
        <v>151</v>
      </c>
      <c r="L1684" s="13" t="s">
        <v>411</v>
      </c>
      <c r="M1684" s="13" t="s">
        <v>362</v>
      </c>
      <c r="N1684" s="15">
        <v>0</v>
      </c>
      <c r="O1684" s="16">
        <v>3.9655012273778869</v>
      </c>
      <c r="P1684" s="17">
        <v>0</v>
      </c>
      <c r="Q1684" s="17">
        <v>0</v>
      </c>
      <c r="R1684" s="13"/>
      <c r="S1684" s="13"/>
      <c r="T1684" s="13"/>
      <c r="U1684" s="13"/>
      <c r="V1684" s="13"/>
      <c r="W1684" s="13"/>
    </row>
    <row r="1685" spans="1:23" x14ac:dyDescent="0.2">
      <c r="A1685"/>
      <c r="B1685"/>
      <c r="C1685"/>
      <c r="D1685"/>
      <c r="E1685"/>
      <c r="F1685"/>
      <c r="G1685"/>
      <c r="H1685"/>
      <c r="I1685"/>
      <c r="J1685"/>
      <c r="K1685" s="13" t="s">
        <v>151</v>
      </c>
      <c r="L1685" s="13" t="s">
        <v>411</v>
      </c>
      <c r="M1685" s="13" t="s">
        <v>362</v>
      </c>
      <c r="N1685" s="15">
        <v>2</v>
      </c>
      <c r="O1685" s="16">
        <v>0</v>
      </c>
      <c r="P1685" s="17">
        <v>0</v>
      </c>
      <c r="Q1685" s="17">
        <v>0</v>
      </c>
      <c r="R1685" s="13"/>
      <c r="S1685" s="13"/>
      <c r="T1685" s="13"/>
      <c r="U1685" s="13"/>
      <c r="V1685" s="13"/>
      <c r="W1685" s="13"/>
    </row>
    <row r="1686" spans="1:23" x14ac:dyDescent="0.2">
      <c r="A1686"/>
      <c r="B1686"/>
      <c r="C1686"/>
      <c r="D1686"/>
      <c r="E1686"/>
      <c r="F1686"/>
      <c r="G1686"/>
      <c r="H1686"/>
      <c r="I1686"/>
      <c r="J1686"/>
      <c r="K1686" s="13" t="s">
        <v>151</v>
      </c>
      <c r="L1686" s="13" t="s">
        <v>383</v>
      </c>
      <c r="M1686" s="13" t="s">
        <v>420</v>
      </c>
      <c r="N1686" s="15">
        <v>1</v>
      </c>
      <c r="O1686" s="16">
        <v>0</v>
      </c>
      <c r="P1686" s="17">
        <v>0</v>
      </c>
      <c r="Q1686" s="17">
        <v>0</v>
      </c>
      <c r="R1686" s="13"/>
      <c r="S1686" s="13"/>
      <c r="T1686" s="13"/>
      <c r="U1686" s="13"/>
      <c r="V1686" s="13"/>
      <c r="W1686" s="13"/>
    </row>
    <row r="1687" spans="1:23" x14ac:dyDescent="0.2">
      <c r="A1687"/>
      <c r="B1687"/>
      <c r="C1687"/>
      <c r="D1687"/>
      <c r="E1687"/>
      <c r="F1687"/>
      <c r="G1687"/>
      <c r="H1687"/>
      <c r="I1687"/>
      <c r="J1687"/>
      <c r="K1687" s="13" t="s">
        <v>151</v>
      </c>
      <c r="L1687" s="13" t="s">
        <v>528</v>
      </c>
      <c r="M1687" s="13" t="s">
        <v>384</v>
      </c>
      <c r="N1687" s="15">
        <v>0</v>
      </c>
      <c r="O1687" s="16">
        <v>588.26950454880398</v>
      </c>
      <c r="P1687" s="17">
        <v>0</v>
      </c>
      <c r="Q1687" s="17">
        <v>0</v>
      </c>
      <c r="R1687" s="13"/>
      <c r="S1687" s="13"/>
      <c r="T1687" s="13"/>
      <c r="U1687" s="13"/>
      <c r="V1687" s="13"/>
      <c r="W1687" s="13"/>
    </row>
    <row r="1688" spans="1:23" x14ac:dyDescent="0.2">
      <c r="A1688"/>
      <c r="B1688"/>
      <c r="C1688"/>
      <c r="D1688"/>
      <c r="E1688"/>
      <c r="F1688"/>
      <c r="G1688"/>
      <c r="H1688"/>
      <c r="I1688"/>
      <c r="J1688"/>
      <c r="K1688" s="13" t="s">
        <v>151</v>
      </c>
      <c r="L1688" s="13" t="s">
        <v>469</v>
      </c>
      <c r="M1688" s="13" t="s">
        <v>426</v>
      </c>
      <c r="N1688" s="15">
        <v>7</v>
      </c>
      <c r="O1688" s="16">
        <v>0</v>
      </c>
      <c r="P1688" s="17">
        <v>0</v>
      </c>
      <c r="Q1688" s="17">
        <v>0</v>
      </c>
      <c r="R1688" s="13"/>
      <c r="S1688" s="13"/>
      <c r="T1688" s="13"/>
      <c r="U1688" s="13"/>
      <c r="V1688" s="13"/>
      <c r="W1688" s="13"/>
    </row>
    <row r="1689" spans="1:23" x14ac:dyDescent="0.2">
      <c r="A1689"/>
      <c r="B1689"/>
      <c r="C1689"/>
      <c r="D1689"/>
      <c r="E1689"/>
      <c r="F1689"/>
      <c r="G1689"/>
      <c r="H1689"/>
      <c r="I1689"/>
      <c r="J1689"/>
      <c r="K1689" s="13" t="s">
        <v>153</v>
      </c>
      <c r="L1689" s="13" t="s">
        <v>435</v>
      </c>
      <c r="M1689" s="13" t="s">
        <v>364</v>
      </c>
      <c r="N1689" s="15">
        <v>0</v>
      </c>
      <c r="O1689" s="16">
        <v>0</v>
      </c>
      <c r="P1689" s="17">
        <v>55290.265949407934</v>
      </c>
      <c r="Q1689" s="17">
        <v>0</v>
      </c>
      <c r="R1689" s="13"/>
      <c r="S1689" s="13"/>
      <c r="T1689" s="13"/>
      <c r="U1689" s="13"/>
      <c r="V1689" s="13"/>
      <c r="W1689" s="13"/>
    </row>
    <row r="1690" spans="1:23" x14ac:dyDescent="0.2">
      <c r="A1690"/>
      <c r="B1690"/>
      <c r="C1690"/>
      <c r="D1690"/>
      <c r="E1690"/>
      <c r="F1690"/>
      <c r="G1690"/>
      <c r="H1690"/>
      <c r="I1690"/>
      <c r="J1690"/>
      <c r="K1690" s="13" t="s">
        <v>153</v>
      </c>
      <c r="L1690" s="13" t="s">
        <v>387</v>
      </c>
      <c r="M1690" s="13" t="s">
        <v>386</v>
      </c>
      <c r="N1690" s="15">
        <v>0</v>
      </c>
      <c r="O1690" s="16">
        <v>0</v>
      </c>
      <c r="P1690" s="17">
        <v>1288.3374499939871</v>
      </c>
      <c r="Q1690" s="17">
        <v>0</v>
      </c>
      <c r="R1690" s="13"/>
      <c r="S1690" s="13"/>
      <c r="T1690" s="13"/>
      <c r="U1690" s="13"/>
      <c r="V1690" s="13"/>
      <c r="W1690" s="13"/>
    </row>
    <row r="1691" spans="1:23" x14ac:dyDescent="0.2">
      <c r="A1691"/>
      <c r="B1691"/>
      <c r="C1691"/>
      <c r="D1691"/>
      <c r="E1691"/>
      <c r="F1691"/>
      <c r="G1691"/>
      <c r="H1691"/>
      <c r="I1691"/>
      <c r="J1691"/>
      <c r="K1691" s="13" t="s">
        <v>153</v>
      </c>
      <c r="L1691" s="13" t="s">
        <v>389</v>
      </c>
      <c r="M1691" s="13" t="s">
        <v>388</v>
      </c>
      <c r="N1691" s="15">
        <v>0</v>
      </c>
      <c r="O1691" s="16">
        <v>0</v>
      </c>
      <c r="P1691" s="17">
        <v>67.888100011928444</v>
      </c>
      <c r="Q1691" s="17">
        <v>0</v>
      </c>
      <c r="R1691" s="13"/>
      <c r="S1691" s="13"/>
      <c r="T1691" s="13"/>
      <c r="U1691" s="13"/>
      <c r="V1691" s="13"/>
      <c r="W1691" s="13"/>
    </row>
    <row r="1692" spans="1:23" x14ac:dyDescent="0.2">
      <c r="A1692"/>
      <c r="B1692"/>
      <c r="C1692"/>
      <c r="D1692"/>
      <c r="E1692"/>
      <c r="F1692"/>
      <c r="G1692"/>
      <c r="H1692"/>
      <c r="I1692"/>
      <c r="J1692"/>
      <c r="K1692" s="13" t="s">
        <v>153</v>
      </c>
      <c r="L1692" s="13" t="s">
        <v>486</v>
      </c>
      <c r="M1692" s="13" t="s">
        <v>439</v>
      </c>
      <c r="N1692" s="15">
        <v>0</v>
      </c>
      <c r="O1692" s="16">
        <v>0</v>
      </c>
      <c r="P1692" s="17">
        <v>76.488599997671997</v>
      </c>
      <c r="Q1692" s="17">
        <v>0</v>
      </c>
      <c r="R1692" s="13"/>
      <c r="S1692" s="13"/>
      <c r="T1692" s="13"/>
      <c r="U1692" s="13"/>
      <c r="V1692" s="13"/>
      <c r="W1692" s="13"/>
    </row>
    <row r="1693" spans="1:23" x14ac:dyDescent="0.2">
      <c r="A1693"/>
      <c r="B1693"/>
      <c r="C1693"/>
      <c r="D1693"/>
      <c r="E1693"/>
      <c r="F1693"/>
      <c r="G1693"/>
      <c r="H1693"/>
      <c r="I1693"/>
      <c r="J1693"/>
      <c r="K1693" s="13" t="s">
        <v>153</v>
      </c>
      <c r="L1693" s="13" t="s">
        <v>509</v>
      </c>
      <c r="M1693" s="13" t="s">
        <v>518</v>
      </c>
      <c r="N1693" s="15">
        <v>0</v>
      </c>
      <c r="O1693" s="16">
        <v>0</v>
      </c>
      <c r="P1693" s="17">
        <v>1989.1712499837477</v>
      </c>
      <c r="Q1693" s="17">
        <v>0</v>
      </c>
      <c r="R1693" s="13"/>
      <c r="S1693" s="13"/>
      <c r="T1693" s="13"/>
      <c r="U1693" s="13"/>
      <c r="V1693" s="13"/>
      <c r="W1693" s="13"/>
    </row>
    <row r="1694" spans="1:23" x14ac:dyDescent="0.2">
      <c r="A1694"/>
      <c r="B1694"/>
      <c r="C1694"/>
      <c r="D1694"/>
      <c r="E1694"/>
      <c r="F1694"/>
      <c r="G1694"/>
      <c r="H1694"/>
      <c r="I1694"/>
      <c r="J1694"/>
      <c r="K1694" s="13" t="s">
        <v>153</v>
      </c>
      <c r="L1694" s="13" t="s">
        <v>477</v>
      </c>
      <c r="M1694" s="13" t="s">
        <v>510</v>
      </c>
      <c r="N1694" s="15">
        <v>0</v>
      </c>
      <c r="O1694" s="16">
        <v>0</v>
      </c>
      <c r="P1694" s="17">
        <v>825.51144998723248</v>
      </c>
      <c r="Q1694" s="17">
        <v>0</v>
      </c>
      <c r="R1694" s="13"/>
      <c r="S1694" s="13"/>
      <c r="T1694" s="13"/>
      <c r="U1694" s="13"/>
      <c r="V1694" s="13"/>
      <c r="W1694" s="13"/>
    </row>
    <row r="1695" spans="1:23" x14ac:dyDescent="0.2">
      <c r="A1695"/>
      <c r="B1695"/>
      <c r="C1695"/>
      <c r="D1695"/>
      <c r="E1695"/>
      <c r="F1695"/>
      <c r="G1695"/>
      <c r="H1695"/>
      <c r="I1695"/>
      <c r="J1695"/>
      <c r="K1695" s="13" t="s">
        <v>153</v>
      </c>
      <c r="L1695" s="13" t="s">
        <v>519</v>
      </c>
      <c r="M1695" s="13" t="s">
        <v>478</v>
      </c>
      <c r="N1695" s="15">
        <v>0</v>
      </c>
      <c r="O1695" s="16">
        <v>0</v>
      </c>
      <c r="P1695" s="17">
        <v>787.15919998479296</v>
      </c>
      <c r="Q1695" s="17">
        <v>0</v>
      </c>
      <c r="R1695" s="13"/>
      <c r="S1695" s="13"/>
      <c r="T1695" s="13"/>
      <c r="U1695" s="13"/>
      <c r="V1695" s="13"/>
      <c r="W1695" s="13"/>
    </row>
    <row r="1696" spans="1:23" x14ac:dyDescent="0.2">
      <c r="A1696"/>
      <c r="B1696"/>
      <c r="C1696"/>
      <c r="D1696"/>
      <c r="E1696"/>
      <c r="F1696"/>
      <c r="G1696"/>
      <c r="H1696"/>
      <c r="I1696"/>
      <c r="J1696"/>
      <c r="K1696" s="13" t="s">
        <v>153</v>
      </c>
      <c r="L1696" s="13" t="s">
        <v>621</v>
      </c>
      <c r="M1696" s="13" t="s">
        <v>520</v>
      </c>
      <c r="N1696" s="15">
        <v>0</v>
      </c>
      <c r="O1696" s="16">
        <v>0</v>
      </c>
      <c r="P1696" s="17">
        <v>448.21224996643002</v>
      </c>
      <c r="Q1696" s="17">
        <v>0</v>
      </c>
      <c r="R1696" s="13"/>
      <c r="S1696" s="13"/>
      <c r="T1696" s="13"/>
      <c r="U1696" s="13"/>
      <c r="V1696" s="13"/>
      <c r="W1696" s="13"/>
    </row>
    <row r="1697" spans="1:23" x14ac:dyDescent="0.2">
      <c r="A1697"/>
      <c r="B1697"/>
      <c r="C1697"/>
      <c r="D1697"/>
      <c r="E1697"/>
      <c r="F1697"/>
      <c r="G1697"/>
      <c r="H1697"/>
      <c r="I1697"/>
      <c r="J1697"/>
      <c r="K1697" s="13" t="s">
        <v>153</v>
      </c>
      <c r="L1697" s="13" t="s">
        <v>532</v>
      </c>
      <c r="M1697" s="13" t="s">
        <v>620</v>
      </c>
      <c r="N1697" s="15">
        <v>0</v>
      </c>
      <c r="O1697" s="16">
        <v>0</v>
      </c>
      <c r="P1697" s="17">
        <v>104.4717999989428</v>
      </c>
      <c r="Q1697" s="17">
        <v>0</v>
      </c>
      <c r="R1697" s="13"/>
      <c r="S1697" s="13"/>
      <c r="T1697" s="13"/>
      <c r="U1697" s="13"/>
      <c r="V1697" s="13"/>
      <c r="W1697" s="13"/>
    </row>
    <row r="1698" spans="1:23" x14ac:dyDescent="0.2">
      <c r="A1698"/>
      <c r="B1698"/>
      <c r="C1698"/>
      <c r="D1698"/>
      <c r="E1698"/>
      <c r="F1698"/>
      <c r="G1698"/>
      <c r="H1698"/>
      <c r="I1698"/>
      <c r="J1698"/>
      <c r="K1698" s="13" t="s">
        <v>153</v>
      </c>
      <c r="L1698" s="13" t="s">
        <v>401</v>
      </c>
      <c r="M1698" s="13" t="s">
        <v>360</v>
      </c>
      <c r="N1698" s="15">
        <v>0</v>
      </c>
      <c r="O1698" s="16">
        <v>0</v>
      </c>
      <c r="P1698" s="17">
        <v>13659.930249668152</v>
      </c>
      <c r="Q1698" s="17">
        <v>0</v>
      </c>
      <c r="R1698" s="13"/>
      <c r="S1698" s="13"/>
      <c r="T1698" s="13"/>
      <c r="U1698" s="13"/>
      <c r="V1698" s="13"/>
      <c r="W1698" s="13"/>
    </row>
    <row r="1699" spans="1:23" x14ac:dyDescent="0.2">
      <c r="A1699"/>
      <c r="B1699"/>
      <c r="C1699"/>
      <c r="D1699"/>
      <c r="E1699"/>
      <c r="F1699"/>
      <c r="G1699"/>
      <c r="H1699"/>
      <c r="I1699"/>
      <c r="J1699"/>
      <c r="K1699" s="13" t="s">
        <v>153</v>
      </c>
      <c r="L1699" s="13" t="s">
        <v>402</v>
      </c>
      <c r="M1699" s="13" t="s">
        <v>403</v>
      </c>
      <c r="N1699" s="15">
        <v>0</v>
      </c>
      <c r="O1699" s="16">
        <v>0</v>
      </c>
      <c r="P1699" s="17">
        <v>1205.8367999971779</v>
      </c>
      <c r="Q1699" s="17">
        <v>0</v>
      </c>
      <c r="R1699" s="13"/>
      <c r="S1699" s="13"/>
      <c r="T1699" s="13"/>
      <c r="U1699" s="13"/>
      <c r="V1699" s="13"/>
      <c r="W1699" s="13"/>
    </row>
    <row r="1700" spans="1:23" x14ac:dyDescent="0.2">
      <c r="A1700"/>
      <c r="B1700"/>
      <c r="C1700"/>
      <c r="D1700"/>
      <c r="E1700"/>
      <c r="F1700"/>
      <c r="G1700"/>
      <c r="H1700"/>
      <c r="I1700"/>
      <c r="J1700"/>
      <c r="K1700" s="13" t="s">
        <v>153</v>
      </c>
      <c r="L1700" s="13" t="s">
        <v>473</v>
      </c>
      <c r="M1700" s="13" t="s">
        <v>474</v>
      </c>
      <c r="N1700" s="15">
        <v>0</v>
      </c>
      <c r="O1700" s="16">
        <v>0</v>
      </c>
      <c r="P1700" s="17">
        <v>294.50885000133775</v>
      </c>
      <c r="Q1700" s="17">
        <v>0</v>
      </c>
      <c r="R1700" s="13"/>
      <c r="S1700" s="13"/>
      <c r="T1700" s="13"/>
      <c r="U1700" s="13"/>
      <c r="V1700" s="13"/>
      <c r="W1700" s="13"/>
    </row>
    <row r="1701" spans="1:23" x14ac:dyDescent="0.2">
      <c r="A1701"/>
      <c r="B1701"/>
      <c r="C1701"/>
      <c r="D1701"/>
      <c r="E1701"/>
      <c r="F1701"/>
      <c r="G1701"/>
      <c r="H1701"/>
      <c r="I1701"/>
      <c r="J1701"/>
      <c r="K1701" s="13" t="s">
        <v>153</v>
      </c>
      <c r="L1701" s="13" t="s">
        <v>521</v>
      </c>
      <c r="M1701" s="13" t="s">
        <v>522</v>
      </c>
      <c r="N1701" s="15">
        <v>0</v>
      </c>
      <c r="O1701" s="16">
        <v>0</v>
      </c>
      <c r="P1701" s="17">
        <v>51772.859699526998</v>
      </c>
      <c r="Q1701" s="17">
        <v>0</v>
      </c>
      <c r="R1701" s="13"/>
      <c r="S1701" s="13"/>
      <c r="T1701" s="13"/>
      <c r="U1701" s="13"/>
      <c r="V1701" s="13"/>
      <c r="W1701" s="13"/>
    </row>
    <row r="1702" spans="1:23" x14ac:dyDescent="0.2">
      <c r="A1702"/>
      <c r="B1702"/>
      <c r="C1702"/>
      <c r="D1702"/>
      <c r="E1702"/>
      <c r="F1702"/>
      <c r="G1702"/>
      <c r="H1702"/>
      <c r="I1702"/>
      <c r="J1702"/>
      <c r="K1702" s="13" t="s">
        <v>153</v>
      </c>
      <c r="L1702" s="13" t="s">
        <v>448</v>
      </c>
      <c r="M1702" s="13" t="s">
        <v>366</v>
      </c>
      <c r="N1702" s="15">
        <v>0</v>
      </c>
      <c r="O1702" s="16">
        <v>0</v>
      </c>
      <c r="P1702" s="17">
        <v>23.495500004243684</v>
      </c>
      <c r="Q1702" s="17">
        <v>0</v>
      </c>
      <c r="R1702" s="13"/>
      <c r="S1702" s="13"/>
      <c r="T1702" s="13"/>
      <c r="U1702" s="13"/>
      <c r="V1702" s="13"/>
      <c r="W1702" s="13"/>
    </row>
    <row r="1703" spans="1:23" x14ac:dyDescent="0.2">
      <c r="A1703"/>
      <c r="B1703"/>
      <c r="C1703"/>
      <c r="D1703"/>
      <c r="E1703"/>
      <c r="F1703"/>
      <c r="G1703"/>
      <c r="H1703"/>
      <c r="I1703"/>
      <c r="J1703"/>
      <c r="K1703" s="13" t="s">
        <v>153</v>
      </c>
      <c r="L1703" s="13" t="s">
        <v>411</v>
      </c>
      <c r="M1703" s="13" t="s">
        <v>362</v>
      </c>
      <c r="N1703" s="15">
        <v>0</v>
      </c>
      <c r="O1703" s="16">
        <v>0</v>
      </c>
      <c r="P1703" s="17">
        <v>13.089299998514981</v>
      </c>
      <c r="Q1703" s="17">
        <v>0</v>
      </c>
      <c r="R1703" s="13"/>
      <c r="S1703" s="13"/>
      <c r="T1703" s="13"/>
      <c r="U1703" s="13"/>
      <c r="V1703" s="13"/>
      <c r="W1703" s="13"/>
    </row>
    <row r="1704" spans="1:23" x14ac:dyDescent="0.2">
      <c r="A1704"/>
      <c r="B1704"/>
      <c r="C1704"/>
      <c r="D1704"/>
      <c r="E1704"/>
      <c r="F1704"/>
      <c r="G1704"/>
      <c r="H1704"/>
      <c r="I1704"/>
      <c r="J1704"/>
      <c r="K1704" s="13" t="s">
        <v>153</v>
      </c>
      <c r="L1704" s="13" t="s">
        <v>411</v>
      </c>
      <c r="M1704" s="13" t="s">
        <v>362</v>
      </c>
      <c r="N1704" s="15">
        <v>2</v>
      </c>
      <c r="O1704" s="16">
        <v>0</v>
      </c>
      <c r="P1704" s="17">
        <v>0</v>
      </c>
      <c r="Q1704" s="17">
        <v>0</v>
      </c>
      <c r="R1704" s="13"/>
      <c r="S1704" s="13"/>
      <c r="T1704" s="13"/>
      <c r="U1704" s="13"/>
      <c r="V1704" s="13"/>
      <c r="W1704" s="13"/>
    </row>
    <row r="1705" spans="1:23" x14ac:dyDescent="0.2">
      <c r="A1705"/>
      <c r="B1705"/>
      <c r="C1705"/>
      <c r="D1705"/>
      <c r="E1705"/>
      <c r="F1705"/>
      <c r="G1705"/>
      <c r="H1705"/>
      <c r="I1705"/>
      <c r="J1705"/>
      <c r="K1705" s="13" t="s">
        <v>153</v>
      </c>
      <c r="L1705" s="13" t="s">
        <v>413</v>
      </c>
      <c r="M1705" s="13" t="s">
        <v>428</v>
      </c>
      <c r="N1705" s="15">
        <v>1</v>
      </c>
      <c r="O1705" s="16">
        <v>0</v>
      </c>
      <c r="P1705" s="17">
        <v>0</v>
      </c>
      <c r="Q1705" s="17">
        <v>0</v>
      </c>
      <c r="R1705" s="13"/>
      <c r="S1705" s="13"/>
      <c r="T1705" s="13"/>
      <c r="U1705" s="13"/>
      <c r="V1705" s="13"/>
      <c r="W1705" s="13"/>
    </row>
    <row r="1706" spans="1:23" x14ac:dyDescent="0.2">
      <c r="A1706"/>
      <c r="B1706"/>
      <c r="C1706"/>
      <c r="D1706"/>
      <c r="E1706"/>
      <c r="F1706"/>
      <c r="G1706"/>
      <c r="H1706"/>
      <c r="I1706"/>
      <c r="J1706"/>
      <c r="K1706" s="13" t="s">
        <v>153</v>
      </c>
      <c r="L1706" s="13" t="s">
        <v>475</v>
      </c>
      <c r="M1706" s="13" t="s">
        <v>470</v>
      </c>
      <c r="N1706" s="15">
        <v>2</v>
      </c>
      <c r="O1706" s="16">
        <v>0</v>
      </c>
      <c r="P1706" s="17">
        <v>0</v>
      </c>
      <c r="Q1706" s="17">
        <v>0</v>
      </c>
      <c r="R1706" s="13"/>
      <c r="S1706" s="13"/>
      <c r="T1706" s="13"/>
      <c r="U1706" s="13"/>
      <c r="V1706" s="13"/>
      <c r="W1706" s="13"/>
    </row>
    <row r="1707" spans="1:23" x14ac:dyDescent="0.2">
      <c r="A1707"/>
      <c r="B1707"/>
      <c r="C1707"/>
      <c r="D1707"/>
      <c r="E1707"/>
      <c r="F1707"/>
      <c r="G1707"/>
      <c r="H1707"/>
      <c r="I1707"/>
      <c r="J1707"/>
      <c r="K1707" s="13" t="s">
        <v>153</v>
      </c>
      <c r="L1707" s="13" t="s">
        <v>619</v>
      </c>
      <c r="M1707" s="13" t="s">
        <v>508</v>
      </c>
      <c r="N1707" s="15">
        <v>7</v>
      </c>
      <c r="O1707" s="16">
        <v>0</v>
      </c>
      <c r="P1707" s="17">
        <v>0</v>
      </c>
      <c r="Q1707" s="17">
        <v>0</v>
      </c>
      <c r="R1707" s="13"/>
      <c r="S1707" s="13"/>
      <c r="T1707" s="13"/>
      <c r="U1707" s="13"/>
      <c r="V1707" s="13"/>
      <c r="W1707" s="13"/>
    </row>
    <row r="1708" spans="1:23" x14ac:dyDescent="0.2">
      <c r="A1708"/>
      <c r="B1708"/>
      <c r="C1708"/>
      <c r="D1708"/>
      <c r="E1708"/>
      <c r="F1708"/>
      <c r="G1708"/>
      <c r="H1708"/>
      <c r="I1708"/>
      <c r="J1708"/>
      <c r="K1708" s="13" t="s">
        <v>153</v>
      </c>
      <c r="L1708" s="13" t="s">
        <v>609</v>
      </c>
      <c r="M1708" s="13" t="s">
        <v>416</v>
      </c>
      <c r="N1708" s="15">
        <v>0</v>
      </c>
      <c r="O1708" s="16">
        <v>3.1246085774402301</v>
      </c>
      <c r="P1708" s="17">
        <v>0</v>
      </c>
      <c r="Q1708" s="17">
        <v>0</v>
      </c>
      <c r="R1708" s="13"/>
      <c r="S1708" s="13"/>
      <c r="T1708" s="13"/>
      <c r="U1708" s="13"/>
      <c r="V1708" s="13"/>
      <c r="W1708" s="13"/>
    </row>
    <row r="1709" spans="1:23" x14ac:dyDescent="0.2">
      <c r="A1709"/>
      <c r="B1709"/>
      <c r="C1709"/>
      <c r="D1709"/>
      <c r="E1709"/>
      <c r="F1709"/>
      <c r="G1709"/>
      <c r="H1709"/>
      <c r="I1709"/>
      <c r="J1709"/>
      <c r="K1709" s="13" t="s">
        <v>153</v>
      </c>
      <c r="L1709" s="13" t="s">
        <v>383</v>
      </c>
      <c r="M1709" s="13" t="s">
        <v>420</v>
      </c>
      <c r="N1709" s="15">
        <v>1</v>
      </c>
      <c r="O1709" s="16">
        <v>0</v>
      </c>
      <c r="P1709" s="17">
        <v>0</v>
      </c>
      <c r="Q1709" s="17">
        <v>0</v>
      </c>
      <c r="R1709" s="13"/>
      <c r="S1709" s="13"/>
      <c r="T1709" s="13"/>
      <c r="U1709" s="13"/>
      <c r="V1709" s="13"/>
      <c r="W1709" s="13"/>
    </row>
    <row r="1710" spans="1:23" x14ac:dyDescent="0.2">
      <c r="A1710"/>
      <c r="B1710"/>
      <c r="C1710"/>
      <c r="D1710"/>
      <c r="E1710"/>
      <c r="F1710"/>
      <c r="G1710"/>
      <c r="H1710"/>
      <c r="I1710"/>
      <c r="J1710"/>
      <c r="K1710" s="13" t="s">
        <v>153</v>
      </c>
      <c r="L1710" s="13" t="s">
        <v>467</v>
      </c>
      <c r="M1710" s="13" t="s">
        <v>422</v>
      </c>
      <c r="N1710" s="15">
        <v>0</v>
      </c>
      <c r="O1710" s="16">
        <v>1.18105884708759</v>
      </c>
      <c r="P1710" s="17">
        <v>0</v>
      </c>
      <c r="Q1710" s="17">
        <v>0</v>
      </c>
      <c r="R1710" s="13"/>
      <c r="S1710" s="13"/>
      <c r="T1710" s="13"/>
      <c r="U1710" s="13"/>
      <c r="V1710" s="13"/>
      <c r="W1710" s="13"/>
    </row>
    <row r="1711" spans="1:23" x14ac:dyDescent="0.2">
      <c r="A1711"/>
      <c r="B1711"/>
      <c r="C1711"/>
      <c r="D1711"/>
      <c r="E1711"/>
      <c r="F1711"/>
      <c r="G1711"/>
      <c r="H1711"/>
      <c r="I1711"/>
      <c r="J1711"/>
      <c r="K1711" s="13" t="s">
        <v>153</v>
      </c>
      <c r="L1711" s="13" t="s">
        <v>528</v>
      </c>
      <c r="M1711" s="13" t="s">
        <v>384</v>
      </c>
      <c r="N1711" s="15">
        <v>0</v>
      </c>
      <c r="O1711" s="16">
        <v>984.09124233257558</v>
      </c>
      <c r="P1711" s="17">
        <v>0</v>
      </c>
      <c r="Q1711" s="17">
        <v>0</v>
      </c>
      <c r="R1711" s="13"/>
      <c r="S1711" s="13"/>
      <c r="T1711" s="13"/>
      <c r="U1711" s="13"/>
      <c r="V1711" s="13"/>
      <c r="W1711" s="13"/>
    </row>
    <row r="1712" spans="1:23" x14ac:dyDescent="0.2">
      <c r="A1712"/>
      <c r="B1712"/>
      <c r="C1712"/>
      <c r="D1712"/>
      <c r="E1712"/>
      <c r="F1712"/>
      <c r="G1712"/>
      <c r="H1712"/>
      <c r="I1712"/>
      <c r="J1712"/>
      <c r="K1712" s="13" t="s">
        <v>153</v>
      </c>
      <c r="L1712" s="13" t="s">
        <v>614</v>
      </c>
      <c r="M1712" s="13" t="s">
        <v>447</v>
      </c>
      <c r="N1712" s="15">
        <v>4</v>
      </c>
      <c r="O1712" s="16">
        <v>0</v>
      </c>
      <c r="P1712" s="17">
        <v>0</v>
      </c>
      <c r="Q1712" s="17">
        <v>0</v>
      </c>
      <c r="R1712" s="13"/>
      <c r="S1712" s="13"/>
      <c r="T1712" s="13"/>
      <c r="U1712" s="13"/>
      <c r="V1712" s="13"/>
      <c r="W1712" s="13"/>
    </row>
    <row r="1713" spans="1:23" x14ac:dyDescent="0.2">
      <c r="A1713"/>
      <c r="B1713"/>
      <c r="C1713"/>
      <c r="D1713"/>
      <c r="E1713"/>
      <c r="F1713"/>
      <c r="G1713"/>
      <c r="H1713"/>
      <c r="I1713"/>
      <c r="J1713"/>
      <c r="K1713" s="13" t="s">
        <v>153</v>
      </c>
      <c r="L1713" s="13" t="s">
        <v>469</v>
      </c>
      <c r="M1713" s="13" t="s">
        <v>426</v>
      </c>
      <c r="N1713" s="15">
        <v>18</v>
      </c>
      <c r="O1713" s="16">
        <v>0</v>
      </c>
      <c r="P1713" s="17">
        <v>0</v>
      </c>
      <c r="Q1713" s="17">
        <v>0</v>
      </c>
      <c r="R1713" s="13"/>
      <c r="S1713" s="13"/>
      <c r="T1713" s="13"/>
      <c r="U1713" s="13"/>
      <c r="V1713" s="13"/>
      <c r="W1713" s="13"/>
    </row>
    <row r="1714" spans="1:23" x14ac:dyDescent="0.2">
      <c r="A1714"/>
      <c r="B1714"/>
      <c r="C1714"/>
      <c r="D1714"/>
      <c r="E1714"/>
      <c r="F1714"/>
      <c r="G1714"/>
      <c r="H1714"/>
      <c r="I1714"/>
      <c r="J1714"/>
      <c r="K1714" s="13" t="s">
        <v>155</v>
      </c>
      <c r="L1714" s="13" t="s">
        <v>435</v>
      </c>
      <c r="M1714" s="13" t="s">
        <v>364</v>
      </c>
      <c r="N1714" s="15">
        <v>2</v>
      </c>
      <c r="O1714" s="16">
        <v>0</v>
      </c>
      <c r="P1714" s="17">
        <v>0</v>
      </c>
      <c r="Q1714" s="17">
        <v>0</v>
      </c>
      <c r="R1714" s="13"/>
      <c r="S1714" s="13"/>
      <c r="T1714" s="13"/>
      <c r="U1714" s="13"/>
      <c r="V1714" s="13"/>
      <c r="W1714" s="13"/>
    </row>
    <row r="1715" spans="1:23" x14ac:dyDescent="0.2">
      <c r="A1715"/>
      <c r="B1715"/>
      <c r="C1715"/>
      <c r="D1715"/>
      <c r="E1715"/>
      <c r="F1715"/>
      <c r="G1715"/>
      <c r="H1715"/>
      <c r="I1715"/>
      <c r="J1715"/>
      <c r="K1715" s="13" t="s">
        <v>155</v>
      </c>
      <c r="L1715" s="13" t="s">
        <v>387</v>
      </c>
      <c r="M1715" s="13" t="s">
        <v>386</v>
      </c>
      <c r="N1715" s="15">
        <v>0</v>
      </c>
      <c r="O1715" s="16">
        <v>0</v>
      </c>
      <c r="P1715" s="17">
        <v>7.9143000014800817</v>
      </c>
      <c r="Q1715" s="17">
        <v>0</v>
      </c>
      <c r="R1715" s="13"/>
      <c r="S1715" s="13"/>
      <c r="T1715" s="13"/>
      <c r="U1715" s="13"/>
      <c r="V1715" s="13"/>
      <c r="W1715" s="13"/>
    </row>
    <row r="1716" spans="1:23" x14ac:dyDescent="0.2">
      <c r="A1716"/>
      <c r="B1716"/>
      <c r="C1716"/>
      <c r="D1716"/>
      <c r="E1716"/>
      <c r="F1716"/>
      <c r="G1716"/>
      <c r="H1716"/>
      <c r="I1716"/>
      <c r="J1716"/>
      <c r="K1716" s="13" t="s">
        <v>155</v>
      </c>
      <c r="L1716" s="13" t="s">
        <v>389</v>
      </c>
      <c r="M1716" s="13" t="s">
        <v>388</v>
      </c>
      <c r="N1716" s="15">
        <v>0</v>
      </c>
      <c r="O1716" s="16">
        <v>0</v>
      </c>
      <c r="P1716" s="17">
        <v>245.49459197761558</v>
      </c>
      <c r="Q1716" s="17">
        <v>0</v>
      </c>
      <c r="R1716" s="13"/>
      <c r="S1716" s="13"/>
      <c r="T1716" s="13"/>
      <c r="U1716" s="13"/>
      <c r="V1716" s="13"/>
      <c r="W1716" s="13"/>
    </row>
    <row r="1717" spans="1:23" x14ac:dyDescent="0.2">
      <c r="A1717"/>
      <c r="B1717"/>
      <c r="C1717"/>
      <c r="D1717"/>
      <c r="E1717"/>
      <c r="F1717"/>
      <c r="G1717"/>
      <c r="H1717"/>
      <c r="I1717"/>
      <c r="J1717"/>
      <c r="K1717" s="13" t="s">
        <v>155</v>
      </c>
      <c r="L1717" s="13" t="s">
        <v>436</v>
      </c>
      <c r="M1717" s="13" t="s">
        <v>487</v>
      </c>
      <c r="N1717" s="15">
        <v>0</v>
      </c>
      <c r="O1717" s="16">
        <v>0</v>
      </c>
      <c r="P1717" s="17">
        <v>27.907199996611766</v>
      </c>
      <c r="Q1717" s="17">
        <v>0</v>
      </c>
      <c r="R1717" s="13"/>
      <c r="S1717" s="13"/>
      <c r="T1717" s="13"/>
      <c r="U1717" s="13"/>
      <c r="V1717" s="13"/>
      <c r="W1717" s="13"/>
    </row>
    <row r="1718" spans="1:23" x14ac:dyDescent="0.2">
      <c r="A1718"/>
      <c r="B1718"/>
      <c r="C1718"/>
      <c r="D1718"/>
      <c r="E1718"/>
      <c r="F1718"/>
      <c r="G1718"/>
      <c r="H1718"/>
      <c r="I1718"/>
      <c r="J1718"/>
      <c r="K1718" s="13" t="s">
        <v>155</v>
      </c>
      <c r="L1718" s="13" t="s">
        <v>519</v>
      </c>
      <c r="M1718" s="13" t="s">
        <v>478</v>
      </c>
      <c r="N1718" s="15">
        <v>0</v>
      </c>
      <c r="O1718" s="16">
        <v>0</v>
      </c>
      <c r="P1718" s="17">
        <v>7007.1946999396932</v>
      </c>
      <c r="Q1718" s="17">
        <v>0</v>
      </c>
      <c r="R1718" s="13"/>
      <c r="S1718" s="13"/>
      <c r="T1718" s="13"/>
      <c r="U1718" s="13"/>
      <c r="V1718" s="13"/>
      <c r="W1718" s="13"/>
    </row>
    <row r="1719" spans="1:23" x14ac:dyDescent="0.2">
      <c r="A1719"/>
      <c r="B1719"/>
      <c r="C1719"/>
      <c r="D1719"/>
      <c r="E1719"/>
      <c r="F1719"/>
      <c r="G1719"/>
      <c r="H1719"/>
      <c r="I1719"/>
      <c r="J1719"/>
      <c r="K1719" s="13" t="s">
        <v>155</v>
      </c>
      <c r="L1719" s="13" t="s">
        <v>401</v>
      </c>
      <c r="M1719" s="13" t="s">
        <v>360</v>
      </c>
      <c r="N1719" s="15">
        <v>0</v>
      </c>
      <c r="O1719" s="16">
        <v>0</v>
      </c>
      <c r="P1719" s="17">
        <v>5793.5225968562081</v>
      </c>
      <c r="Q1719" s="17">
        <v>0</v>
      </c>
      <c r="R1719" s="13"/>
      <c r="S1719" s="13"/>
      <c r="T1719" s="13"/>
      <c r="U1719" s="13"/>
      <c r="V1719" s="13"/>
      <c r="W1719" s="13"/>
    </row>
    <row r="1720" spans="1:23" x14ac:dyDescent="0.2">
      <c r="A1720"/>
      <c r="B1720"/>
      <c r="C1720"/>
      <c r="D1720"/>
      <c r="E1720"/>
      <c r="F1720"/>
      <c r="G1720"/>
      <c r="H1720"/>
      <c r="I1720"/>
      <c r="J1720"/>
      <c r="K1720" s="13" t="s">
        <v>155</v>
      </c>
      <c r="L1720" s="13" t="s">
        <v>402</v>
      </c>
      <c r="M1720" s="13" t="s">
        <v>403</v>
      </c>
      <c r="N1720" s="15">
        <v>0</v>
      </c>
      <c r="O1720" s="16">
        <v>0</v>
      </c>
      <c r="P1720" s="17">
        <v>4719.5593846139009</v>
      </c>
      <c r="Q1720" s="17">
        <v>0</v>
      </c>
      <c r="R1720" s="13"/>
      <c r="S1720" s="13"/>
      <c r="T1720" s="13"/>
      <c r="U1720" s="13"/>
      <c r="V1720" s="13"/>
      <c r="W1720" s="13"/>
    </row>
    <row r="1721" spans="1:23" x14ac:dyDescent="0.2">
      <c r="A1721"/>
      <c r="B1721"/>
      <c r="C1721"/>
      <c r="D1721"/>
      <c r="E1721"/>
      <c r="F1721"/>
      <c r="G1721"/>
      <c r="H1721"/>
      <c r="I1721"/>
      <c r="J1721"/>
      <c r="K1721" s="13" t="s">
        <v>155</v>
      </c>
      <c r="L1721" s="13" t="s">
        <v>521</v>
      </c>
      <c r="M1721" s="13" t="s">
        <v>522</v>
      </c>
      <c r="N1721" s="15">
        <v>0</v>
      </c>
      <c r="O1721" s="16">
        <v>0</v>
      </c>
      <c r="P1721" s="17">
        <v>31990.209368072261</v>
      </c>
      <c r="Q1721" s="17">
        <v>0</v>
      </c>
      <c r="R1721" s="13"/>
      <c r="S1721" s="13"/>
      <c r="T1721" s="13"/>
      <c r="U1721" s="13"/>
      <c r="V1721" s="13"/>
      <c r="W1721" s="13"/>
    </row>
    <row r="1722" spans="1:23" x14ac:dyDescent="0.2">
      <c r="A1722"/>
      <c r="B1722"/>
      <c r="C1722"/>
      <c r="D1722"/>
      <c r="E1722"/>
      <c r="F1722"/>
      <c r="G1722"/>
      <c r="H1722"/>
      <c r="I1722"/>
      <c r="J1722"/>
      <c r="K1722" s="13" t="s">
        <v>155</v>
      </c>
      <c r="L1722" s="13" t="s">
        <v>448</v>
      </c>
      <c r="M1722" s="13" t="s">
        <v>366</v>
      </c>
      <c r="N1722" s="15">
        <v>0</v>
      </c>
      <c r="O1722" s="16">
        <v>0</v>
      </c>
      <c r="P1722" s="17">
        <v>257.11804998592805</v>
      </c>
      <c r="Q1722" s="17">
        <v>0</v>
      </c>
      <c r="R1722" s="13"/>
      <c r="S1722" s="13"/>
      <c r="T1722" s="13"/>
      <c r="U1722" s="13"/>
      <c r="V1722" s="13"/>
      <c r="W1722" s="13"/>
    </row>
    <row r="1723" spans="1:23" x14ac:dyDescent="0.2">
      <c r="A1723"/>
      <c r="B1723"/>
      <c r="C1723"/>
      <c r="D1723"/>
      <c r="E1723"/>
      <c r="F1723"/>
      <c r="G1723"/>
      <c r="H1723"/>
      <c r="I1723"/>
      <c r="J1723"/>
      <c r="K1723" s="13" t="s">
        <v>155</v>
      </c>
      <c r="L1723" s="13" t="s">
        <v>456</v>
      </c>
      <c r="M1723" s="13" t="s">
        <v>457</v>
      </c>
      <c r="N1723" s="15">
        <v>0</v>
      </c>
      <c r="O1723" s="16">
        <v>0</v>
      </c>
      <c r="P1723" s="17">
        <v>196.65334997212651</v>
      </c>
      <c r="Q1723" s="17">
        <v>0</v>
      </c>
      <c r="R1723" s="13"/>
      <c r="S1723" s="13"/>
      <c r="T1723" s="13"/>
      <c r="U1723" s="13"/>
      <c r="V1723" s="13"/>
      <c r="W1723" s="13"/>
    </row>
    <row r="1724" spans="1:23" x14ac:dyDescent="0.2">
      <c r="A1724"/>
      <c r="B1724"/>
      <c r="C1724"/>
      <c r="D1724"/>
      <c r="E1724"/>
      <c r="F1724"/>
      <c r="G1724"/>
      <c r="H1724"/>
      <c r="I1724"/>
      <c r="J1724"/>
      <c r="K1724" s="13" t="s">
        <v>155</v>
      </c>
      <c r="L1724" s="13" t="s">
        <v>404</v>
      </c>
      <c r="M1724" s="13" t="s">
        <v>405</v>
      </c>
      <c r="N1724" s="15">
        <v>0</v>
      </c>
      <c r="O1724" s="16">
        <v>0</v>
      </c>
      <c r="P1724" s="17">
        <v>266.11420005177717</v>
      </c>
      <c r="Q1724" s="17">
        <v>1016.6680078352191</v>
      </c>
      <c r="R1724" s="13"/>
      <c r="S1724" s="13"/>
      <c r="T1724" s="13"/>
      <c r="U1724" s="13"/>
      <c r="V1724" s="13"/>
      <c r="W1724" s="13"/>
    </row>
    <row r="1725" spans="1:23" x14ac:dyDescent="0.2">
      <c r="A1725"/>
      <c r="B1725"/>
      <c r="C1725"/>
      <c r="D1725"/>
      <c r="E1725"/>
      <c r="F1725"/>
      <c r="G1725"/>
      <c r="H1725"/>
      <c r="I1725"/>
      <c r="J1725"/>
      <c r="K1725" s="13" t="s">
        <v>155</v>
      </c>
      <c r="L1725" s="13" t="s">
        <v>381</v>
      </c>
      <c r="M1725" s="13" t="s">
        <v>382</v>
      </c>
      <c r="N1725" s="15">
        <v>1</v>
      </c>
      <c r="O1725" s="16">
        <v>0</v>
      </c>
      <c r="P1725" s="17">
        <v>0</v>
      </c>
      <c r="Q1725" s="17">
        <v>0</v>
      </c>
      <c r="R1725" s="13"/>
      <c r="S1725" s="13"/>
      <c r="T1725" s="13"/>
      <c r="U1725" s="13"/>
      <c r="V1725" s="13"/>
      <c r="W1725" s="13"/>
    </row>
    <row r="1726" spans="1:23" x14ac:dyDescent="0.2">
      <c r="A1726"/>
      <c r="B1726"/>
      <c r="C1726"/>
      <c r="D1726"/>
      <c r="E1726"/>
      <c r="F1726"/>
      <c r="G1726"/>
      <c r="H1726"/>
      <c r="I1726"/>
      <c r="J1726"/>
      <c r="K1726" s="13" t="s">
        <v>155</v>
      </c>
      <c r="L1726" s="13" t="s">
        <v>411</v>
      </c>
      <c r="M1726" s="13" t="s">
        <v>362</v>
      </c>
      <c r="N1726" s="15">
        <v>0</v>
      </c>
      <c r="O1726" s="16">
        <v>0</v>
      </c>
      <c r="P1726" s="17">
        <v>11.348200006144541</v>
      </c>
      <c r="Q1726" s="17">
        <v>0</v>
      </c>
      <c r="R1726" s="13"/>
      <c r="S1726" s="13"/>
      <c r="T1726" s="13"/>
      <c r="U1726" s="13"/>
      <c r="V1726" s="13"/>
      <c r="W1726" s="13"/>
    </row>
    <row r="1727" spans="1:23" x14ac:dyDescent="0.2">
      <c r="A1727"/>
      <c r="B1727"/>
      <c r="C1727"/>
      <c r="D1727"/>
      <c r="E1727"/>
      <c r="F1727"/>
      <c r="G1727"/>
      <c r="H1727"/>
      <c r="I1727"/>
      <c r="J1727"/>
      <c r="K1727" s="13" t="s">
        <v>155</v>
      </c>
      <c r="L1727" s="13" t="s">
        <v>411</v>
      </c>
      <c r="M1727" s="13" t="s">
        <v>362</v>
      </c>
      <c r="N1727" s="15">
        <v>0</v>
      </c>
      <c r="O1727" s="16">
        <v>245.5111761532801</v>
      </c>
      <c r="P1727" s="17">
        <v>0</v>
      </c>
      <c r="Q1727" s="17">
        <v>0</v>
      </c>
      <c r="R1727" s="13"/>
      <c r="S1727" s="13"/>
      <c r="T1727" s="13"/>
      <c r="U1727" s="13"/>
      <c r="V1727" s="13"/>
      <c r="W1727" s="13"/>
    </row>
    <row r="1728" spans="1:23" x14ac:dyDescent="0.2">
      <c r="A1728"/>
      <c r="B1728"/>
      <c r="C1728"/>
      <c r="D1728"/>
      <c r="E1728"/>
      <c r="F1728"/>
      <c r="G1728"/>
      <c r="H1728"/>
      <c r="I1728"/>
      <c r="J1728"/>
      <c r="K1728" s="13" t="s">
        <v>155</v>
      </c>
      <c r="L1728" s="13" t="s">
        <v>411</v>
      </c>
      <c r="M1728" s="13" t="s">
        <v>362</v>
      </c>
      <c r="N1728" s="15">
        <v>11</v>
      </c>
      <c r="O1728" s="16">
        <v>0</v>
      </c>
      <c r="P1728" s="17">
        <v>0</v>
      </c>
      <c r="Q1728" s="17">
        <v>0</v>
      </c>
      <c r="R1728" s="13"/>
      <c r="S1728" s="13"/>
      <c r="T1728" s="13"/>
      <c r="U1728" s="13"/>
      <c r="V1728" s="13"/>
      <c r="W1728" s="13"/>
    </row>
    <row r="1729" spans="1:23" x14ac:dyDescent="0.2">
      <c r="A1729"/>
      <c r="B1729"/>
      <c r="C1729"/>
      <c r="D1729"/>
      <c r="E1729"/>
      <c r="F1729"/>
      <c r="G1729"/>
      <c r="H1729"/>
      <c r="I1729"/>
      <c r="J1729"/>
      <c r="K1729" s="13" t="s">
        <v>155</v>
      </c>
      <c r="L1729" s="13" t="s">
        <v>413</v>
      </c>
      <c r="M1729" s="13" t="s">
        <v>428</v>
      </c>
      <c r="N1729" s="15">
        <v>1</v>
      </c>
      <c r="O1729" s="16">
        <v>0</v>
      </c>
      <c r="P1729" s="17">
        <v>0</v>
      </c>
      <c r="Q1729" s="17">
        <v>0</v>
      </c>
      <c r="R1729" s="13"/>
      <c r="S1729" s="13"/>
      <c r="T1729" s="13"/>
      <c r="U1729" s="13"/>
      <c r="V1729" s="13"/>
      <c r="W1729" s="13"/>
    </row>
    <row r="1730" spans="1:23" x14ac:dyDescent="0.2">
      <c r="A1730"/>
      <c r="B1730"/>
      <c r="C1730"/>
      <c r="D1730"/>
      <c r="E1730"/>
      <c r="F1730"/>
      <c r="G1730"/>
      <c r="H1730"/>
      <c r="I1730"/>
      <c r="J1730"/>
      <c r="K1730" s="13" t="s">
        <v>155</v>
      </c>
      <c r="L1730" s="13" t="s">
        <v>619</v>
      </c>
      <c r="M1730" s="13" t="s">
        <v>508</v>
      </c>
      <c r="N1730" s="15">
        <v>8</v>
      </c>
      <c r="O1730" s="16">
        <v>0</v>
      </c>
      <c r="P1730" s="17">
        <v>0</v>
      </c>
      <c r="Q1730" s="17">
        <v>0</v>
      </c>
      <c r="R1730" s="13"/>
      <c r="S1730" s="13"/>
      <c r="T1730" s="13"/>
      <c r="U1730" s="13"/>
      <c r="V1730" s="13"/>
      <c r="W1730" s="13"/>
    </row>
    <row r="1731" spans="1:23" x14ac:dyDescent="0.2">
      <c r="A1731"/>
      <c r="B1731"/>
      <c r="C1731"/>
      <c r="D1731"/>
      <c r="E1731"/>
      <c r="F1731"/>
      <c r="G1731"/>
      <c r="H1731"/>
      <c r="I1731"/>
      <c r="J1731"/>
      <c r="K1731" s="13" t="s">
        <v>155</v>
      </c>
      <c r="L1731" s="13" t="s">
        <v>615</v>
      </c>
      <c r="M1731" s="13" t="s">
        <v>449</v>
      </c>
      <c r="N1731" s="15">
        <v>1</v>
      </c>
      <c r="O1731" s="16">
        <v>0</v>
      </c>
      <c r="P1731" s="17">
        <v>0</v>
      </c>
      <c r="Q1731" s="17">
        <v>0</v>
      </c>
      <c r="R1731" s="13"/>
      <c r="S1731" s="13"/>
      <c r="T1731" s="13"/>
      <c r="U1731" s="13"/>
      <c r="V1731" s="13"/>
      <c r="W1731" s="13"/>
    </row>
    <row r="1732" spans="1:23" x14ac:dyDescent="0.2">
      <c r="A1732"/>
      <c r="B1732"/>
      <c r="C1732"/>
      <c r="D1732"/>
      <c r="E1732"/>
      <c r="F1732"/>
      <c r="G1732"/>
      <c r="H1732"/>
      <c r="I1732"/>
      <c r="J1732"/>
      <c r="K1732" s="13" t="s">
        <v>155</v>
      </c>
      <c r="L1732" s="13" t="s">
        <v>415</v>
      </c>
      <c r="M1732" s="13" t="s">
        <v>412</v>
      </c>
      <c r="N1732" s="15">
        <v>0</v>
      </c>
      <c r="O1732" s="16">
        <v>0</v>
      </c>
      <c r="P1732" s="17">
        <v>7.7287000007158611</v>
      </c>
      <c r="Q1732" s="17">
        <v>0</v>
      </c>
      <c r="R1732" s="13"/>
      <c r="S1732" s="13"/>
      <c r="T1732" s="13"/>
      <c r="U1732" s="13"/>
      <c r="V1732" s="13"/>
      <c r="W1732" s="13"/>
    </row>
    <row r="1733" spans="1:23" x14ac:dyDescent="0.2">
      <c r="A1733"/>
      <c r="B1733"/>
      <c r="C1733"/>
      <c r="D1733"/>
      <c r="E1733"/>
      <c r="F1733"/>
      <c r="G1733"/>
      <c r="H1733"/>
      <c r="I1733"/>
      <c r="J1733"/>
      <c r="K1733" s="13" t="s">
        <v>155</v>
      </c>
      <c r="L1733" s="13" t="s">
        <v>421</v>
      </c>
      <c r="M1733" s="13" t="s">
        <v>443</v>
      </c>
      <c r="N1733" s="15">
        <v>5</v>
      </c>
      <c r="O1733" s="16">
        <v>0</v>
      </c>
      <c r="P1733" s="17">
        <v>0</v>
      </c>
      <c r="Q1733" s="17">
        <v>0</v>
      </c>
      <c r="R1733" s="13"/>
      <c r="S1733" s="13"/>
      <c r="T1733" s="13"/>
      <c r="U1733" s="13"/>
      <c r="V1733" s="13"/>
      <c r="W1733" s="13"/>
    </row>
    <row r="1734" spans="1:23" x14ac:dyDescent="0.2">
      <c r="A1734"/>
      <c r="B1734"/>
      <c r="C1734"/>
      <c r="D1734"/>
      <c r="E1734"/>
      <c r="F1734"/>
      <c r="G1734"/>
      <c r="H1734"/>
      <c r="I1734"/>
      <c r="J1734"/>
      <c r="K1734" s="13" t="s">
        <v>155</v>
      </c>
      <c r="L1734" s="13" t="s">
        <v>467</v>
      </c>
      <c r="M1734" s="13" t="s">
        <v>422</v>
      </c>
      <c r="N1734" s="15">
        <v>0</v>
      </c>
      <c r="O1734" s="16">
        <v>38.752957754788078</v>
      </c>
      <c r="P1734" s="17">
        <v>0</v>
      </c>
      <c r="Q1734" s="17">
        <v>0</v>
      </c>
      <c r="R1734" s="13"/>
      <c r="S1734" s="13"/>
      <c r="T1734" s="13"/>
      <c r="U1734" s="13"/>
      <c r="V1734" s="13"/>
      <c r="W1734" s="13"/>
    </row>
    <row r="1735" spans="1:23" x14ac:dyDescent="0.2">
      <c r="A1735"/>
      <c r="B1735"/>
      <c r="C1735"/>
      <c r="D1735"/>
      <c r="E1735"/>
      <c r="F1735"/>
      <c r="G1735"/>
      <c r="H1735"/>
      <c r="I1735"/>
      <c r="J1735"/>
      <c r="K1735" s="13" t="s">
        <v>155</v>
      </c>
      <c r="L1735" s="13" t="s">
        <v>528</v>
      </c>
      <c r="M1735" s="13" t="s">
        <v>384</v>
      </c>
      <c r="N1735" s="15">
        <v>0</v>
      </c>
      <c r="O1735" s="16">
        <v>169.63759084147773</v>
      </c>
      <c r="P1735" s="17">
        <v>0</v>
      </c>
      <c r="Q1735" s="17">
        <v>0</v>
      </c>
      <c r="R1735" s="13"/>
      <c r="S1735" s="13"/>
      <c r="T1735" s="13"/>
      <c r="U1735" s="13"/>
      <c r="V1735" s="13"/>
      <c r="W1735" s="13"/>
    </row>
    <row r="1736" spans="1:23" x14ac:dyDescent="0.2">
      <c r="A1736"/>
      <c r="B1736"/>
      <c r="C1736"/>
      <c r="D1736"/>
      <c r="E1736"/>
      <c r="F1736"/>
      <c r="G1736"/>
      <c r="H1736"/>
      <c r="I1736"/>
      <c r="J1736"/>
      <c r="K1736" s="13" t="s">
        <v>155</v>
      </c>
      <c r="L1736" s="13" t="s">
        <v>613</v>
      </c>
      <c r="M1736" s="13" t="s">
        <v>444</v>
      </c>
      <c r="N1736" s="15">
        <v>0</v>
      </c>
      <c r="O1736" s="16">
        <v>29.756309721025431</v>
      </c>
      <c r="P1736" s="17">
        <v>0</v>
      </c>
      <c r="Q1736" s="17">
        <v>0</v>
      </c>
      <c r="R1736" s="13"/>
      <c r="S1736" s="13"/>
      <c r="T1736" s="13"/>
      <c r="U1736" s="13"/>
      <c r="V1736" s="13"/>
      <c r="W1736" s="13"/>
    </row>
    <row r="1737" spans="1:23" x14ac:dyDescent="0.2">
      <c r="A1737"/>
      <c r="B1737"/>
      <c r="C1737"/>
      <c r="D1737"/>
      <c r="E1737"/>
      <c r="F1737"/>
      <c r="G1737"/>
      <c r="H1737"/>
      <c r="I1737"/>
      <c r="J1737"/>
      <c r="K1737" s="13" t="s">
        <v>155</v>
      </c>
      <c r="L1737" s="13" t="s">
        <v>614</v>
      </c>
      <c r="M1737" s="13" t="s">
        <v>447</v>
      </c>
      <c r="N1737" s="15">
        <v>15</v>
      </c>
      <c r="O1737" s="16">
        <v>0</v>
      </c>
      <c r="P1737" s="17">
        <v>0</v>
      </c>
      <c r="Q1737" s="17">
        <v>0</v>
      </c>
      <c r="R1737" s="13"/>
      <c r="S1737" s="13"/>
      <c r="T1737" s="13"/>
      <c r="U1737" s="13"/>
      <c r="V1737" s="13"/>
      <c r="W1737" s="13"/>
    </row>
    <row r="1738" spans="1:23" x14ac:dyDescent="0.2">
      <c r="A1738"/>
      <c r="B1738"/>
      <c r="C1738"/>
      <c r="D1738"/>
      <c r="E1738"/>
      <c r="F1738"/>
      <c r="G1738"/>
      <c r="H1738"/>
      <c r="I1738"/>
      <c r="J1738"/>
      <c r="K1738" s="13" t="s">
        <v>155</v>
      </c>
      <c r="L1738" s="13" t="s">
        <v>469</v>
      </c>
      <c r="M1738" s="13" t="s">
        <v>426</v>
      </c>
      <c r="N1738" s="15">
        <v>21</v>
      </c>
      <c r="O1738" s="16">
        <v>0</v>
      </c>
      <c r="P1738" s="17">
        <v>0</v>
      </c>
      <c r="Q1738" s="17">
        <v>0</v>
      </c>
      <c r="R1738" s="13"/>
      <c r="S1738" s="13"/>
      <c r="T1738" s="13"/>
      <c r="U1738" s="13"/>
      <c r="V1738" s="13"/>
      <c r="W1738" s="13"/>
    </row>
    <row r="1739" spans="1:23" x14ac:dyDescent="0.2">
      <c r="A1739"/>
      <c r="B1739"/>
      <c r="C1739"/>
      <c r="D1739"/>
      <c r="E1739"/>
      <c r="F1739"/>
      <c r="G1739"/>
      <c r="H1739"/>
      <c r="I1739"/>
      <c r="J1739"/>
      <c r="K1739" s="13" t="s">
        <v>582</v>
      </c>
      <c r="L1739" s="13" t="s">
        <v>392</v>
      </c>
      <c r="M1739" s="13" t="s">
        <v>437</v>
      </c>
      <c r="N1739" s="15">
        <v>0</v>
      </c>
      <c r="O1739" s="16">
        <v>0</v>
      </c>
      <c r="P1739" s="17">
        <v>2.0454000008785163</v>
      </c>
      <c r="Q1739" s="17">
        <v>0</v>
      </c>
      <c r="R1739" s="13"/>
      <c r="S1739" s="13"/>
      <c r="T1739" s="13"/>
      <c r="U1739" s="13"/>
      <c r="V1739" s="13"/>
      <c r="W1739" s="13"/>
    </row>
    <row r="1740" spans="1:23" x14ac:dyDescent="0.2">
      <c r="A1740"/>
      <c r="B1740"/>
      <c r="C1740"/>
      <c r="D1740"/>
      <c r="E1740"/>
      <c r="F1740"/>
      <c r="G1740"/>
      <c r="H1740"/>
      <c r="I1740"/>
      <c r="J1740"/>
      <c r="K1740" s="13" t="s">
        <v>582</v>
      </c>
      <c r="L1740" s="13" t="s">
        <v>477</v>
      </c>
      <c r="M1740" s="13" t="s">
        <v>510</v>
      </c>
      <c r="N1740" s="15">
        <v>0</v>
      </c>
      <c r="O1740" s="16">
        <v>0</v>
      </c>
      <c r="P1740" s="17">
        <v>765.35529998222819</v>
      </c>
      <c r="Q1740" s="17">
        <v>0</v>
      </c>
      <c r="R1740" s="13"/>
      <c r="S1740" s="13"/>
      <c r="T1740" s="13"/>
      <c r="U1740" s="13"/>
      <c r="V1740" s="13"/>
      <c r="W1740" s="13"/>
    </row>
    <row r="1741" spans="1:23" x14ac:dyDescent="0.2">
      <c r="A1741"/>
      <c r="B1741"/>
      <c r="C1741"/>
      <c r="D1741"/>
      <c r="E1741"/>
      <c r="F1741"/>
      <c r="G1741"/>
      <c r="H1741"/>
      <c r="I1741"/>
      <c r="J1741"/>
      <c r="K1741" s="13" t="s">
        <v>582</v>
      </c>
      <c r="L1741" s="13" t="s">
        <v>512</v>
      </c>
      <c r="M1741" s="13" t="s">
        <v>466</v>
      </c>
      <c r="N1741" s="15">
        <v>0</v>
      </c>
      <c r="O1741" s="16">
        <v>0</v>
      </c>
      <c r="P1741" s="17">
        <v>52.747449997824106</v>
      </c>
      <c r="Q1741" s="17">
        <v>0</v>
      </c>
      <c r="R1741" s="13"/>
      <c r="S1741" s="13"/>
      <c r="T1741" s="13"/>
      <c r="U1741" s="13"/>
      <c r="V1741" s="13"/>
      <c r="W1741" s="13"/>
    </row>
    <row r="1742" spans="1:23" x14ac:dyDescent="0.2">
      <c r="A1742"/>
      <c r="B1742"/>
      <c r="C1742"/>
      <c r="D1742"/>
      <c r="E1742"/>
      <c r="F1742"/>
      <c r="G1742"/>
      <c r="H1742"/>
      <c r="I1742"/>
      <c r="J1742"/>
      <c r="K1742" s="13" t="s">
        <v>582</v>
      </c>
      <c r="L1742" s="13" t="s">
        <v>401</v>
      </c>
      <c r="M1742" s="13" t="s">
        <v>360</v>
      </c>
      <c r="N1742" s="15">
        <v>0</v>
      </c>
      <c r="O1742" s="16">
        <v>0</v>
      </c>
      <c r="P1742" s="17">
        <v>282.27415000175858</v>
      </c>
      <c r="Q1742" s="17">
        <v>0</v>
      </c>
      <c r="R1742" s="13"/>
      <c r="S1742" s="13"/>
      <c r="T1742" s="13"/>
      <c r="U1742" s="13"/>
      <c r="V1742" s="13"/>
      <c r="W1742" s="13"/>
    </row>
    <row r="1743" spans="1:23" x14ac:dyDescent="0.2">
      <c r="A1743"/>
      <c r="B1743"/>
      <c r="C1743"/>
      <c r="D1743"/>
      <c r="E1743"/>
      <c r="F1743"/>
      <c r="G1743"/>
      <c r="H1743"/>
      <c r="I1743"/>
      <c r="J1743"/>
      <c r="K1743" s="13" t="s">
        <v>582</v>
      </c>
      <c r="L1743" s="13" t="s">
        <v>402</v>
      </c>
      <c r="M1743" s="13" t="s">
        <v>403</v>
      </c>
      <c r="N1743" s="15">
        <v>0</v>
      </c>
      <c r="O1743" s="16">
        <v>0</v>
      </c>
      <c r="P1743" s="17">
        <v>1435.6250615274114</v>
      </c>
      <c r="Q1743" s="17">
        <v>0</v>
      </c>
      <c r="R1743" s="13"/>
      <c r="S1743" s="13"/>
      <c r="T1743" s="13"/>
      <c r="U1743" s="13"/>
      <c r="V1743" s="13"/>
      <c r="W1743" s="13"/>
    </row>
    <row r="1744" spans="1:23" x14ac:dyDescent="0.2">
      <c r="A1744"/>
      <c r="B1744"/>
      <c r="C1744"/>
      <c r="D1744"/>
      <c r="E1744"/>
      <c r="F1744"/>
      <c r="G1744"/>
      <c r="H1744"/>
      <c r="I1744"/>
      <c r="J1744"/>
      <c r="K1744" s="13" t="s">
        <v>582</v>
      </c>
      <c r="L1744" s="13" t="s">
        <v>521</v>
      </c>
      <c r="M1744" s="13" t="s">
        <v>522</v>
      </c>
      <c r="N1744" s="15">
        <v>0</v>
      </c>
      <c r="O1744" s="16">
        <v>0</v>
      </c>
      <c r="P1744" s="17">
        <v>16647.74049387495</v>
      </c>
      <c r="Q1744" s="17">
        <v>0</v>
      </c>
      <c r="R1744" s="13"/>
      <c r="S1744" s="13"/>
      <c r="T1744" s="13"/>
      <c r="U1744" s="13"/>
      <c r="V1744" s="13"/>
      <c r="W1744" s="13"/>
    </row>
    <row r="1745" spans="1:23" x14ac:dyDescent="0.2">
      <c r="A1745"/>
      <c r="B1745"/>
      <c r="C1745"/>
      <c r="D1745"/>
      <c r="E1745"/>
      <c r="F1745"/>
      <c r="G1745"/>
      <c r="H1745"/>
      <c r="I1745"/>
      <c r="J1745"/>
      <c r="K1745" s="13" t="s">
        <v>582</v>
      </c>
      <c r="L1745" s="13" t="s">
        <v>448</v>
      </c>
      <c r="M1745" s="13" t="s">
        <v>366</v>
      </c>
      <c r="N1745" s="15">
        <v>0</v>
      </c>
      <c r="O1745" s="16">
        <v>0</v>
      </c>
      <c r="P1745" s="17">
        <v>214.40393228064872</v>
      </c>
      <c r="Q1745" s="17">
        <v>0</v>
      </c>
      <c r="R1745" s="13"/>
      <c r="S1745" s="13"/>
      <c r="T1745" s="13"/>
      <c r="U1745" s="13"/>
      <c r="V1745" s="13"/>
      <c r="W1745" s="13"/>
    </row>
    <row r="1746" spans="1:23" x14ac:dyDescent="0.2">
      <c r="A1746"/>
      <c r="B1746"/>
      <c r="C1746"/>
      <c r="D1746"/>
      <c r="E1746"/>
      <c r="F1746"/>
      <c r="G1746"/>
      <c r="H1746"/>
      <c r="I1746"/>
      <c r="J1746"/>
      <c r="K1746" s="13" t="s">
        <v>582</v>
      </c>
      <c r="L1746" s="13" t="s">
        <v>456</v>
      </c>
      <c r="M1746" s="13" t="s">
        <v>457</v>
      </c>
      <c r="N1746" s="15">
        <v>0</v>
      </c>
      <c r="O1746" s="16">
        <v>0</v>
      </c>
      <c r="P1746" s="17">
        <v>239.5905999861607</v>
      </c>
      <c r="Q1746" s="17">
        <v>0</v>
      </c>
      <c r="R1746" s="13"/>
      <c r="S1746" s="13"/>
      <c r="T1746" s="13"/>
      <c r="U1746" s="13"/>
      <c r="V1746" s="13"/>
      <c r="W1746" s="13"/>
    </row>
    <row r="1747" spans="1:23" x14ac:dyDescent="0.2">
      <c r="A1747"/>
      <c r="B1747"/>
      <c r="C1747"/>
      <c r="D1747"/>
      <c r="E1747"/>
      <c r="F1747"/>
      <c r="G1747"/>
      <c r="H1747"/>
      <c r="I1747"/>
      <c r="J1747"/>
      <c r="K1747" s="13" t="s">
        <v>582</v>
      </c>
      <c r="L1747" s="13" t="s">
        <v>381</v>
      </c>
      <c r="M1747" s="13" t="s">
        <v>382</v>
      </c>
      <c r="N1747" s="15">
        <v>1</v>
      </c>
      <c r="O1747" s="16">
        <v>0</v>
      </c>
      <c r="P1747" s="17">
        <v>0</v>
      </c>
      <c r="Q1747" s="17">
        <v>0</v>
      </c>
      <c r="R1747" s="13"/>
      <c r="S1747" s="13"/>
      <c r="T1747" s="13"/>
      <c r="U1747" s="13"/>
      <c r="V1747" s="13"/>
      <c r="W1747" s="13"/>
    </row>
    <row r="1748" spans="1:23" x14ac:dyDescent="0.2">
      <c r="A1748"/>
      <c r="B1748"/>
      <c r="C1748"/>
      <c r="D1748"/>
      <c r="E1748"/>
      <c r="F1748"/>
      <c r="G1748"/>
      <c r="H1748"/>
      <c r="I1748"/>
      <c r="J1748"/>
      <c r="K1748" s="13" t="s">
        <v>582</v>
      </c>
      <c r="L1748" s="13" t="s">
        <v>475</v>
      </c>
      <c r="M1748" s="13" t="s">
        <v>470</v>
      </c>
      <c r="N1748" s="15">
        <v>2</v>
      </c>
      <c r="O1748" s="16">
        <v>0</v>
      </c>
      <c r="P1748" s="17">
        <v>0</v>
      </c>
      <c r="Q1748" s="17">
        <v>0</v>
      </c>
      <c r="R1748" s="13"/>
      <c r="S1748" s="13"/>
      <c r="T1748" s="13"/>
      <c r="U1748" s="13"/>
      <c r="V1748" s="13"/>
      <c r="W1748" s="13"/>
    </row>
    <row r="1749" spans="1:23" x14ac:dyDescent="0.2">
      <c r="A1749"/>
      <c r="B1749"/>
      <c r="C1749"/>
      <c r="D1749"/>
      <c r="E1749"/>
      <c r="F1749"/>
      <c r="G1749"/>
      <c r="H1749"/>
      <c r="I1749"/>
      <c r="J1749"/>
      <c r="K1749" s="13" t="s">
        <v>582</v>
      </c>
      <c r="L1749" s="13" t="s">
        <v>606</v>
      </c>
      <c r="M1749" s="13" t="s">
        <v>430</v>
      </c>
      <c r="N1749" s="15">
        <v>10</v>
      </c>
      <c r="O1749" s="16">
        <v>0</v>
      </c>
      <c r="P1749" s="17">
        <v>0</v>
      </c>
      <c r="Q1749" s="17">
        <v>0</v>
      </c>
      <c r="R1749" s="13"/>
      <c r="S1749" s="13"/>
      <c r="T1749" s="13"/>
      <c r="U1749" s="13"/>
      <c r="V1749" s="13"/>
      <c r="W1749" s="13"/>
    </row>
    <row r="1750" spans="1:23" x14ac:dyDescent="0.2">
      <c r="A1750"/>
      <c r="B1750"/>
      <c r="C1750"/>
      <c r="D1750"/>
      <c r="E1750"/>
      <c r="F1750"/>
      <c r="G1750"/>
      <c r="H1750"/>
      <c r="I1750"/>
      <c r="J1750"/>
      <c r="K1750" s="13" t="s">
        <v>582</v>
      </c>
      <c r="L1750" s="13" t="s">
        <v>608</v>
      </c>
      <c r="M1750" s="13" t="s">
        <v>432</v>
      </c>
      <c r="N1750" s="15">
        <v>3</v>
      </c>
      <c r="O1750" s="16">
        <v>0</v>
      </c>
      <c r="P1750" s="17">
        <v>0</v>
      </c>
      <c r="Q1750" s="17">
        <v>0</v>
      </c>
      <c r="R1750" s="13"/>
      <c r="S1750" s="13"/>
      <c r="T1750" s="13"/>
      <c r="U1750" s="13"/>
      <c r="V1750" s="13"/>
      <c r="W1750" s="13"/>
    </row>
    <row r="1751" spans="1:23" x14ac:dyDescent="0.2">
      <c r="A1751"/>
      <c r="B1751"/>
      <c r="C1751"/>
      <c r="D1751"/>
      <c r="E1751"/>
      <c r="F1751"/>
      <c r="G1751"/>
      <c r="H1751"/>
      <c r="I1751"/>
      <c r="J1751"/>
      <c r="K1751" s="13" t="s">
        <v>582</v>
      </c>
      <c r="L1751" s="13" t="s">
        <v>383</v>
      </c>
      <c r="M1751" s="13" t="s">
        <v>420</v>
      </c>
      <c r="N1751" s="15">
        <v>1</v>
      </c>
      <c r="O1751" s="16">
        <v>0</v>
      </c>
      <c r="P1751" s="17">
        <v>0</v>
      </c>
      <c r="Q1751" s="17">
        <v>0</v>
      </c>
      <c r="R1751" s="13"/>
      <c r="S1751" s="13"/>
      <c r="T1751" s="13"/>
      <c r="U1751" s="13"/>
      <c r="V1751" s="13"/>
      <c r="W1751" s="13"/>
    </row>
    <row r="1752" spans="1:23" x14ac:dyDescent="0.2">
      <c r="A1752"/>
      <c r="B1752"/>
      <c r="C1752"/>
      <c r="D1752"/>
      <c r="E1752"/>
      <c r="F1752"/>
      <c r="G1752"/>
      <c r="H1752"/>
      <c r="I1752"/>
      <c r="J1752"/>
      <c r="K1752" s="13" t="s">
        <v>582</v>
      </c>
      <c r="L1752" s="13" t="s">
        <v>469</v>
      </c>
      <c r="M1752" s="13" t="s">
        <v>426</v>
      </c>
      <c r="N1752" s="15">
        <v>1</v>
      </c>
      <c r="O1752" s="16">
        <v>0</v>
      </c>
      <c r="P1752" s="17">
        <v>0</v>
      </c>
      <c r="Q1752" s="17">
        <v>0</v>
      </c>
      <c r="R1752" s="13"/>
      <c r="S1752" s="13"/>
      <c r="T1752" s="13"/>
      <c r="U1752" s="13"/>
      <c r="V1752" s="13"/>
      <c r="W1752" s="13"/>
    </row>
    <row r="1753" spans="1:23" x14ac:dyDescent="0.2">
      <c r="A1753"/>
      <c r="B1753"/>
      <c r="C1753"/>
      <c r="D1753"/>
      <c r="E1753"/>
      <c r="F1753"/>
      <c r="G1753"/>
      <c r="H1753"/>
      <c r="I1753"/>
      <c r="J1753"/>
      <c r="K1753" s="13" t="s">
        <v>158</v>
      </c>
      <c r="L1753" s="13" t="s">
        <v>387</v>
      </c>
      <c r="M1753" s="13" t="s">
        <v>386</v>
      </c>
      <c r="N1753" s="15">
        <v>0</v>
      </c>
      <c r="O1753" s="16">
        <v>0</v>
      </c>
      <c r="P1753" s="17">
        <v>348.92954998124696</v>
      </c>
      <c r="Q1753" s="17">
        <v>0</v>
      </c>
      <c r="R1753" s="13"/>
      <c r="S1753" s="13"/>
      <c r="T1753" s="13"/>
      <c r="U1753" s="13"/>
      <c r="V1753" s="13"/>
      <c r="W1753" s="13"/>
    </row>
    <row r="1754" spans="1:23" x14ac:dyDescent="0.2">
      <c r="A1754"/>
      <c r="B1754"/>
      <c r="C1754"/>
      <c r="D1754"/>
      <c r="E1754"/>
      <c r="F1754"/>
      <c r="G1754"/>
      <c r="H1754"/>
      <c r="I1754"/>
      <c r="J1754"/>
      <c r="K1754" s="13" t="s">
        <v>158</v>
      </c>
      <c r="L1754" s="13" t="s">
        <v>389</v>
      </c>
      <c r="M1754" s="13" t="s">
        <v>388</v>
      </c>
      <c r="N1754" s="15">
        <v>0</v>
      </c>
      <c r="O1754" s="16">
        <v>0</v>
      </c>
      <c r="P1754" s="17">
        <v>209.60479988845114</v>
      </c>
      <c r="Q1754" s="17">
        <v>0</v>
      </c>
      <c r="R1754" s="13"/>
      <c r="S1754" s="13"/>
      <c r="T1754" s="13"/>
      <c r="U1754" s="13"/>
      <c r="V1754" s="13"/>
      <c r="W1754" s="13"/>
    </row>
    <row r="1755" spans="1:23" x14ac:dyDescent="0.2">
      <c r="A1755"/>
      <c r="B1755"/>
      <c r="C1755"/>
      <c r="D1755"/>
      <c r="E1755"/>
      <c r="F1755"/>
      <c r="G1755"/>
      <c r="H1755"/>
      <c r="I1755"/>
      <c r="J1755"/>
      <c r="K1755" s="13" t="s">
        <v>158</v>
      </c>
      <c r="L1755" s="13" t="s">
        <v>542</v>
      </c>
      <c r="M1755" s="13" t="s">
        <v>390</v>
      </c>
      <c r="N1755" s="15">
        <v>0</v>
      </c>
      <c r="O1755" s="16">
        <v>0</v>
      </c>
      <c r="P1755" s="17">
        <v>51.410600004456334</v>
      </c>
      <c r="Q1755" s="17">
        <v>0</v>
      </c>
      <c r="R1755" s="13"/>
      <c r="S1755" s="13"/>
      <c r="T1755" s="13"/>
      <c r="U1755" s="13"/>
      <c r="V1755" s="13"/>
      <c r="W1755" s="13"/>
    </row>
    <row r="1756" spans="1:23" x14ac:dyDescent="0.2">
      <c r="A1756"/>
      <c r="B1756"/>
      <c r="C1756"/>
      <c r="D1756"/>
      <c r="E1756"/>
      <c r="F1756"/>
      <c r="G1756"/>
      <c r="H1756"/>
      <c r="I1756"/>
      <c r="J1756"/>
      <c r="K1756" s="13" t="s">
        <v>158</v>
      </c>
      <c r="L1756" s="13" t="s">
        <v>391</v>
      </c>
      <c r="M1756" s="13" t="s">
        <v>358</v>
      </c>
      <c r="N1756" s="15">
        <v>0</v>
      </c>
      <c r="O1756" s="16">
        <v>0</v>
      </c>
      <c r="P1756" s="17">
        <v>235.28119999630894</v>
      </c>
      <c r="Q1756" s="17">
        <v>0</v>
      </c>
      <c r="R1756" s="13"/>
      <c r="S1756" s="13"/>
      <c r="T1756" s="13"/>
      <c r="U1756" s="13"/>
      <c r="V1756" s="13"/>
      <c r="W1756" s="13"/>
    </row>
    <row r="1757" spans="1:23" x14ac:dyDescent="0.2">
      <c r="A1757"/>
      <c r="B1757"/>
      <c r="C1757"/>
      <c r="D1757"/>
      <c r="E1757"/>
      <c r="F1757"/>
      <c r="G1757"/>
      <c r="H1757"/>
      <c r="I1757"/>
      <c r="J1757"/>
      <c r="K1757" s="13" t="s">
        <v>158</v>
      </c>
      <c r="L1757" s="13" t="s">
        <v>399</v>
      </c>
      <c r="M1757" s="13" t="s">
        <v>400</v>
      </c>
      <c r="N1757" s="15">
        <v>0</v>
      </c>
      <c r="O1757" s="16">
        <v>0</v>
      </c>
      <c r="P1757" s="17">
        <v>4.9667499999642608</v>
      </c>
      <c r="Q1757" s="17">
        <v>0</v>
      </c>
      <c r="R1757" s="13"/>
      <c r="S1757" s="13"/>
      <c r="T1757" s="13"/>
      <c r="U1757" s="13"/>
      <c r="V1757" s="13"/>
      <c r="W1757" s="13"/>
    </row>
    <row r="1758" spans="1:23" x14ac:dyDescent="0.2">
      <c r="A1758"/>
      <c r="B1758"/>
      <c r="C1758"/>
      <c r="D1758"/>
      <c r="E1758"/>
      <c r="F1758"/>
      <c r="G1758"/>
      <c r="H1758"/>
      <c r="I1758"/>
      <c r="J1758"/>
      <c r="K1758" s="13" t="s">
        <v>158</v>
      </c>
      <c r="L1758" s="13" t="s">
        <v>401</v>
      </c>
      <c r="M1758" s="13" t="s">
        <v>360</v>
      </c>
      <c r="N1758" s="15">
        <v>0</v>
      </c>
      <c r="O1758" s="16">
        <v>0</v>
      </c>
      <c r="P1758" s="17">
        <v>276.86975004560111</v>
      </c>
      <c r="Q1758" s="17">
        <v>0</v>
      </c>
      <c r="R1758" s="13"/>
      <c r="S1758" s="13"/>
      <c r="T1758" s="13"/>
      <c r="U1758" s="13"/>
      <c r="V1758" s="13"/>
      <c r="W1758" s="13"/>
    </row>
    <row r="1759" spans="1:23" x14ac:dyDescent="0.2">
      <c r="A1759"/>
      <c r="B1759"/>
      <c r="C1759"/>
      <c r="D1759"/>
      <c r="E1759"/>
      <c r="F1759"/>
      <c r="G1759"/>
      <c r="H1759"/>
      <c r="I1759"/>
      <c r="J1759"/>
      <c r="K1759" s="13" t="s">
        <v>158</v>
      </c>
      <c r="L1759" s="13" t="s">
        <v>402</v>
      </c>
      <c r="M1759" s="13" t="s">
        <v>403</v>
      </c>
      <c r="N1759" s="15">
        <v>0</v>
      </c>
      <c r="O1759" s="16">
        <v>0</v>
      </c>
      <c r="P1759" s="17">
        <v>4076.4101499372714</v>
      </c>
      <c r="Q1759" s="17">
        <v>0</v>
      </c>
      <c r="R1759" s="13"/>
      <c r="S1759" s="13"/>
      <c r="T1759" s="13"/>
      <c r="U1759" s="13"/>
      <c r="V1759" s="13"/>
      <c r="W1759" s="13"/>
    </row>
    <row r="1760" spans="1:23" x14ac:dyDescent="0.2">
      <c r="A1760"/>
      <c r="B1760"/>
      <c r="C1760"/>
      <c r="D1760"/>
      <c r="E1760"/>
      <c r="F1760"/>
      <c r="G1760"/>
      <c r="H1760"/>
      <c r="I1760"/>
      <c r="J1760"/>
      <c r="K1760" s="13" t="s">
        <v>158</v>
      </c>
      <c r="L1760" s="13" t="s">
        <v>525</v>
      </c>
      <c r="M1760" s="13" t="s">
        <v>526</v>
      </c>
      <c r="N1760" s="15">
        <v>0</v>
      </c>
      <c r="O1760" s="16">
        <v>0</v>
      </c>
      <c r="P1760" s="17">
        <v>17135.422949810138</v>
      </c>
      <c r="Q1760" s="17">
        <v>0</v>
      </c>
      <c r="R1760" s="13"/>
      <c r="S1760" s="13"/>
      <c r="T1760" s="13"/>
      <c r="U1760" s="13"/>
      <c r="V1760" s="13"/>
      <c r="W1760" s="13"/>
    </row>
    <row r="1761" spans="1:23" x14ac:dyDescent="0.2">
      <c r="A1761"/>
      <c r="B1761"/>
      <c r="C1761"/>
      <c r="D1761"/>
      <c r="E1761"/>
      <c r="F1761"/>
      <c r="G1761"/>
      <c r="H1761"/>
      <c r="I1761"/>
      <c r="J1761"/>
      <c r="K1761" s="13" t="s">
        <v>158</v>
      </c>
      <c r="L1761" s="13" t="s">
        <v>448</v>
      </c>
      <c r="M1761" s="13" t="s">
        <v>366</v>
      </c>
      <c r="N1761" s="15">
        <v>0</v>
      </c>
      <c r="O1761" s="16">
        <v>0</v>
      </c>
      <c r="P1761" s="17">
        <v>972.12450002889443</v>
      </c>
      <c r="Q1761" s="17">
        <v>0</v>
      </c>
      <c r="R1761" s="13"/>
      <c r="S1761" s="13"/>
      <c r="T1761" s="13"/>
      <c r="U1761" s="13"/>
      <c r="V1761" s="13"/>
      <c r="W1761" s="13"/>
    </row>
    <row r="1762" spans="1:23" x14ac:dyDescent="0.2">
      <c r="A1762"/>
      <c r="B1762"/>
      <c r="C1762"/>
      <c r="D1762"/>
      <c r="E1762"/>
      <c r="F1762"/>
      <c r="G1762"/>
      <c r="H1762"/>
      <c r="I1762"/>
      <c r="J1762"/>
      <c r="K1762" s="13" t="s">
        <v>158</v>
      </c>
      <c r="L1762" s="13" t="s">
        <v>456</v>
      </c>
      <c r="M1762" s="13" t="s">
        <v>457</v>
      </c>
      <c r="N1762" s="15">
        <v>0</v>
      </c>
      <c r="O1762" s="16">
        <v>0</v>
      </c>
      <c r="P1762" s="17">
        <v>564.41939996339249</v>
      </c>
      <c r="Q1762" s="17">
        <v>0</v>
      </c>
      <c r="R1762" s="13"/>
      <c r="S1762" s="13"/>
      <c r="T1762" s="13"/>
      <c r="U1762" s="13"/>
      <c r="V1762" s="13"/>
      <c r="W1762" s="13"/>
    </row>
    <row r="1763" spans="1:23" x14ac:dyDescent="0.2">
      <c r="A1763"/>
      <c r="B1763"/>
      <c r="C1763"/>
      <c r="D1763"/>
      <c r="E1763"/>
      <c r="F1763"/>
      <c r="G1763"/>
      <c r="H1763"/>
      <c r="I1763"/>
      <c r="J1763"/>
      <c r="K1763" s="13" t="s">
        <v>158</v>
      </c>
      <c r="L1763" s="13" t="s">
        <v>404</v>
      </c>
      <c r="M1763" s="13" t="s">
        <v>405</v>
      </c>
      <c r="N1763" s="15">
        <v>0</v>
      </c>
      <c r="O1763" s="16">
        <v>0</v>
      </c>
      <c r="P1763" s="17">
        <v>173.82170003639678</v>
      </c>
      <c r="Q1763" s="17">
        <v>380.93315959663272</v>
      </c>
      <c r="R1763" s="13"/>
      <c r="S1763" s="13"/>
      <c r="T1763" s="13"/>
      <c r="U1763" s="13"/>
      <c r="V1763" s="13"/>
      <c r="W1763" s="13"/>
    </row>
    <row r="1764" spans="1:23" x14ac:dyDescent="0.2">
      <c r="A1764"/>
      <c r="B1764"/>
      <c r="C1764"/>
      <c r="D1764"/>
      <c r="E1764"/>
      <c r="F1764"/>
      <c r="G1764"/>
      <c r="H1764"/>
      <c r="I1764"/>
      <c r="J1764"/>
      <c r="K1764" s="13" t="s">
        <v>158</v>
      </c>
      <c r="L1764" s="13" t="s">
        <v>381</v>
      </c>
      <c r="M1764" s="13" t="s">
        <v>382</v>
      </c>
      <c r="N1764" s="15">
        <v>13</v>
      </c>
      <c r="O1764" s="16">
        <v>0</v>
      </c>
      <c r="P1764" s="17">
        <v>0</v>
      </c>
      <c r="Q1764" s="17">
        <v>0</v>
      </c>
      <c r="R1764" s="13"/>
      <c r="S1764" s="13"/>
      <c r="T1764" s="13"/>
      <c r="U1764" s="13"/>
      <c r="V1764" s="13"/>
      <c r="W1764" s="13"/>
    </row>
    <row r="1765" spans="1:23" x14ac:dyDescent="0.2">
      <c r="A1765"/>
      <c r="B1765"/>
      <c r="C1765"/>
      <c r="D1765"/>
      <c r="E1765"/>
      <c r="F1765"/>
      <c r="G1765"/>
      <c r="H1765"/>
      <c r="I1765"/>
      <c r="J1765"/>
      <c r="K1765" s="13" t="s">
        <v>158</v>
      </c>
      <c r="L1765" s="13" t="s">
        <v>407</v>
      </c>
      <c r="M1765" s="13" t="s">
        <v>408</v>
      </c>
      <c r="N1765" s="15">
        <v>35</v>
      </c>
      <c r="O1765" s="16">
        <v>0</v>
      </c>
      <c r="P1765" s="17">
        <v>0</v>
      </c>
      <c r="Q1765" s="17">
        <v>0</v>
      </c>
      <c r="R1765" s="13"/>
      <c r="S1765" s="13"/>
      <c r="T1765" s="13"/>
      <c r="U1765" s="13"/>
      <c r="V1765" s="13"/>
      <c r="W1765" s="13"/>
    </row>
    <row r="1766" spans="1:23" x14ac:dyDescent="0.2">
      <c r="A1766"/>
      <c r="B1766"/>
      <c r="C1766"/>
      <c r="D1766"/>
      <c r="E1766"/>
      <c r="F1766"/>
      <c r="G1766"/>
      <c r="H1766"/>
      <c r="I1766"/>
      <c r="J1766"/>
      <c r="K1766" s="13" t="s">
        <v>158</v>
      </c>
      <c r="L1766" s="13" t="s">
        <v>411</v>
      </c>
      <c r="M1766" s="13" t="s">
        <v>362</v>
      </c>
      <c r="N1766" s="15">
        <v>0</v>
      </c>
      <c r="O1766" s="16">
        <v>63.682962668258888</v>
      </c>
      <c r="P1766" s="17">
        <v>0</v>
      </c>
      <c r="Q1766" s="17">
        <v>0</v>
      </c>
      <c r="R1766" s="13"/>
      <c r="S1766" s="13"/>
      <c r="T1766" s="13"/>
      <c r="U1766" s="13"/>
      <c r="V1766" s="13"/>
      <c r="W1766" s="13"/>
    </row>
    <row r="1767" spans="1:23" x14ac:dyDescent="0.2">
      <c r="A1767"/>
      <c r="B1767"/>
      <c r="C1767"/>
      <c r="D1767"/>
      <c r="E1767"/>
      <c r="F1767"/>
      <c r="G1767"/>
      <c r="H1767"/>
      <c r="I1767"/>
      <c r="J1767"/>
      <c r="K1767" s="13" t="s">
        <v>158</v>
      </c>
      <c r="L1767" s="13" t="s">
        <v>411</v>
      </c>
      <c r="M1767" s="13" t="s">
        <v>362</v>
      </c>
      <c r="N1767" s="15">
        <v>1</v>
      </c>
      <c r="O1767" s="16">
        <v>0</v>
      </c>
      <c r="P1767" s="17">
        <v>0</v>
      </c>
      <c r="Q1767" s="17">
        <v>0</v>
      </c>
      <c r="R1767" s="13"/>
      <c r="S1767" s="13"/>
      <c r="T1767" s="13"/>
      <c r="U1767" s="13"/>
      <c r="V1767" s="13"/>
      <c r="W1767" s="13"/>
    </row>
    <row r="1768" spans="1:23" x14ac:dyDescent="0.2">
      <c r="A1768"/>
      <c r="B1768"/>
      <c r="C1768"/>
      <c r="D1768"/>
      <c r="E1768"/>
      <c r="F1768"/>
      <c r="G1768"/>
      <c r="H1768"/>
      <c r="I1768"/>
      <c r="J1768"/>
      <c r="K1768" s="13" t="s">
        <v>158</v>
      </c>
      <c r="L1768" s="13" t="s">
        <v>413</v>
      </c>
      <c r="M1768" s="13" t="s">
        <v>428</v>
      </c>
      <c r="N1768" s="15">
        <v>1</v>
      </c>
      <c r="O1768" s="16">
        <v>0</v>
      </c>
      <c r="P1768" s="17">
        <v>0</v>
      </c>
      <c r="Q1768" s="17">
        <v>0</v>
      </c>
      <c r="R1768" s="13"/>
      <c r="S1768" s="13"/>
      <c r="T1768" s="13"/>
      <c r="U1768" s="13"/>
      <c r="V1768" s="13"/>
      <c r="W1768" s="13"/>
    </row>
    <row r="1769" spans="1:23" x14ac:dyDescent="0.2">
      <c r="A1769"/>
      <c r="B1769"/>
      <c r="C1769"/>
      <c r="D1769"/>
      <c r="E1769"/>
      <c r="F1769"/>
      <c r="G1769"/>
      <c r="H1769"/>
      <c r="I1769"/>
      <c r="J1769"/>
      <c r="K1769" s="13" t="s">
        <v>158</v>
      </c>
      <c r="L1769" s="13" t="s">
        <v>606</v>
      </c>
      <c r="M1769" s="13" t="s">
        <v>430</v>
      </c>
      <c r="N1769" s="15">
        <v>3</v>
      </c>
      <c r="O1769" s="16">
        <v>0</v>
      </c>
      <c r="P1769" s="17">
        <v>0</v>
      </c>
      <c r="Q1769" s="17">
        <v>0</v>
      </c>
      <c r="R1769" s="13"/>
      <c r="S1769" s="13"/>
      <c r="T1769" s="13"/>
      <c r="U1769" s="13"/>
      <c r="V1769" s="13"/>
      <c r="W1769" s="13"/>
    </row>
    <row r="1770" spans="1:23" x14ac:dyDescent="0.2">
      <c r="A1770"/>
      <c r="B1770"/>
      <c r="C1770"/>
      <c r="D1770"/>
      <c r="E1770"/>
      <c r="F1770"/>
      <c r="G1770"/>
      <c r="H1770"/>
      <c r="I1770"/>
      <c r="J1770"/>
      <c r="K1770" s="13" t="s">
        <v>158</v>
      </c>
      <c r="L1770" s="13" t="s">
        <v>619</v>
      </c>
      <c r="M1770" s="13" t="s">
        <v>508</v>
      </c>
      <c r="N1770" s="15">
        <v>5</v>
      </c>
      <c r="O1770" s="16">
        <v>0</v>
      </c>
      <c r="P1770" s="17">
        <v>0</v>
      </c>
      <c r="Q1770" s="17">
        <v>0</v>
      </c>
      <c r="R1770" s="13"/>
      <c r="S1770" s="13"/>
      <c r="T1770" s="13"/>
      <c r="U1770" s="13"/>
      <c r="V1770" s="13"/>
      <c r="W1770" s="13"/>
    </row>
    <row r="1771" spans="1:23" x14ac:dyDescent="0.2">
      <c r="A1771"/>
      <c r="B1771"/>
      <c r="C1771"/>
      <c r="D1771"/>
      <c r="E1771"/>
      <c r="F1771"/>
      <c r="G1771"/>
      <c r="H1771"/>
      <c r="I1771"/>
      <c r="J1771"/>
      <c r="K1771" s="13" t="s">
        <v>158</v>
      </c>
      <c r="L1771" s="13" t="s">
        <v>623</v>
      </c>
      <c r="M1771" s="13" t="s">
        <v>530</v>
      </c>
      <c r="N1771" s="15">
        <v>0</v>
      </c>
      <c r="O1771" s="16">
        <v>298.29244227803849</v>
      </c>
      <c r="P1771" s="17">
        <v>0</v>
      </c>
      <c r="Q1771" s="17">
        <v>0</v>
      </c>
      <c r="R1771" s="13"/>
      <c r="S1771" s="13"/>
      <c r="T1771" s="13"/>
      <c r="U1771" s="13"/>
      <c r="V1771" s="13"/>
      <c r="W1771" s="13"/>
    </row>
    <row r="1772" spans="1:23" x14ac:dyDescent="0.2">
      <c r="A1772"/>
      <c r="B1772"/>
      <c r="C1772"/>
      <c r="D1772"/>
      <c r="E1772"/>
      <c r="F1772"/>
      <c r="G1772"/>
      <c r="H1772"/>
      <c r="I1772"/>
      <c r="J1772"/>
      <c r="K1772" s="13" t="s">
        <v>158</v>
      </c>
      <c r="L1772" s="13" t="s">
        <v>608</v>
      </c>
      <c r="M1772" s="13" t="s">
        <v>432</v>
      </c>
      <c r="N1772" s="15">
        <v>16</v>
      </c>
      <c r="O1772" s="16">
        <v>0</v>
      </c>
      <c r="P1772" s="17">
        <v>0</v>
      </c>
      <c r="Q1772" s="17">
        <v>0</v>
      </c>
      <c r="R1772" s="13"/>
      <c r="S1772" s="13"/>
      <c r="T1772" s="13"/>
      <c r="U1772" s="13"/>
      <c r="V1772" s="13"/>
      <c r="W1772" s="13"/>
    </row>
    <row r="1773" spans="1:23" x14ac:dyDescent="0.2">
      <c r="A1773"/>
      <c r="B1773"/>
      <c r="C1773"/>
      <c r="D1773"/>
      <c r="E1773"/>
      <c r="F1773"/>
      <c r="G1773"/>
      <c r="H1773"/>
      <c r="I1773"/>
      <c r="J1773"/>
      <c r="K1773" s="13" t="s">
        <v>158</v>
      </c>
      <c r="L1773" s="13" t="s">
        <v>615</v>
      </c>
      <c r="M1773" s="13" t="s">
        <v>449</v>
      </c>
      <c r="N1773" s="15">
        <v>1</v>
      </c>
      <c r="O1773" s="16">
        <v>0</v>
      </c>
      <c r="P1773" s="17">
        <v>0</v>
      </c>
      <c r="Q1773" s="17">
        <v>0</v>
      </c>
      <c r="R1773" s="13"/>
      <c r="S1773" s="13"/>
      <c r="T1773" s="13"/>
      <c r="U1773" s="13"/>
      <c r="V1773" s="13"/>
      <c r="W1773" s="13"/>
    </row>
    <row r="1774" spans="1:23" x14ac:dyDescent="0.2">
      <c r="A1774"/>
      <c r="B1774"/>
      <c r="C1774"/>
      <c r="D1774"/>
      <c r="E1774"/>
      <c r="F1774"/>
      <c r="G1774"/>
      <c r="H1774"/>
      <c r="I1774"/>
      <c r="J1774"/>
      <c r="K1774" s="13" t="s">
        <v>158</v>
      </c>
      <c r="L1774" s="13" t="s">
        <v>415</v>
      </c>
      <c r="M1774" s="13" t="s">
        <v>412</v>
      </c>
      <c r="N1774" s="15">
        <v>0</v>
      </c>
      <c r="O1774" s="16">
        <v>0</v>
      </c>
      <c r="P1774" s="17">
        <v>9.3798000011591256</v>
      </c>
      <c r="Q1774" s="17">
        <v>0</v>
      </c>
      <c r="R1774" s="13"/>
      <c r="S1774" s="13"/>
      <c r="T1774" s="13"/>
      <c r="U1774" s="13"/>
      <c r="V1774" s="13"/>
      <c r="W1774" s="13"/>
    </row>
    <row r="1775" spans="1:23" x14ac:dyDescent="0.2">
      <c r="A1775"/>
      <c r="B1775"/>
      <c r="C1775"/>
      <c r="D1775"/>
      <c r="E1775"/>
      <c r="F1775"/>
      <c r="G1775"/>
      <c r="H1775"/>
      <c r="I1775"/>
      <c r="J1775"/>
      <c r="K1775" s="13" t="s">
        <v>158</v>
      </c>
      <c r="L1775" s="13" t="s">
        <v>421</v>
      </c>
      <c r="M1775" s="13" t="s">
        <v>443</v>
      </c>
      <c r="N1775" s="15">
        <v>1</v>
      </c>
      <c r="O1775" s="16">
        <v>0</v>
      </c>
      <c r="P1775" s="17">
        <v>0</v>
      </c>
      <c r="Q1775" s="17">
        <v>0</v>
      </c>
      <c r="R1775" s="13"/>
      <c r="S1775" s="13"/>
      <c r="T1775" s="13"/>
      <c r="U1775" s="13"/>
      <c r="V1775" s="13"/>
      <c r="W1775" s="13"/>
    </row>
    <row r="1776" spans="1:23" x14ac:dyDescent="0.2">
      <c r="A1776"/>
      <c r="B1776"/>
      <c r="C1776"/>
      <c r="D1776"/>
      <c r="E1776"/>
      <c r="F1776"/>
      <c r="G1776"/>
      <c r="H1776"/>
      <c r="I1776"/>
      <c r="J1776"/>
      <c r="K1776" s="13" t="s">
        <v>158</v>
      </c>
      <c r="L1776" s="13" t="s">
        <v>383</v>
      </c>
      <c r="M1776" s="13" t="s">
        <v>420</v>
      </c>
      <c r="N1776" s="15">
        <v>5</v>
      </c>
      <c r="O1776" s="16">
        <v>0</v>
      </c>
      <c r="P1776" s="17">
        <v>0</v>
      </c>
      <c r="Q1776" s="17">
        <v>0</v>
      </c>
      <c r="R1776" s="13"/>
      <c r="S1776" s="13"/>
      <c r="T1776" s="13"/>
      <c r="U1776" s="13"/>
      <c r="V1776" s="13"/>
      <c r="W1776" s="13"/>
    </row>
    <row r="1777" spans="1:23" x14ac:dyDescent="0.2">
      <c r="A1777"/>
      <c r="B1777"/>
      <c r="C1777"/>
      <c r="D1777"/>
      <c r="E1777"/>
      <c r="F1777"/>
      <c r="G1777"/>
      <c r="H1777"/>
      <c r="I1777"/>
      <c r="J1777"/>
      <c r="K1777" s="13" t="s">
        <v>158</v>
      </c>
      <c r="L1777" s="13" t="s">
        <v>528</v>
      </c>
      <c r="M1777" s="13" t="s">
        <v>384</v>
      </c>
      <c r="N1777" s="15">
        <v>0</v>
      </c>
      <c r="O1777" s="16">
        <v>353.60850937406428</v>
      </c>
      <c r="P1777" s="17">
        <v>0</v>
      </c>
      <c r="Q1777" s="17">
        <v>0</v>
      </c>
      <c r="R1777" s="13"/>
      <c r="S1777" s="13"/>
      <c r="T1777" s="13"/>
      <c r="U1777" s="13"/>
      <c r="V1777" s="13"/>
      <c r="W1777" s="13"/>
    </row>
    <row r="1778" spans="1:23" x14ac:dyDescent="0.2">
      <c r="A1778"/>
      <c r="B1778"/>
      <c r="C1778"/>
      <c r="D1778"/>
      <c r="E1778"/>
      <c r="F1778"/>
      <c r="G1778"/>
      <c r="H1778"/>
      <c r="I1778"/>
      <c r="J1778"/>
      <c r="K1778" s="13" t="s">
        <v>158</v>
      </c>
      <c r="L1778" s="13" t="s">
        <v>446</v>
      </c>
      <c r="M1778" s="13" t="s">
        <v>371</v>
      </c>
      <c r="N1778" s="15">
        <v>1</v>
      </c>
      <c r="O1778" s="16">
        <v>0</v>
      </c>
      <c r="P1778" s="17">
        <v>0</v>
      </c>
      <c r="Q1778" s="17">
        <v>0</v>
      </c>
      <c r="R1778" s="13"/>
      <c r="S1778" s="13"/>
      <c r="T1778" s="13"/>
      <c r="U1778" s="13"/>
      <c r="V1778" s="13"/>
      <c r="W1778" s="13"/>
    </row>
    <row r="1779" spans="1:23" x14ac:dyDescent="0.2">
      <c r="A1779"/>
      <c r="B1779"/>
      <c r="C1779"/>
      <c r="D1779"/>
      <c r="E1779"/>
      <c r="F1779"/>
      <c r="G1779"/>
      <c r="H1779"/>
      <c r="I1779"/>
      <c r="J1779"/>
      <c r="K1779" s="13" t="s">
        <v>158</v>
      </c>
      <c r="L1779" s="13" t="s">
        <v>614</v>
      </c>
      <c r="M1779" s="13" t="s">
        <v>447</v>
      </c>
      <c r="N1779" s="15">
        <v>2</v>
      </c>
      <c r="O1779" s="16">
        <v>0</v>
      </c>
      <c r="P1779" s="17">
        <v>0</v>
      </c>
      <c r="Q1779" s="17">
        <v>0</v>
      </c>
      <c r="R1779" s="13"/>
      <c r="S1779" s="13"/>
      <c r="T1779" s="13"/>
      <c r="U1779" s="13"/>
      <c r="V1779" s="13"/>
      <c r="W1779" s="13"/>
    </row>
    <row r="1780" spans="1:23" x14ac:dyDescent="0.2">
      <c r="A1780"/>
      <c r="B1780"/>
      <c r="C1780"/>
      <c r="D1780"/>
      <c r="E1780"/>
      <c r="F1780"/>
      <c r="G1780"/>
      <c r="H1780"/>
      <c r="I1780"/>
      <c r="J1780"/>
      <c r="K1780" s="13" t="s">
        <v>158</v>
      </c>
      <c r="L1780" s="13" t="s">
        <v>612</v>
      </c>
      <c r="M1780" s="13" t="s">
        <v>425</v>
      </c>
      <c r="N1780" s="15">
        <v>6</v>
      </c>
      <c r="O1780" s="16">
        <v>0</v>
      </c>
      <c r="P1780" s="17">
        <v>0</v>
      </c>
      <c r="Q1780" s="17">
        <v>0</v>
      </c>
      <c r="R1780" s="13"/>
      <c r="S1780" s="13"/>
      <c r="T1780" s="13"/>
      <c r="U1780" s="13"/>
      <c r="V1780" s="13"/>
      <c r="W1780" s="13"/>
    </row>
    <row r="1781" spans="1:23" x14ac:dyDescent="0.2">
      <c r="A1781"/>
      <c r="B1781"/>
      <c r="C1781"/>
      <c r="D1781"/>
      <c r="E1781"/>
      <c r="F1781"/>
      <c r="G1781"/>
      <c r="H1781"/>
      <c r="I1781"/>
      <c r="J1781"/>
      <c r="K1781" s="13" t="s">
        <v>158</v>
      </c>
      <c r="L1781" s="13" t="s">
        <v>469</v>
      </c>
      <c r="M1781" s="13" t="s">
        <v>426</v>
      </c>
      <c r="N1781" s="15">
        <v>6</v>
      </c>
      <c r="O1781" s="16">
        <v>0</v>
      </c>
      <c r="P1781" s="17">
        <v>0</v>
      </c>
      <c r="Q1781" s="17">
        <v>0</v>
      </c>
      <c r="R1781" s="13"/>
      <c r="S1781" s="13"/>
      <c r="T1781" s="13"/>
      <c r="U1781" s="13"/>
      <c r="V1781" s="13"/>
      <c r="W1781" s="13"/>
    </row>
    <row r="1782" spans="1:23" x14ac:dyDescent="0.2">
      <c r="A1782"/>
      <c r="B1782"/>
      <c r="C1782"/>
      <c r="D1782"/>
      <c r="E1782"/>
      <c r="F1782"/>
      <c r="G1782"/>
      <c r="H1782"/>
      <c r="I1782"/>
      <c r="J1782"/>
      <c r="K1782" s="13" t="s">
        <v>160</v>
      </c>
      <c r="L1782" s="13" t="s">
        <v>436</v>
      </c>
      <c r="M1782" s="13" t="s">
        <v>487</v>
      </c>
      <c r="N1782" s="15">
        <v>0</v>
      </c>
      <c r="O1782" s="16">
        <v>0</v>
      </c>
      <c r="P1782" s="17">
        <v>36.963049998168067</v>
      </c>
      <c r="Q1782" s="17">
        <v>0</v>
      </c>
      <c r="R1782" s="13"/>
      <c r="S1782" s="13"/>
      <c r="T1782" s="13"/>
      <c r="U1782" s="13"/>
      <c r="V1782" s="13"/>
      <c r="W1782" s="13"/>
    </row>
    <row r="1783" spans="1:23" x14ac:dyDescent="0.2">
      <c r="A1783"/>
      <c r="B1783"/>
      <c r="C1783"/>
      <c r="D1783"/>
      <c r="E1783"/>
      <c r="F1783"/>
      <c r="G1783"/>
      <c r="H1783"/>
      <c r="I1783"/>
      <c r="J1783"/>
      <c r="K1783" s="13" t="s">
        <v>160</v>
      </c>
      <c r="L1783" s="13" t="s">
        <v>621</v>
      </c>
      <c r="M1783" s="13" t="s">
        <v>520</v>
      </c>
      <c r="N1783" s="15">
        <v>0</v>
      </c>
      <c r="O1783" s="16">
        <v>0</v>
      </c>
      <c r="P1783" s="17">
        <v>703.10179997338344</v>
      </c>
      <c r="Q1783" s="17">
        <v>0</v>
      </c>
      <c r="R1783" s="13"/>
      <c r="S1783" s="13"/>
      <c r="T1783" s="13"/>
      <c r="U1783" s="13"/>
      <c r="V1783" s="13"/>
      <c r="W1783" s="13"/>
    </row>
    <row r="1784" spans="1:23" x14ac:dyDescent="0.2">
      <c r="A1784"/>
      <c r="B1784"/>
      <c r="C1784"/>
      <c r="D1784"/>
      <c r="E1784"/>
      <c r="F1784"/>
      <c r="G1784"/>
      <c r="H1784"/>
      <c r="I1784"/>
      <c r="J1784"/>
      <c r="K1784" s="13" t="s">
        <v>160</v>
      </c>
      <c r="L1784" s="13" t="s">
        <v>401</v>
      </c>
      <c r="M1784" s="13" t="s">
        <v>360</v>
      </c>
      <c r="N1784" s="15">
        <v>0</v>
      </c>
      <c r="O1784" s="16">
        <v>0</v>
      </c>
      <c r="P1784" s="17">
        <v>391.75509992854404</v>
      </c>
      <c r="Q1784" s="17">
        <v>0</v>
      </c>
      <c r="R1784" s="13"/>
      <c r="S1784" s="13"/>
      <c r="T1784" s="13"/>
      <c r="U1784" s="13"/>
      <c r="V1784" s="13"/>
      <c r="W1784" s="13"/>
    </row>
    <row r="1785" spans="1:23" x14ac:dyDescent="0.2">
      <c r="A1785"/>
      <c r="B1785"/>
      <c r="C1785"/>
      <c r="D1785"/>
      <c r="E1785"/>
      <c r="F1785"/>
      <c r="G1785"/>
      <c r="H1785"/>
      <c r="I1785"/>
      <c r="J1785"/>
      <c r="K1785" s="13" t="s">
        <v>160</v>
      </c>
      <c r="L1785" s="13" t="s">
        <v>402</v>
      </c>
      <c r="M1785" s="13" t="s">
        <v>403</v>
      </c>
      <c r="N1785" s="15">
        <v>0</v>
      </c>
      <c r="O1785" s="16">
        <v>0</v>
      </c>
      <c r="P1785" s="17">
        <v>591.18704999170393</v>
      </c>
      <c r="Q1785" s="17">
        <v>0</v>
      </c>
      <c r="R1785" s="13"/>
      <c r="S1785" s="13"/>
      <c r="T1785" s="13"/>
      <c r="U1785" s="13"/>
      <c r="V1785" s="13"/>
      <c r="W1785" s="13"/>
    </row>
    <row r="1786" spans="1:23" x14ac:dyDescent="0.2">
      <c r="A1786"/>
      <c r="B1786"/>
      <c r="C1786"/>
      <c r="D1786"/>
      <c r="E1786"/>
      <c r="F1786"/>
      <c r="G1786"/>
      <c r="H1786"/>
      <c r="I1786"/>
      <c r="J1786"/>
      <c r="K1786" s="13" t="s">
        <v>160</v>
      </c>
      <c r="L1786" s="13" t="s">
        <v>525</v>
      </c>
      <c r="M1786" s="13" t="s">
        <v>526</v>
      </c>
      <c r="N1786" s="15">
        <v>0</v>
      </c>
      <c r="O1786" s="16">
        <v>0</v>
      </c>
      <c r="P1786" s="17">
        <v>14069.970449807566</v>
      </c>
      <c r="Q1786" s="17">
        <v>0</v>
      </c>
      <c r="R1786" s="13"/>
      <c r="S1786" s="13"/>
      <c r="T1786" s="13"/>
      <c r="U1786" s="13"/>
      <c r="V1786" s="13"/>
      <c r="W1786" s="13"/>
    </row>
    <row r="1787" spans="1:23" x14ac:dyDescent="0.2">
      <c r="A1787"/>
      <c r="B1787"/>
      <c r="C1787"/>
      <c r="D1787"/>
      <c r="E1787"/>
      <c r="F1787"/>
      <c r="G1787"/>
      <c r="H1787"/>
      <c r="I1787"/>
      <c r="J1787"/>
      <c r="K1787" s="13" t="s">
        <v>160</v>
      </c>
      <c r="L1787" s="13" t="s">
        <v>528</v>
      </c>
      <c r="M1787" s="13" t="s">
        <v>384</v>
      </c>
      <c r="N1787" s="15">
        <v>0</v>
      </c>
      <c r="O1787" s="16">
        <v>359.97978076208074</v>
      </c>
      <c r="P1787" s="17">
        <v>0</v>
      </c>
      <c r="Q1787" s="17">
        <v>0</v>
      </c>
      <c r="R1787" s="13"/>
      <c r="S1787" s="13"/>
      <c r="T1787" s="13"/>
      <c r="U1787" s="13"/>
      <c r="V1787" s="13"/>
      <c r="W1787" s="13"/>
    </row>
    <row r="1788" spans="1:23" x14ac:dyDescent="0.2">
      <c r="A1788"/>
      <c r="B1788"/>
      <c r="C1788"/>
      <c r="D1788"/>
      <c r="E1788"/>
      <c r="F1788"/>
      <c r="G1788"/>
      <c r="H1788"/>
      <c r="I1788"/>
      <c r="J1788"/>
      <c r="K1788" s="13" t="s">
        <v>162</v>
      </c>
      <c r="L1788" s="13" t="s">
        <v>435</v>
      </c>
      <c r="M1788" s="13" t="s">
        <v>364</v>
      </c>
      <c r="N1788" s="15">
        <v>1</v>
      </c>
      <c r="O1788" s="16">
        <v>0</v>
      </c>
      <c r="P1788" s="17">
        <v>0</v>
      </c>
      <c r="Q1788" s="17">
        <v>0</v>
      </c>
      <c r="R1788" s="13"/>
      <c r="S1788" s="13"/>
      <c r="T1788" s="13"/>
      <c r="U1788" s="13"/>
      <c r="V1788" s="13"/>
      <c r="W1788" s="13"/>
    </row>
    <row r="1789" spans="1:23" x14ac:dyDescent="0.2">
      <c r="A1789"/>
      <c r="B1789"/>
      <c r="C1789"/>
      <c r="D1789"/>
      <c r="E1789"/>
      <c r="F1789"/>
      <c r="G1789"/>
      <c r="H1789"/>
      <c r="I1789"/>
      <c r="J1789"/>
      <c r="K1789" s="13" t="s">
        <v>162</v>
      </c>
      <c r="L1789" s="13" t="s">
        <v>387</v>
      </c>
      <c r="M1789" s="13" t="s">
        <v>386</v>
      </c>
      <c r="N1789" s="15">
        <v>0</v>
      </c>
      <c r="O1789" s="16">
        <v>0</v>
      </c>
      <c r="P1789" s="17">
        <v>619.72794998761185</v>
      </c>
      <c r="Q1789" s="17">
        <v>0</v>
      </c>
      <c r="R1789" s="13"/>
      <c r="S1789" s="13"/>
      <c r="T1789" s="13"/>
      <c r="U1789" s="13"/>
      <c r="V1789" s="13"/>
      <c r="W1789" s="13"/>
    </row>
    <row r="1790" spans="1:23" x14ac:dyDescent="0.2">
      <c r="A1790"/>
      <c r="B1790"/>
      <c r="C1790"/>
      <c r="D1790"/>
      <c r="E1790"/>
      <c r="F1790"/>
      <c r="G1790"/>
      <c r="H1790"/>
      <c r="I1790"/>
      <c r="J1790"/>
      <c r="K1790" s="13" t="s">
        <v>162</v>
      </c>
      <c r="L1790" s="13" t="s">
        <v>389</v>
      </c>
      <c r="M1790" s="13" t="s">
        <v>388</v>
      </c>
      <c r="N1790" s="15">
        <v>0</v>
      </c>
      <c r="O1790" s="16">
        <v>0</v>
      </c>
      <c r="P1790" s="17">
        <v>419.62890001233734</v>
      </c>
      <c r="Q1790" s="17">
        <v>0</v>
      </c>
      <c r="R1790" s="13"/>
      <c r="S1790" s="13"/>
      <c r="T1790" s="13"/>
      <c r="U1790" s="13"/>
      <c r="V1790" s="13"/>
      <c r="W1790" s="13"/>
    </row>
    <row r="1791" spans="1:23" x14ac:dyDescent="0.2">
      <c r="A1791"/>
      <c r="B1791"/>
      <c r="C1791"/>
      <c r="D1791"/>
      <c r="E1791"/>
      <c r="F1791"/>
      <c r="G1791"/>
      <c r="H1791"/>
      <c r="I1791"/>
      <c r="J1791"/>
      <c r="K1791" s="13" t="s">
        <v>162</v>
      </c>
      <c r="L1791" s="13" t="s">
        <v>436</v>
      </c>
      <c r="M1791" s="13" t="s">
        <v>487</v>
      </c>
      <c r="N1791" s="15">
        <v>0</v>
      </c>
      <c r="O1791" s="16">
        <v>0</v>
      </c>
      <c r="P1791" s="17">
        <v>38.30524998915871</v>
      </c>
      <c r="Q1791" s="17">
        <v>0</v>
      </c>
      <c r="R1791" s="13"/>
      <c r="S1791" s="13"/>
      <c r="T1791" s="13"/>
      <c r="U1791" s="13"/>
      <c r="V1791" s="13"/>
      <c r="W1791" s="13"/>
    </row>
    <row r="1792" spans="1:23" x14ac:dyDescent="0.2">
      <c r="A1792"/>
      <c r="B1792"/>
      <c r="C1792"/>
      <c r="D1792"/>
      <c r="E1792"/>
      <c r="F1792"/>
      <c r="G1792"/>
      <c r="H1792"/>
      <c r="I1792"/>
      <c r="J1792"/>
      <c r="K1792" s="13" t="s">
        <v>162</v>
      </c>
      <c r="L1792" s="13" t="s">
        <v>438</v>
      </c>
      <c r="M1792" s="13" t="s">
        <v>461</v>
      </c>
      <c r="N1792" s="15">
        <v>0</v>
      </c>
      <c r="O1792" s="16">
        <v>0</v>
      </c>
      <c r="P1792" s="17">
        <v>19.582300000625942</v>
      </c>
      <c r="Q1792" s="17">
        <v>0</v>
      </c>
      <c r="R1792" s="13"/>
      <c r="S1792" s="13"/>
      <c r="T1792" s="13"/>
      <c r="U1792" s="13"/>
      <c r="V1792" s="13"/>
      <c r="W1792" s="13"/>
    </row>
    <row r="1793" spans="1:23" x14ac:dyDescent="0.2">
      <c r="A1793"/>
      <c r="B1793"/>
      <c r="C1793"/>
      <c r="D1793"/>
      <c r="E1793"/>
      <c r="F1793"/>
      <c r="G1793"/>
      <c r="H1793"/>
      <c r="I1793"/>
      <c r="J1793"/>
      <c r="K1793" s="13" t="s">
        <v>162</v>
      </c>
      <c r="L1793" s="13" t="s">
        <v>486</v>
      </c>
      <c r="M1793" s="13" t="s">
        <v>439</v>
      </c>
      <c r="N1793" s="15">
        <v>0</v>
      </c>
      <c r="O1793" s="16">
        <v>0</v>
      </c>
      <c r="P1793" s="17">
        <v>2.4302999997386241</v>
      </c>
      <c r="Q1793" s="17">
        <v>0</v>
      </c>
      <c r="R1793" s="13"/>
      <c r="S1793" s="13"/>
      <c r="T1793" s="13"/>
      <c r="U1793" s="13"/>
      <c r="V1793" s="13"/>
      <c r="W1793" s="13"/>
    </row>
    <row r="1794" spans="1:23" x14ac:dyDescent="0.2">
      <c r="A1794"/>
      <c r="B1794"/>
      <c r="C1794"/>
      <c r="D1794"/>
      <c r="E1794"/>
      <c r="F1794"/>
      <c r="G1794"/>
      <c r="H1794"/>
      <c r="I1794"/>
      <c r="J1794"/>
      <c r="K1794" s="13" t="s">
        <v>162</v>
      </c>
      <c r="L1794" s="13" t="s">
        <v>440</v>
      </c>
      <c r="M1794" s="13" t="s">
        <v>441</v>
      </c>
      <c r="N1794" s="15">
        <v>1</v>
      </c>
      <c r="O1794" s="16">
        <v>0</v>
      </c>
      <c r="P1794" s="17">
        <v>0</v>
      </c>
      <c r="Q1794" s="17">
        <v>0</v>
      </c>
      <c r="R1794" s="13"/>
      <c r="S1794" s="13"/>
      <c r="T1794" s="13"/>
      <c r="U1794" s="13"/>
      <c r="V1794" s="13"/>
      <c r="W1794" s="13"/>
    </row>
    <row r="1795" spans="1:23" x14ac:dyDescent="0.2">
      <c r="A1795"/>
      <c r="B1795"/>
      <c r="C1795"/>
      <c r="D1795"/>
      <c r="E1795"/>
      <c r="F1795"/>
      <c r="G1795"/>
      <c r="H1795"/>
      <c r="I1795"/>
      <c r="J1795"/>
      <c r="K1795" s="13" t="s">
        <v>162</v>
      </c>
      <c r="L1795" s="13" t="s">
        <v>399</v>
      </c>
      <c r="M1795" s="13" t="s">
        <v>400</v>
      </c>
      <c r="N1795" s="15">
        <v>0</v>
      </c>
      <c r="O1795" s="16">
        <v>0</v>
      </c>
      <c r="P1795" s="17">
        <v>3.6264499982151435</v>
      </c>
      <c r="Q1795" s="17">
        <v>0</v>
      </c>
      <c r="R1795" s="13"/>
      <c r="S1795" s="13"/>
      <c r="T1795" s="13"/>
      <c r="U1795" s="13"/>
      <c r="V1795" s="13"/>
      <c r="W1795" s="13"/>
    </row>
    <row r="1796" spans="1:23" x14ac:dyDescent="0.2">
      <c r="A1796"/>
      <c r="B1796"/>
      <c r="C1796"/>
      <c r="D1796"/>
      <c r="E1796"/>
      <c r="F1796"/>
      <c r="G1796"/>
      <c r="H1796"/>
      <c r="I1796"/>
      <c r="J1796"/>
      <c r="K1796" s="13" t="s">
        <v>162</v>
      </c>
      <c r="L1796" s="13" t="s">
        <v>402</v>
      </c>
      <c r="M1796" s="13" t="s">
        <v>403</v>
      </c>
      <c r="N1796" s="15">
        <v>0</v>
      </c>
      <c r="O1796" s="16">
        <v>0</v>
      </c>
      <c r="P1796" s="17">
        <v>1128.2225500209429</v>
      </c>
      <c r="Q1796" s="17">
        <v>0</v>
      </c>
      <c r="R1796" s="13"/>
      <c r="S1796" s="13"/>
      <c r="T1796" s="13"/>
      <c r="U1796" s="13"/>
      <c r="V1796" s="13"/>
      <c r="W1796" s="13"/>
    </row>
    <row r="1797" spans="1:23" x14ac:dyDescent="0.2">
      <c r="A1797"/>
      <c r="B1797"/>
      <c r="C1797"/>
      <c r="D1797"/>
      <c r="E1797"/>
      <c r="F1797"/>
      <c r="G1797"/>
      <c r="H1797"/>
      <c r="I1797"/>
      <c r="J1797"/>
      <c r="K1797" s="13" t="s">
        <v>162</v>
      </c>
      <c r="L1797" s="13" t="s">
        <v>404</v>
      </c>
      <c r="M1797" s="13" t="s">
        <v>405</v>
      </c>
      <c r="N1797" s="15">
        <v>0</v>
      </c>
      <c r="O1797" s="16">
        <v>0</v>
      </c>
      <c r="P1797" s="17">
        <v>124.48890000337869</v>
      </c>
      <c r="Q1797" s="17">
        <v>385.79312389741335</v>
      </c>
      <c r="R1797" s="13"/>
      <c r="S1797" s="13"/>
      <c r="T1797" s="13"/>
      <c r="U1797" s="13"/>
      <c r="V1797" s="13"/>
      <c r="W1797" s="13"/>
    </row>
    <row r="1798" spans="1:23" x14ac:dyDescent="0.2">
      <c r="A1798"/>
      <c r="B1798"/>
      <c r="C1798"/>
      <c r="D1798"/>
      <c r="E1798"/>
      <c r="F1798"/>
      <c r="G1798"/>
      <c r="H1798"/>
      <c r="I1798"/>
      <c r="J1798"/>
      <c r="K1798" s="13" t="s">
        <v>162</v>
      </c>
      <c r="L1798" s="13" t="s">
        <v>381</v>
      </c>
      <c r="M1798" s="13" t="s">
        <v>382</v>
      </c>
      <c r="N1798" s="15">
        <v>24</v>
      </c>
      <c r="O1798" s="16">
        <v>0</v>
      </c>
      <c r="P1798" s="17">
        <v>0</v>
      </c>
      <c r="Q1798" s="17">
        <v>0</v>
      </c>
      <c r="R1798" s="13"/>
      <c r="S1798" s="13"/>
      <c r="T1798" s="13"/>
      <c r="U1798" s="13"/>
      <c r="V1798" s="13"/>
      <c r="W1798" s="13"/>
    </row>
    <row r="1799" spans="1:23" x14ac:dyDescent="0.2">
      <c r="A1799"/>
      <c r="B1799"/>
      <c r="C1799"/>
      <c r="D1799"/>
      <c r="E1799"/>
      <c r="F1799"/>
      <c r="G1799"/>
      <c r="H1799"/>
      <c r="I1799"/>
      <c r="J1799"/>
      <c r="K1799" s="13" t="s">
        <v>162</v>
      </c>
      <c r="L1799" s="13" t="s">
        <v>411</v>
      </c>
      <c r="M1799" s="13" t="s">
        <v>362</v>
      </c>
      <c r="N1799" s="15">
        <v>0</v>
      </c>
      <c r="O1799" s="16">
        <v>6.0926923439374159</v>
      </c>
      <c r="P1799" s="17">
        <v>0</v>
      </c>
      <c r="Q1799" s="17">
        <v>0</v>
      </c>
      <c r="R1799" s="13"/>
      <c r="S1799" s="13"/>
      <c r="T1799" s="13"/>
      <c r="U1799" s="13"/>
      <c r="V1799" s="13"/>
      <c r="W1799" s="13"/>
    </row>
    <row r="1800" spans="1:23" x14ac:dyDescent="0.2">
      <c r="A1800"/>
      <c r="B1800"/>
      <c r="C1800"/>
      <c r="D1800"/>
      <c r="E1800"/>
      <c r="F1800"/>
      <c r="G1800"/>
      <c r="H1800"/>
      <c r="I1800"/>
      <c r="J1800"/>
      <c r="K1800" s="13" t="s">
        <v>162</v>
      </c>
      <c r="L1800" s="13" t="s">
        <v>413</v>
      </c>
      <c r="M1800" s="13" t="s">
        <v>428</v>
      </c>
      <c r="N1800" s="15">
        <v>2</v>
      </c>
      <c r="O1800" s="16">
        <v>0</v>
      </c>
      <c r="P1800" s="17">
        <v>0</v>
      </c>
      <c r="Q1800" s="17">
        <v>0</v>
      </c>
      <c r="R1800" s="13"/>
      <c r="S1800" s="13"/>
      <c r="T1800" s="13"/>
      <c r="U1800" s="13"/>
      <c r="V1800" s="13"/>
      <c r="W1800" s="13"/>
    </row>
    <row r="1801" spans="1:23" x14ac:dyDescent="0.2">
      <c r="A1801"/>
      <c r="B1801"/>
      <c r="C1801"/>
      <c r="D1801"/>
      <c r="E1801"/>
      <c r="F1801"/>
      <c r="G1801"/>
      <c r="H1801"/>
      <c r="I1801"/>
      <c r="J1801"/>
      <c r="K1801" s="13" t="s">
        <v>162</v>
      </c>
      <c r="L1801" s="13" t="s">
        <v>475</v>
      </c>
      <c r="M1801" s="13" t="s">
        <v>470</v>
      </c>
      <c r="N1801" s="15">
        <v>1</v>
      </c>
      <c r="O1801" s="16">
        <v>0</v>
      </c>
      <c r="P1801" s="17">
        <v>0</v>
      </c>
      <c r="Q1801" s="17">
        <v>0</v>
      </c>
      <c r="R1801" s="13"/>
      <c r="S1801" s="13"/>
      <c r="T1801" s="13"/>
      <c r="U1801" s="13"/>
      <c r="V1801" s="13"/>
      <c r="W1801" s="13"/>
    </row>
    <row r="1802" spans="1:23" x14ac:dyDescent="0.2">
      <c r="A1802"/>
      <c r="B1802"/>
      <c r="C1802"/>
      <c r="D1802"/>
      <c r="E1802"/>
      <c r="F1802"/>
      <c r="G1802"/>
      <c r="H1802"/>
      <c r="I1802"/>
      <c r="J1802"/>
      <c r="K1802" s="13" t="s">
        <v>162</v>
      </c>
      <c r="L1802" s="13" t="s">
        <v>605</v>
      </c>
      <c r="M1802" s="13" t="s">
        <v>429</v>
      </c>
      <c r="N1802" s="15">
        <v>0</v>
      </c>
      <c r="O1802" s="16">
        <v>7.0784711519246031</v>
      </c>
      <c r="P1802" s="17">
        <v>0</v>
      </c>
      <c r="Q1802" s="17">
        <v>0</v>
      </c>
      <c r="R1802" s="13"/>
      <c r="S1802" s="13"/>
      <c r="T1802" s="13"/>
      <c r="U1802" s="13"/>
      <c r="V1802" s="13"/>
      <c r="W1802" s="13"/>
    </row>
    <row r="1803" spans="1:23" x14ac:dyDescent="0.2">
      <c r="A1803"/>
      <c r="B1803"/>
      <c r="C1803"/>
      <c r="D1803"/>
      <c r="E1803"/>
      <c r="F1803"/>
      <c r="G1803"/>
      <c r="H1803"/>
      <c r="I1803"/>
      <c r="J1803"/>
      <c r="K1803" s="13" t="s">
        <v>162</v>
      </c>
      <c r="L1803" s="13" t="s">
        <v>606</v>
      </c>
      <c r="M1803" s="13" t="s">
        <v>430</v>
      </c>
      <c r="N1803" s="15">
        <v>4</v>
      </c>
      <c r="O1803" s="16">
        <v>0</v>
      </c>
      <c r="P1803" s="17">
        <v>0</v>
      </c>
      <c r="Q1803" s="17">
        <v>0</v>
      </c>
      <c r="R1803" s="13"/>
      <c r="S1803" s="13"/>
      <c r="T1803" s="13"/>
      <c r="U1803" s="13"/>
      <c r="V1803" s="13"/>
      <c r="W1803" s="13"/>
    </row>
    <row r="1804" spans="1:23" x14ac:dyDescent="0.2">
      <c r="A1804"/>
      <c r="B1804"/>
      <c r="C1804"/>
      <c r="D1804"/>
      <c r="E1804"/>
      <c r="F1804"/>
      <c r="G1804"/>
      <c r="H1804"/>
      <c r="I1804"/>
      <c r="J1804"/>
      <c r="K1804" s="13" t="s">
        <v>162</v>
      </c>
      <c r="L1804" s="13" t="s">
        <v>623</v>
      </c>
      <c r="M1804" s="13" t="s">
        <v>530</v>
      </c>
      <c r="N1804" s="15">
        <v>0</v>
      </c>
      <c r="O1804" s="16">
        <v>53.357039837131062</v>
      </c>
      <c r="P1804" s="17">
        <v>0</v>
      </c>
      <c r="Q1804" s="17">
        <v>0</v>
      </c>
      <c r="R1804" s="13"/>
      <c r="S1804" s="13"/>
      <c r="T1804" s="13"/>
      <c r="U1804" s="13"/>
      <c r="V1804" s="13"/>
      <c r="W1804" s="13"/>
    </row>
    <row r="1805" spans="1:23" x14ac:dyDescent="0.2">
      <c r="A1805"/>
      <c r="B1805"/>
      <c r="C1805"/>
      <c r="D1805"/>
      <c r="E1805"/>
      <c r="F1805"/>
      <c r="G1805"/>
      <c r="H1805"/>
      <c r="I1805"/>
      <c r="J1805"/>
      <c r="K1805" s="13" t="s">
        <v>162</v>
      </c>
      <c r="L1805" s="13" t="s">
        <v>608</v>
      </c>
      <c r="M1805" s="13" t="s">
        <v>432</v>
      </c>
      <c r="N1805" s="15">
        <v>1</v>
      </c>
      <c r="O1805" s="16">
        <v>0</v>
      </c>
      <c r="P1805" s="17">
        <v>0</v>
      </c>
      <c r="Q1805" s="17">
        <v>0</v>
      </c>
      <c r="R1805" s="13"/>
      <c r="S1805" s="13"/>
      <c r="T1805" s="13"/>
      <c r="U1805" s="13"/>
      <c r="V1805" s="13"/>
      <c r="W1805" s="13"/>
    </row>
    <row r="1806" spans="1:23" x14ac:dyDescent="0.2">
      <c r="A1806"/>
      <c r="B1806"/>
      <c r="C1806"/>
      <c r="D1806"/>
      <c r="E1806"/>
      <c r="F1806"/>
      <c r="G1806"/>
      <c r="H1806"/>
      <c r="I1806"/>
      <c r="J1806"/>
      <c r="K1806" s="13" t="s">
        <v>162</v>
      </c>
      <c r="L1806" s="13" t="s">
        <v>421</v>
      </c>
      <c r="M1806" s="13" t="s">
        <v>443</v>
      </c>
      <c r="N1806" s="15">
        <v>3</v>
      </c>
      <c r="O1806" s="16">
        <v>0</v>
      </c>
      <c r="P1806" s="17">
        <v>0</v>
      </c>
      <c r="Q1806" s="17">
        <v>0</v>
      </c>
      <c r="R1806" s="13"/>
      <c r="S1806" s="13"/>
      <c r="T1806" s="13"/>
      <c r="U1806" s="13"/>
      <c r="V1806" s="13"/>
      <c r="W1806" s="13"/>
    </row>
    <row r="1807" spans="1:23" x14ac:dyDescent="0.2">
      <c r="A1807"/>
      <c r="B1807"/>
      <c r="C1807"/>
      <c r="D1807"/>
      <c r="E1807"/>
      <c r="F1807"/>
      <c r="G1807"/>
      <c r="H1807"/>
      <c r="I1807"/>
      <c r="J1807"/>
      <c r="K1807" s="13" t="s">
        <v>162</v>
      </c>
      <c r="L1807" s="13" t="s">
        <v>383</v>
      </c>
      <c r="M1807" s="13" t="s">
        <v>420</v>
      </c>
      <c r="N1807" s="15">
        <v>2</v>
      </c>
      <c r="O1807" s="16">
        <v>0</v>
      </c>
      <c r="P1807" s="17">
        <v>0</v>
      </c>
      <c r="Q1807" s="17">
        <v>0</v>
      </c>
      <c r="R1807" s="13"/>
      <c r="S1807" s="13"/>
      <c r="T1807" s="13"/>
      <c r="U1807" s="13"/>
      <c r="V1807" s="13"/>
      <c r="W1807" s="13"/>
    </row>
    <row r="1808" spans="1:23" x14ac:dyDescent="0.2">
      <c r="A1808"/>
      <c r="B1808"/>
      <c r="C1808"/>
      <c r="D1808"/>
      <c r="E1808"/>
      <c r="F1808"/>
      <c r="G1808"/>
      <c r="H1808"/>
      <c r="I1808"/>
      <c r="J1808"/>
      <c r="K1808" s="13" t="s">
        <v>162</v>
      </c>
      <c r="L1808" s="13" t="s">
        <v>528</v>
      </c>
      <c r="M1808" s="13" t="s">
        <v>384</v>
      </c>
      <c r="N1808" s="15">
        <v>0</v>
      </c>
      <c r="O1808" s="16">
        <v>14.846120847339606</v>
      </c>
      <c r="P1808" s="17">
        <v>0</v>
      </c>
      <c r="Q1808" s="17">
        <v>0</v>
      </c>
      <c r="R1808" s="13"/>
      <c r="S1808" s="13"/>
      <c r="T1808" s="13"/>
      <c r="U1808" s="13"/>
      <c r="V1808" s="13"/>
      <c r="W1808" s="13"/>
    </row>
    <row r="1809" spans="1:23" x14ac:dyDescent="0.2">
      <c r="A1809"/>
      <c r="B1809"/>
      <c r="C1809"/>
      <c r="D1809"/>
      <c r="E1809"/>
      <c r="F1809"/>
      <c r="G1809"/>
      <c r="H1809"/>
      <c r="I1809"/>
      <c r="J1809"/>
      <c r="K1809" s="13" t="s">
        <v>162</v>
      </c>
      <c r="L1809" s="13" t="s">
        <v>612</v>
      </c>
      <c r="M1809" s="13" t="s">
        <v>425</v>
      </c>
      <c r="N1809" s="15">
        <v>1</v>
      </c>
      <c r="O1809" s="16">
        <v>0</v>
      </c>
      <c r="P1809" s="17">
        <v>0</v>
      </c>
      <c r="Q1809" s="17">
        <v>0</v>
      </c>
      <c r="R1809" s="13"/>
      <c r="S1809" s="13"/>
      <c r="T1809" s="13"/>
      <c r="U1809" s="13"/>
      <c r="V1809" s="13"/>
      <c r="W1809" s="13"/>
    </row>
    <row r="1810" spans="1:23" x14ac:dyDescent="0.2">
      <c r="A1810"/>
      <c r="B1810"/>
      <c r="C1810"/>
      <c r="D1810"/>
      <c r="E1810"/>
      <c r="F1810"/>
      <c r="G1810"/>
      <c r="H1810"/>
      <c r="I1810"/>
      <c r="J1810"/>
      <c r="K1810" s="13" t="s">
        <v>162</v>
      </c>
      <c r="L1810" s="13" t="s">
        <v>433</v>
      </c>
      <c r="M1810" s="13" t="s">
        <v>434</v>
      </c>
      <c r="N1810" s="15">
        <v>0</v>
      </c>
      <c r="O1810" s="16">
        <v>0</v>
      </c>
      <c r="P1810" s="17">
        <v>9.1996500077985921</v>
      </c>
      <c r="Q1810" s="17">
        <v>0</v>
      </c>
      <c r="R1810" s="13"/>
      <c r="S1810" s="13"/>
      <c r="T1810" s="13"/>
      <c r="U1810" s="13"/>
      <c r="V1810" s="13"/>
      <c r="W1810" s="13"/>
    </row>
    <row r="1811" spans="1:23" x14ac:dyDescent="0.2">
      <c r="A1811"/>
      <c r="B1811"/>
      <c r="C1811"/>
      <c r="D1811"/>
      <c r="E1811"/>
      <c r="F1811"/>
      <c r="G1811"/>
      <c r="H1811"/>
      <c r="I1811"/>
      <c r="J1811"/>
      <c r="K1811" s="13" t="s">
        <v>165</v>
      </c>
      <c r="L1811" s="13" t="s">
        <v>435</v>
      </c>
      <c r="M1811" s="13" t="s">
        <v>364</v>
      </c>
      <c r="N1811" s="15">
        <v>2</v>
      </c>
      <c r="O1811" s="16">
        <v>0</v>
      </c>
      <c r="P1811" s="17">
        <v>0</v>
      </c>
      <c r="Q1811" s="17">
        <v>0</v>
      </c>
      <c r="R1811" s="13"/>
      <c r="S1811" s="13"/>
      <c r="T1811" s="13"/>
      <c r="U1811" s="13"/>
      <c r="V1811" s="13"/>
      <c r="W1811" s="13"/>
    </row>
    <row r="1812" spans="1:23" x14ac:dyDescent="0.2">
      <c r="A1812"/>
      <c r="B1812"/>
      <c r="C1812"/>
      <c r="D1812"/>
      <c r="E1812"/>
      <c r="F1812"/>
      <c r="G1812"/>
      <c r="H1812"/>
      <c r="I1812"/>
      <c r="J1812"/>
      <c r="K1812" s="13" t="s">
        <v>165</v>
      </c>
      <c r="L1812" s="13" t="s">
        <v>387</v>
      </c>
      <c r="M1812" s="13" t="s">
        <v>386</v>
      </c>
      <c r="N1812" s="15">
        <v>0</v>
      </c>
      <c r="O1812" s="16">
        <v>0</v>
      </c>
      <c r="P1812" s="17">
        <v>3115.2902499997608</v>
      </c>
      <c r="Q1812" s="17">
        <v>0</v>
      </c>
      <c r="R1812" s="13"/>
      <c r="S1812" s="13"/>
      <c r="T1812" s="13"/>
      <c r="U1812" s="13"/>
      <c r="V1812" s="13"/>
      <c r="W1812" s="13"/>
    </row>
    <row r="1813" spans="1:23" x14ac:dyDescent="0.2">
      <c r="A1813"/>
      <c r="B1813"/>
      <c r="C1813"/>
      <c r="D1813"/>
      <c r="E1813"/>
      <c r="F1813"/>
      <c r="G1813"/>
      <c r="H1813"/>
      <c r="I1813"/>
      <c r="J1813"/>
      <c r="K1813" s="13" t="s">
        <v>165</v>
      </c>
      <c r="L1813" s="13" t="s">
        <v>389</v>
      </c>
      <c r="M1813" s="13" t="s">
        <v>388</v>
      </c>
      <c r="N1813" s="15">
        <v>0</v>
      </c>
      <c r="O1813" s="16">
        <v>0</v>
      </c>
      <c r="P1813" s="17">
        <v>221.7181499920687</v>
      </c>
      <c r="Q1813" s="17">
        <v>0</v>
      </c>
      <c r="R1813" s="13"/>
      <c r="S1813" s="13"/>
      <c r="T1813" s="13"/>
      <c r="U1813" s="13"/>
      <c r="V1813" s="13"/>
      <c r="W1813" s="13"/>
    </row>
    <row r="1814" spans="1:23" x14ac:dyDescent="0.2">
      <c r="A1814"/>
      <c r="B1814"/>
      <c r="C1814"/>
      <c r="D1814"/>
      <c r="E1814"/>
      <c r="F1814"/>
      <c r="G1814"/>
      <c r="H1814"/>
      <c r="I1814"/>
      <c r="J1814"/>
      <c r="K1814" s="13" t="s">
        <v>165</v>
      </c>
      <c r="L1814" s="13" t="s">
        <v>486</v>
      </c>
      <c r="M1814" s="13" t="s">
        <v>439</v>
      </c>
      <c r="N1814" s="15">
        <v>0</v>
      </c>
      <c r="O1814" s="16">
        <v>0</v>
      </c>
      <c r="P1814" s="17">
        <v>3.5665499996419996</v>
      </c>
      <c r="Q1814" s="17">
        <v>0</v>
      </c>
      <c r="R1814" s="13"/>
      <c r="S1814" s="13"/>
      <c r="T1814" s="13"/>
      <c r="U1814" s="13"/>
      <c r="V1814" s="13"/>
      <c r="W1814" s="13"/>
    </row>
    <row r="1815" spans="1:23" x14ac:dyDescent="0.2">
      <c r="A1815"/>
      <c r="B1815"/>
      <c r="C1815"/>
      <c r="D1815"/>
      <c r="E1815"/>
      <c r="F1815"/>
      <c r="G1815"/>
      <c r="H1815"/>
      <c r="I1815"/>
      <c r="J1815"/>
      <c r="K1815" s="13" t="s">
        <v>165</v>
      </c>
      <c r="L1815" s="13" t="s">
        <v>399</v>
      </c>
      <c r="M1815" s="13" t="s">
        <v>400</v>
      </c>
      <c r="N1815" s="15">
        <v>0</v>
      </c>
      <c r="O1815" s="16">
        <v>0</v>
      </c>
      <c r="P1815" s="17">
        <v>71.751650000201579</v>
      </c>
      <c r="Q1815" s="17">
        <v>0</v>
      </c>
      <c r="R1815" s="13"/>
      <c r="S1815" s="13"/>
      <c r="T1815" s="13"/>
      <c r="U1815" s="13"/>
      <c r="V1815" s="13"/>
      <c r="W1815" s="13"/>
    </row>
    <row r="1816" spans="1:23" x14ac:dyDescent="0.2">
      <c r="A1816"/>
      <c r="B1816"/>
      <c r="C1816"/>
      <c r="D1816"/>
      <c r="E1816"/>
      <c r="F1816"/>
      <c r="G1816"/>
      <c r="H1816"/>
      <c r="I1816"/>
      <c r="J1816"/>
      <c r="K1816" s="13" t="s">
        <v>165</v>
      </c>
      <c r="L1816" s="13" t="s">
        <v>401</v>
      </c>
      <c r="M1816" s="13" t="s">
        <v>360</v>
      </c>
      <c r="N1816" s="15">
        <v>0</v>
      </c>
      <c r="O1816" s="16">
        <v>0</v>
      </c>
      <c r="P1816" s="17">
        <v>38.490399995043788</v>
      </c>
      <c r="Q1816" s="17">
        <v>0</v>
      </c>
      <c r="R1816" s="13"/>
      <c r="S1816" s="13"/>
      <c r="T1816" s="13"/>
      <c r="U1816" s="13"/>
      <c r="V1816" s="13"/>
      <c r="W1816" s="13"/>
    </row>
    <row r="1817" spans="1:23" x14ac:dyDescent="0.2">
      <c r="A1817"/>
      <c r="B1817"/>
      <c r="C1817"/>
      <c r="D1817"/>
      <c r="E1817"/>
      <c r="F1817"/>
      <c r="G1817"/>
      <c r="H1817"/>
      <c r="I1817"/>
      <c r="J1817"/>
      <c r="K1817" s="13" t="s">
        <v>165</v>
      </c>
      <c r="L1817" s="13" t="s">
        <v>402</v>
      </c>
      <c r="M1817" s="13" t="s">
        <v>403</v>
      </c>
      <c r="N1817" s="15">
        <v>0</v>
      </c>
      <c r="O1817" s="16">
        <v>0</v>
      </c>
      <c r="P1817" s="17">
        <v>3592.7600139959522</v>
      </c>
      <c r="Q1817" s="17">
        <v>0</v>
      </c>
      <c r="R1817" s="13"/>
      <c r="S1817" s="13"/>
      <c r="T1817" s="13"/>
      <c r="U1817" s="13"/>
      <c r="V1817" s="13"/>
      <c r="W1817" s="13"/>
    </row>
    <row r="1818" spans="1:23" x14ac:dyDescent="0.2">
      <c r="A1818"/>
      <c r="B1818"/>
      <c r="C1818"/>
      <c r="D1818"/>
      <c r="E1818"/>
      <c r="F1818"/>
      <c r="G1818"/>
      <c r="H1818"/>
      <c r="I1818"/>
      <c r="J1818"/>
      <c r="K1818" s="13" t="s">
        <v>165</v>
      </c>
      <c r="L1818" s="13" t="s">
        <v>381</v>
      </c>
      <c r="M1818" s="13" t="s">
        <v>382</v>
      </c>
      <c r="N1818" s="15">
        <v>12</v>
      </c>
      <c r="O1818" s="16">
        <v>0</v>
      </c>
      <c r="P1818" s="17">
        <v>0</v>
      </c>
      <c r="Q1818" s="17">
        <v>0</v>
      </c>
      <c r="R1818" s="13"/>
      <c r="S1818" s="13"/>
      <c r="T1818" s="13"/>
      <c r="U1818" s="13"/>
      <c r="V1818" s="13"/>
      <c r="W1818" s="13"/>
    </row>
    <row r="1819" spans="1:23" x14ac:dyDescent="0.2">
      <c r="A1819"/>
      <c r="B1819"/>
      <c r="C1819"/>
      <c r="D1819"/>
      <c r="E1819"/>
      <c r="F1819"/>
      <c r="G1819"/>
      <c r="H1819"/>
      <c r="I1819"/>
      <c r="J1819"/>
      <c r="K1819" s="13" t="s">
        <v>165</v>
      </c>
      <c r="L1819" s="13" t="s">
        <v>605</v>
      </c>
      <c r="M1819" s="13" t="s">
        <v>429</v>
      </c>
      <c r="N1819" s="15">
        <v>0</v>
      </c>
      <c r="O1819" s="16">
        <v>11.984328982177527</v>
      </c>
      <c r="P1819" s="17">
        <v>0</v>
      </c>
      <c r="Q1819" s="17">
        <v>0</v>
      </c>
      <c r="R1819" s="13"/>
      <c r="S1819" s="13"/>
      <c r="T1819" s="13"/>
      <c r="U1819" s="13"/>
      <c r="V1819" s="13"/>
      <c r="W1819" s="13"/>
    </row>
    <row r="1820" spans="1:23" x14ac:dyDescent="0.2">
      <c r="A1820"/>
      <c r="B1820"/>
      <c r="C1820"/>
      <c r="D1820"/>
      <c r="E1820"/>
      <c r="F1820"/>
      <c r="G1820"/>
      <c r="H1820"/>
      <c r="I1820"/>
      <c r="J1820"/>
      <c r="K1820" s="13" t="s">
        <v>165</v>
      </c>
      <c r="L1820" s="13" t="s">
        <v>606</v>
      </c>
      <c r="M1820" s="13" t="s">
        <v>430</v>
      </c>
      <c r="N1820" s="15">
        <v>9</v>
      </c>
      <c r="O1820" s="16">
        <v>0</v>
      </c>
      <c r="P1820" s="17">
        <v>0</v>
      </c>
      <c r="Q1820" s="17">
        <v>0</v>
      </c>
      <c r="R1820" s="13"/>
      <c r="S1820" s="13"/>
      <c r="T1820" s="13"/>
      <c r="U1820" s="13"/>
      <c r="V1820" s="13"/>
      <c r="W1820" s="13"/>
    </row>
    <row r="1821" spans="1:23" x14ac:dyDescent="0.2">
      <c r="A1821"/>
      <c r="B1821"/>
      <c r="C1821"/>
      <c r="D1821"/>
      <c r="E1821"/>
      <c r="F1821"/>
      <c r="G1821"/>
      <c r="H1821"/>
      <c r="I1821"/>
      <c r="J1821"/>
      <c r="K1821" s="13" t="s">
        <v>165</v>
      </c>
      <c r="L1821" s="13" t="s">
        <v>607</v>
      </c>
      <c r="M1821" s="13" t="s">
        <v>431</v>
      </c>
      <c r="N1821" s="15">
        <v>2</v>
      </c>
      <c r="O1821" s="16">
        <v>0</v>
      </c>
      <c r="P1821" s="17">
        <v>0</v>
      </c>
      <c r="Q1821" s="17">
        <v>0</v>
      </c>
      <c r="R1821" s="13"/>
      <c r="S1821" s="13"/>
      <c r="T1821" s="13"/>
      <c r="U1821" s="13"/>
      <c r="V1821" s="13"/>
      <c r="W1821" s="13"/>
    </row>
    <row r="1822" spans="1:23" x14ac:dyDescent="0.2">
      <c r="A1822"/>
      <c r="B1822"/>
      <c r="C1822"/>
      <c r="D1822"/>
      <c r="E1822"/>
      <c r="F1822"/>
      <c r="G1822"/>
      <c r="H1822"/>
      <c r="I1822"/>
      <c r="J1822"/>
      <c r="K1822" s="13" t="s">
        <v>165</v>
      </c>
      <c r="L1822" s="13" t="s">
        <v>421</v>
      </c>
      <c r="M1822" s="13" t="s">
        <v>443</v>
      </c>
      <c r="N1822" s="15">
        <v>1</v>
      </c>
      <c r="O1822" s="16">
        <v>0</v>
      </c>
      <c r="P1822" s="17">
        <v>0</v>
      </c>
      <c r="Q1822" s="17">
        <v>0</v>
      </c>
      <c r="R1822" s="13"/>
      <c r="S1822" s="13"/>
      <c r="T1822" s="13"/>
      <c r="U1822" s="13"/>
      <c r="V1822" s="13"/>
      <c r="W1822" s="13"/>
    </row>
    <row r="1823" spans="1:23" x14ac:dyDescent="0.2">
      <c r="A1823"/>
      <c r="B1823"/>
      <c r="C1823"/>
      <c r="D1823"/>
      <c r="E1823"/>
      <c r="F1823"/>
      <c r="G1823"/>
      <c r="H1823"/>
      <c r="I1823"/>
      <c r="J1823"/>
      <c r="K1823" s="13" t="s">
        <v>165</v>
      </c>
      <c r="L1823" s="13" t="s">
        <v>612</v>
      </c>
      <c r="M1823" s="13" t="s">
        <v>425</v>
      </c>
      <c r="N1823" s="15">
        <v>1</v>
      </c>
      <c r="O1823" s="16">
        <v>0</v>
      </c>
      <c r="P1823" s="17">
        <v>0</v>
      </c>
      <c r="Q1823" s="17">
        <v>0</v>
      </c>
      <c r="R1823" s="13"/>
      <c r="S1823" s="13"/>
      <c r="T1823" s="13"/>
      <c r="U1823" s="13"/>
      <c r="V1823" s="13"/>
      <c r="W1823" s="13"/>
    </row>
    <row r="1824" spans="1:23" x14ac:dyDescent="0.2">
      <c r="A1824"/>
      <c r="B1824"/>
      <c r="C1824"/>
      <c r="D1824"/>
      <c r="E1824"/>
      <c r="F1824"/>
      <c r="G1824"/>
      <c r="H1824"/>
      <c r="I1824"/>
      <c r="J1824"/>
      <c r="K1824" s="13" t="s">
        <v>167</v>
      </c>
      <c r="L1824" s="13" t="s">
        <v>387</v>
      </c>
      <c r="M1824" s="13" t="s">
        <v>386</v>
      </c>
      <c r="N1824" s="15">
        <v>0</v>
      </c>
      <c r="O1824" s="16">
        <v>0</v>
      </c>
      <c r="P1824" s="17">
        <v>559.26839999225945</v>
      </c>
      <c r="Q1824" s="17">
        <v>0</v>
      </c>
      <c r="R1824" s="13"/>
      <c r="S1824" s="13"/>
      <c r="T1824" s="13"/>
      <c r="U1824" s="13"/>
      <c r="V1824" s="13"/>
      <c r="W1824" s="13"/>
    </row>
    <row r="1825" spans="1:23" x14ac:dyDescent="0.2">
      <c r="A1825"/>
      <c r="B1825"/>
      <c r="C1825"/>
      <c r="D1825"/>
      <c r="E1825"/>
      <c r="F1825"/>
      <c r="G1825"/>
      <c r="H1825"/>
      <c r="I1825"/>
      <c r="J1825"/>
      <c r="K1825" s="13" t="s">
        <v>167</v>
      </c>
      <c r="L1825" s="13" t="s">
        <v>389</v>
      </c>
      <c r="M1825" s="13" t="s">
        <v>388</v>
      </c>
      <c r="N1825" s="15">
        <v>0</v>
      </c>
      <c r="O1825" s="16">
        <v>0</v>
      </c>
      <c r="P1825" s="17">
        <v>124.67975001251826</v>
      </c>
      <c r="Q1825" s="17">
        <v>0</v>
      </c>
      <c r="R1825" s="13"/>
      <c r="S1825" s="13"/>
      <c r="T1825" s="13"/>
      <c r="U1825" s="13"/>
      <c r="V1825" s="13"/>
      <c r="W1825" s="13"/>
    </row>
    <row r="1826" spans="1:23" x14ac:dyDescent="0.2">
      <c r="A1826"/>
      <c r="B1826"/>
      <c r="C1826"/>
      <c r="D1826"/>
      <c r="E1826"/>
      <c r="F1826"/>
      <c r="G1826"/>
      <c r="H1826"/>
      <c r="I1826"/>
      <c r="J1826"/>
      <c r="K1826" s="13" t="s">
        <v>167</v>
      </c>
      <c r="L1826" s="13" t="s">
        <v>392</v>
      </c>
      <c r="M1826" s="13" t="s">
        <v>437</v>
      </c>
      <c r="N1826" s="15">
        <v>0</v>
      </c>
      <c r="O1826" s="16">
        <v>0</v>
      </c>
      <c r="P1826" s="17">
        <v>16.342049990403048</v>
      </c>
      <c r="Q1826" s="17">
        <v>0</v>
      </c>
      <c r="R1826" s="13"/>
      <c r="S1826" s="13"/>
      <c r="T1826" s="13"/>
      <c r="U1826" s="13"/>
      <c r="V1826" s="13"/>
      <c r="W1826" s="13"/>
    </row>
    <row r="1827" spans="1:23" x14ac:dyDescent="0.2">
      <c r="A1827"/>
      <c r="B1827"/>
      <c r="C1827"/>
      <c r="D1827"/>
      <c r="E1827"/>
      <c r="F1827"/>
      <c r="G1827"/>
      <c r="H1827"/>
      <c r="I1827"/>
      <c r="J1827"/>
      <c r="K1827" s="13" t="s">
        <v>167</v>
      </c>
      <c r="L1827" s="13" t="s">
        <v>399</v>
      </c>
      <c r="M1827" s="13" t="s">
        <v>400</v>
      </c>
      <c r="N1827" s="15">
        <v>0</v>
      </c>
      <c r="O1827" s="16">
        <v>0</v>
      </c>
      <c r="P1827" s="17">
        <v>129.55384999297223</v>
      </c>
      <c r="Q1827" s="17">
        <v>0</v>
      </c>
      <c r="R1827" s="13"/>
      <c r="S1827" s="13"/>
      <c r="T1827" s="13"/>
      <c r="U1827" s="13"/>
      <c r="V1827" s="13"/>
      <c r="W1827" s="13"/>
    </row>
    <row r="1828" spans="1:23" x14ac:dyDescent="0.2">
      <c r="A1828"/>
      <c r="B1828"/>
      <c r="C1828"/>
      <c r="D1828"/>
      <c r="E1828"/>
      <c r="F1828"/>
      <c r="G1828"/>
      <c r="H1828"/>
      <c r="I1828"/>
      <c r="J1828"/>
      <c r="K1828" s="13" t="s">
        <v>167</v>
      </c>
      <c r="L1828" s="13" t="s">
        <v>401</v>
      </c>
      <c r="M1828" s="13" t="s">
        <v>360</v>
      </c>
      <c r="N1828" s="15">
        <v>0</v>
      </c>
      <c r="O1828" s="16">
        <v>0</v>
      </c>
      <c r="P1828" s="17">
        <v>111.67549999339784</v>
      </c>
      <c r="Q1828" s="17">
        <v>0</v>
      </c>
      <c r="R1828" s="13"/>
      <c r="S1828" s="13"/>
      <c r="T1828" s="13"/>
      <c r="U1828" s="13"/>
      <c r="V1828" s="13"/>
      <c r="W1828" s="13"/>
    </row>
    <row r="1829" spans="1:23" x14ac:dyDescent="0.2">
      <c r="A1829"/>
      <c r="B1829"/>
      <c r="C1829"/>
      <c r="D1829"/>
      <c r="E1829"/>
      <c r="F1829"/>
      <c r="G1829"/>
      <c r="H1829"/>
      <c r="I1829"/>
      <c r="J1829"/>
      <c r="K1829" s="13" t="s">
        <v>167</v>
      </c>
      <c r="L1829" s="13" t="s">
        <v>448</v>
      </c>
      <c r="M1829" s="13" t="s">
        <v>366</v>
      </c>
      <c r="N1829" s="15">
        <v>0</v>
      </c>
      <c r="O1829" s="16">
        <v>0</v>
      </c>
      <c r="P1829" s="17">
        <v>278.17054998859118</v>
      </c>
      <c r="Q1829" s="17">
        <v>0</v>
      </c>
      <c r="R1829" s="13"/>
      <c r="S1829" s="13"/>
      <c r="T1829" s="13"/>
      <c r="U1829" s="13"/>
      <c r="V1829" s="13"/>
      <c r="W1829" s="13"/>
    </row>
    <row r="1830" spans="1:23" x14ac:dyDescent="0.2">
      <c r="A1830"/>
      <c r="B1830"/>
      <c r="C1830"/>
      <c r="D1830"/>
      <c r="E1830"/>
      <c r="F1830"/>
      <c r="G1830"/>
      <c r="H1830"/>
      <c r="I1830"/>
      <c r="J1830"/>
      <c r="K1830" s="13" t="s">
        <v>167</v>
      </c>
      <c r="L1830" s="13" t="s">
        <v>381</v>
      </c>
      <c r="M1830" s="13" t="s">
        <v>382</v>
      </c>
      <c r="N1830" s="15">
        <v>4</v>
      </c>
      <c r="O1830" s="16">
        <v>0</v>
      </c>
      <c r="P1830" s="17">
        <v>0</v>
      </c>
      <c r="Q1830" s="17">
        <v>0</v>
      </c>
      <c r="R1830" s="13"/>
      <c r="S1830" s="13"/>
      <c r="T1830" s="13"/>
      <c r="U1830" s="13"/>
      <c r="V1830" s="13"/>
      <c r="W1830" s="13"/>
    </row>
    <row r="1831" spans="1:23" x14ac:dyDescent="0.2">
      <c r="A1831"/>
      <c r="B1831"/>
      <c r="C1831"/>
      <c r="D1831"/>
      <c r="E1831"/>
      <c r="F1831"/>
      <c r="G1831"/>
      <c r="H1831"/>
      <c r="I1831"/>
      <c r="J1831"/>
      <c r="K1831" s="13" t="s">
        <v>167</v>
      </c>
      <c r="L1831" s="13" t="s">
        <v>605</v>
      </c>
      <c r="M1831" s="13" t="s">
        <v>429</v>
      </c>
      <c r="N1831" s="15">
        <v>1</v>
      </c>
      <c r="O1831" s="16">
        <v>0</v>
      </c>
      <c r="P1831" s="17">
        <v>0</v>
      </c>
      <c r="Q1831" s="17">
        <v>0</v>
      </c>
      <c r="R1831" s="13"/>
      <c r="S1831" s="13"/>
      <c r="T1831" s="13"/>
      <c r="U1831" s="13"/>
      <c r="V1831" s="13"/>
      <c r="W1831" s="13"/>
    </row>
    <row r="1832" spans="1:23" x14ac:dyDescent="0.2">
      <c r="A1832"/>
      <c r="B1832"/>
      <c r="C1832"/>
      <c r="D1832"/>
      <c r="E1832"/>
      <c r="F1832"/>
      <c r="G1832"/>
      <c r="H1832"/>
      <c r="I1832"/>
      <c r="J1832"/>
      <c r="K1832" s="13" t="s">
        <v>167</v>
      </c>
      <c r="L1832" s="13" t="s">
        <v>606</v>
      </c>
      <c r="M1832" s="13" t="s">
        <v>430</v>
      </c>
      <c r="N1832" s="15">
        <v>2</v>
      </c>
      <c r="O1832" s="16">
        <v>0</v>
      </c>
      <c r="P1832" s="17">
        <v>0</v>
      </c>
      <c r="Q1832" s="17">
        <v>0</v>
      </c>
      <c r="R1832" s="13"/>
      <c r="S1832" s="13"/>
      <c r="T1832" s="13"/>
      <c r="U1832" s="13"/>
      <c r="V1832" s="13"/>
      <c r="W1832" s="13"/>
    </row>
    <row r="1833" spans="1:23" x14ac:dyDescent="0.2">
      <c r="A1833"/>
      <c r="B1833"/>
      <c r="C1833"/>
      <c r="D1833"/>
      <c r="E1833"/>
      <c r="F1833"/>
      <c r="G1833"/>
      <c r="H1833"/>
      <c r="I1833"/>
      <c r="J1833"/>
      <c r="K1833" s="13" t="s">
        <v>167</v>
      </c>
      <c r="L1833" s="13" t="s">
        <v>607</v>
      </c>
      <c r="M1833" s="13" t="s">
        <v>431</v>
      </c>
      <c r="N1833" s="15">
        <v>1</v>
      </c>
      <c r="O1833" s="16">
        <v>0</v>
      </c>
      <c r="P1833" s="17">
        <v>0</v>
      </c>
      <c r="Q1833" s="17">
        <v>0</v>
      </c>
      <c r="R1833" s="13"/>
      <c r="S1833" s="13"/>
      <c r="T1833" s="13"/>
      <c r="U1833" s="13"/>
      <c r="V1833" s="13"/>
      <c r="W1833" s="13"/>
    </row>
    <row r="1834" spans="1:23" x14ac:dyDescent="0.2">
      <c r="A1834"/>
      <c r="B1834"/>
      <c r="C1834"/>
      <c r="D1834"/>
      <c r="E1834"/>
      <c r="F1834"/>
      <c r="G1834"/>
      <c r="H1834"/>
      <c r="I1834"/>
      <c r="J1834"/>
      <c r="K1834" s="13" t="s">
        <v>167</v>
      </c>
      <c r="L1834" s="13" t="s">
        <v>608</v>
      </c>
      <c r="M1834" s="13" t="s">
        <v>432</v>
      </c>
      <c r="N1834" s="15">
        <v>9</v>
      </c>
      <c r="O1834" s="16">
        <v>0</v>
      </c>
      <c r="P1834" s="17">
        <v>0</v>
      </c>
      <c r="Q1834" s="17">
        <v>0</v>
      </c>
      <c r="R1834" s="13"/>
      <c r="S1834" s="13"/>
      <c r="T1834" s="13"/>
      <c r="U1834" s="13"/>
      <c r="V1834" s="13"/>
      <c r="W1834" s="13"/>
    </row>
    <row r="1835" spans="1:23" x14ac:dyDescent="0.2">
      <c r="A1835"/>
      <c r="B1835"/>
      <c r="C1835"/>
      <c r="D1835"/>
      <c r="E1835"/>
      <c r="F1835"/>
      <c r="G1835"/>
      <c r="H1835"/>
      <c r="I1835"/>
      <c r="J1835"/>
      <c r="K1835" s="13" t="s">
        <v>167</v>
      </c>
      <c r="L1835" s="13" t="s">
        <v>415</v>
      </c>
      <c r="M1835" s="13" t="s">
        <v>412</v>
      </c>
      <c r="N1835" s="15">
        <v>0</v>
      </c>
      <c r="O1835" s="16">
        <v>0</v>
      </c>
      <c r="P1835" s="17">
        <v>8.8532000011357717</v>
      </c>
      <c r="Q1835" s="17">
        <v>0</v>
      </c>
      <c r="R1835" s="13"/>
      <c r="S1835" s="13"/>
      <c r="T1835" s="13"/>
      <c r="U1835" s="13"/>
      <c r="V1835" s="13"/>
      <c r="W1835" s="13"/>
    </row>
    <row r="1836" spans="1:23" x14ac:dyDescent="0.2">
      <c r="A1836"/>
      <c r="B1836"/>
      <c r="C1836"/>
      <c r="D1836"/>
      <c r="E1836"/>
      <c r="F1836"/>
      <c r="G1836"/>
      <c r="H1836"/>
      <c r="I1836"/>
      <c r="J1836"/>
      <c r="K1836" s="13" t="s">
        <v>167</v>
      </c>
      <c r="L1836" s="13" t="s">
        <v>417</v>
      </c>
      <c r="M1836" s="13" t="s">
        <v>414</v>
      </c>
      <c r="N1836" s="15">
        <v>0</v>
      </c>
      <c r="O1836" s="16">
        <v>0</v>
      </c>
      <c r="P1836" s="17">
        <v>1.1104000006130896</v>
      </c>
      <c r="Q1836" s="17">
        <v>0</v>
      </c>
      <c r="R1836" s="13"/>
      <c r="S1836" s="13"/>
      <c r="T1836" s="13"/>
      <c r="U1836" s="13"/>
      <c r="V1836" s="13"/>
      <c r="W1836" s="13"/>
    </row>
    <row r="1837" spans="1:23" x14ac:dyDescent="0.2">
      <c r="A1837"/>
      <c r="B1837"/>
      <c r="C1837"/>
      <c r="D1837"/>
      <c r="E1837"/>
      <c r="F1837"/>
      <c r="G1837"/>
      <c r="H1837"/>
      <c r="I1837"/>
      <c r="J1837"/>
      <c r="K1837" s="13" t="s">
        <v>167</v>
      </c>
      <c r="L1837" s="13" t="s">
        <v>609</v>
      </c>
      <c r="M1837" s="13" t="s">
        <v>416</v>
      </c>
      <c r="N1837" s="15">
        <v>0</v>
      </c>
      <c r="O1837" s="16">
        <v>13.470378237097997</v>
      </c>
      <c r="P1837" s="17">
        <v>0</v>
      </c>
      <c r="Q1837" s="17">
        <v>0</v>
      </c>
      <c r="R1837" s="13"/>
      <c r="S1837" s="13"/>
      <c r="T1837" s="13"/>
      <c r="U1837" s="13"/>
      <c r="V1837" s="13"/>
      <c r="W1837" s="13"/>
    </row>
    <row r="1838" spans="1:23" x14ac:dyDescent="0.2">
      <c r="A1838"/>
      <c r="B1838"/>
      <c r="C1838"/>
      <c r="D1838"/>
      <c r="E1838"/>
      <c r="F1838"/>
      <c r="G1838"/>
      <c r="H1838"/>
      <c r="I1838"/>
      <c r="J1838"/>
      <c r="K1838" s="13" t="s">
        <v>167</v>
      </c>
      <c r="L1838" s="13" t="s">
        <v>610</v>
      </c>
      <c r="M1838" s="13" t="s">
        <v>418</v>
      </c>
      <c r="N1838" s="15">
        <v>0</v>
      </c>
      <c r="O1838" s="16">
        <v>23.491533038578467</v>
      </c>
      <c r="P1838" s="17">
        <v>0</v>
      </c>
      <c r="Q1838" s="17">
        <v>0</v>
      </c>
      <c r="R1838" s="13"/>
      <c r="S1838" s="13"/>
      <c r="T1838" s="13"/>
      <c r="U1838" s="13"/>
      <c r="V1838" s="13"/>
      <c r="W1838" s="13"/>
    </row>
    <row r="1839" spans="1:23" x14ac:dyDescent="0.2">
      <c r="A1839"/>
      <c r="B1839"/>
      <c r="C1839"/>
      <c r="D1839"/>
      <c r="E1839"/>
      <c r="F1839"/>
      <c r="G1839"/>
      <c r="H1839"/>
      <c r="I1839"/>
      <c r="J1839"/>
      <c r="K1839" s="13" t="s">
        <v>167</v>
      </c>
      <c r="L1839" s="13" t="s">
        <v>467</v>
      </c>
      <c r="M1839" s="13" t="s">
        <v>422</v>
      </c>
      <c r="N1839" s="15">
        <v>0</v>
      </c>
      <c r="O1839" s="16">
        <v>13.470378237097997</v>
      </c>
      <c r="P1839" s="17">
        <v>0</v>
      </c>
      <c r="Q1839" s="17">
        <v>0</v>
      </c>
      <c r="R1839" s="13"/>
      <c r="S1839" s="13"/>
      <c r="T1839" s="13"/>
      <c r="U1839" s="13"/>
      <c r="V1839" s="13"/>
      <c r="W1839" s="13"/>
    </row>
    <row r="1840" spans="1:23" x14ac:dyDescent="0.2">
      <c r="A1840"/>
      <c r="B1840"/>
      <c r="C1840"/>
      <c r="D1840"/>
      <c r="E1840"/>
      <c r="F1840"/>
      <c r="G1840"/>
      <c r="H1840"/>
      <c r="I1840"/>
      <c r="J1840"/>
      <c r="K1840" s="13" t="s">
        <v>170</v>
      </c>
      <c r="L1840" s="13" t="s">
        <v>389</v>
      </c>
      <c r="M1840" s="13" t="s">
        <v>388</v>
      </c>
      <c r="N1840" s="15">
        <v>0</v>
      </c>
      <c r="O1840" s="16">
        <v>0</v>
      </c>
      <c r="P1840" s="17">
        <v>189.49635001663418</v>
      </c>
      <c r="Q1840" s="17">
        <v>0</v>
      </c>
      <c r="R1840" s="13"/>
      <c r="S1840" s="13"/>
      <c r="T1840" s="13"/>
      <c r="U1840" s="13"/>
      <c r="V1840" s="13"/>
      <c r="W1840" s="13"/>
    </row>
    <row r="1841" spans="1:23" x14ac:dyDescent="0.2">
      <c r="A1841"/>
      <c r="B1841"/>
      <c r="C1841"/>
      <c r="D1841"/>
      <c r="E1841"/>
      <c r="F1841"/>
      <c r="G1841"/>
      <c r="H1841"/>
      <c r="I1841"/>
      <c r="J1841"/>
      <c r="K1841" s="13" t="s">
        <v>170</v>
      </c>
      <c r="L1841" s="13" t="s">
        <v>383</v>
      </c>
      <c r="M1841" s="13" t="s">
        <v>420</v>
      </c>
      <c r="N1841" s="15">
        <v>2</v>
      </c>
      <c r="O1841" s="16">
        <v>0</v>
      </c>
      <c r="P1841" s="17">
        <v>0</v>
      </c>
      <c r="Q1841" s="17">
        <v>0</v>
      </c>
      <c r="R1841" s="13"/>
      <c r="S1841" s="13"/>
      <c r="T1841" s="13"/>
      <c r="U1841" s="13"/>
      <c r="V1841" s="13"/>
      <c r="W1841" s="13"/>
    </row>
    <row r="1842" spans="1:23" x14ac:dyDescent="0.2">
      <c r="A1842"/>
      <c r="B1842"/>
      <c r="C1842"/>
      <c r="D1842"/>
      <c r="E1842"/>
      <c r="F1842"/>
      <c r="G1842"/>
      <c r="H1842"/>
      <c r="I1842"/>
      <c r="J1842"/>
      <c r="K1842" s="13" t="s">
        <v>172</v>
      </c>
      <c r="L1842" s="13" t="s">
        <v>435</v>
      </c>
      <c r="M1842" s="13" t="s">
        <v>364</v>
      </c>
      <c r="N1842" s="15">
        <v>0</v>
      </c>
      <c r="O1842" s="16">
        <v>11.953220568214432</v>
      </c>
      <c r="P1842" s="17">
        <v>0</v>
      </c>
      <c r="Q1842" s="17">
        <v>0</v>
      </c>
      <c r="R1842" s="13"/>
      <c r="S1842" s="13"/>
      <c r="T1842" s="13"/>
      <c r="U1842" s="13"/>
      <c r="V1842" s="13"/>
      <c r="W1842" s="13"/>
    </row>
    <row r="1843" spans="1:23" x14ac:dyDescent="0.2">
      <c r="A1843"/>
      <c r="B1843"/>
      <c r="C1843"/>
      <c r="D1843"/>
      <c r="E1843"/>
      <c r="F1843"/>
      <c r="G1843"/>
      <c r="H1843"/>
      <c r="I1843"/>
      <c r="J1843"/>
      <c r="K1843" s="13" t="s">
        <v>172</v>
      </c>
      <c r="L1843" s="13" t="s">
        <v>387</v>
      </c>
      <c r="M1843" s="13" t="s">
        <v>386</v>
      </c>
      <c r="N1843" s="15">
        <v>0</v>
      </c>
      <c r="O1843" s="16">
        <v>0</v>
      </c>
      <c r="P1843" s="17">
        <v>95.663199995532111</v>
      </c>
      <c r="Q1843" s="17">
        <v>0</v>
      </c>
      <c r="R1843" s="13"/>
      <c r="S1843" s="13"/>
      <c r="T1843" s="13"/>
      <c r="U1843" s="13"/>
      <c r="V1843" s="13"/>
      <c r="W1843" s="13"/>
    </row>
    <row r="1844" spans="1:23" x14ac:dyDescent="0.2">
      <c r="A1844"/>
      <c r="B1844"/>
      <c r="C1844"/>
      <c r="D1844"/>
      <c r="E1844"/>
      <c r="F1844"/>
      <c r="G1844"/>
      <c r="H1844"/>
      <c r="I1844"/>
      <c r="J1844"/>
      <c r="K1844" s="13" t="s">
        <v>172</v>
      </c>
      <c r="L1844" s="13" t="s">
        <v>389</v>
      </c>
      <c r="M1844" s="13" t="s">
        <v>388</v>
      </c>
      <c r="N1844" s="15">
        <v>0</v>
      </c>
      <c r="O1844" s="16">
        <v>0</v>
      </c>
      <c r="P1844" s="17">
        <v>330.8930999826714</v>
      </c>
      <c r="Q1844" s="17">
        <v>0</v>
      </c>
      <c r="R1844" s="13"/>
      <c r="S1844" s="13"/>
      <c r="T1844" s="13"/>
      <c r="U1844" s="13"/>
      <c r="V1844" s="13"/>
      <c r="W1844" s="13"/>
    </row>
    <row r="1845" spans="1:23" x14ac:dyDescent="0.2">
      <c r="A1845"/>
      <c r="B1845"/>
      <c r="C1845"/>
      <c r="D1845"/>
      <c r="E1845"/>
      <c r="F1845"/>
      <c r="G1845"/>
      <c r="H1845"/>
      <c r="I1845"/>
      <c r="J1845"/>
      <c r="K1845" s="13" t="s">
        <v>172</v>
      </c>
      <c r="L1845" s="13" t="s">
        <v>542</v>
      </c>
      <c r="M1845" s="13" t="s">
        <v>390</v>
      </c>
      <c r="N1845" s="15">
        <v>0</v>
      </c>
      <c r="O1845" s="16">
        <v>0</v>
      </c>
      <c r="P1845" s="17">
        <v>1.3989500009206357</v>
      </c>
      <c r="Q1845" s="17">
        <v>0</v>
      </c>
      <c r="R1845" s="13"/>
      <c r="S1845" s="13"/>
      <c r="T1845" s="13"/>
      <c r="U1845" s="13"/>
      <c r="V1845" s="13"/>
      <c r="W1845" s="13"/>
    </row>
    <row r="1846" spans="1:23" x14ac:dyDescent="0.2">
      <c r="A1846"/>
      <c r="B1846"/>
      <c r="C1846"/>
      <c r="D1846"/>
      <c r="E1846"/>
      <c r="F1846"/>
      <c r="G1846"/>
      <c r="H1846"/>
      <c r="I1846"/>
      <c r="J1846"/>
      <c r="K1846" s="13" t="s">
        <v>172</v>
      </c>
      <c r="L1846" s="13" t="s">
        <v>392</v>
      </c>
      <c r="M1846" s="13" t="s">
        <v>437</v>
      </c>
      <c r="N1846" s="15">
        <v>0</v>
      </c>
      <c r="O1846" s="16">
        <v>0</v>
      </c>
      <c r="P1846" s="17">
        <v>1.5247500001689183</v>
      </c>
      <c r="Q1846" s="17">
        <v>0</v>
      </c>
      <c r="R1846" s="13"/>
      <c r="S1846" s="13"/>
      <c r="T1846" s="13"/>
      <c r="U1846" s="13"/>
      <c r="V1846" s="13"/>
      <c r="W1846" s="13"/>
    </row>
    <row r="1847" spans="1:23" x14ac:dyDescent="0.2">
      <c r="A1847"/>
      <c r="B1847"/>
      <c r="C1847"/>
      <c r="D1847"/>
      <c r="E1847"/>
      <c r="F1847"/>
      <c r="G1847"/>
      <c r="H1847"/>
      <c r="I1847"/>
      <c r="J1847"/>
      <c r="K1847" s="13" t="s">
        <v>172</v>
      </c>
      <c r="L1847" s="13" t="s">
        <v>440</v>
      </c>
      <c r="M1847" s="13" t="s">
        <v>441</v>
      </c>
      <c r="N1847" s="15">
        <v>2</v>
      </c>
      <c r="O1847" s="16">
        <v>0</v>
      </c>
      <c r="P1847" s="17">
        <v>0</v>
      </c>
      <c r="Q1847" s="17">
        <v>0</v>
      </c>
      <c r="R1847" s="13"/>
      <c r="S1847" s="13"/>
      <c r="T1847" s="13"/>
      <c r="U1847" s="13"/>
      <c r="V1847" s="13"/>
      <c r="W1847" s="13"/>
    </row>
    <row r="1848" spans="1:23" x14ac:dyDescent="0.2">
      <c r="A1848"/>
      <c r="B1848"/>
      <c r="C1848"/>
      <c r="D1848"/>
      <c r="E1848"/>
      <c r="F1848"/>
      <c r="G1848"/>
      <c r="H1848"/>
      <c r="I1848"/>
      <c r="J1848"/>
      <c r="K1848" s="13" t="s">
        <v>172</v>
      </c>
      <c r="L1848" s="13" t="s">
        <v>394</v>
      </c>
      <c r="M1848" s="13" t="s">
        <v>359</v>
      </c>
      <c r="N1848" s="15">
        <v>0</v>
      </c>
      <c r="O1848" s="16">
        <v>0</v>
      </c>
      <c r="P1848" s="17">
        <v>2.6305999986227597</v>
      </c>
      <c r="Q1848" s="17">
        <v>0</v>
      </c>
      <c r="R1848" s="13"/>
      <c r="S1848" s="13"/>
      <c r="T1848" s="13"/>
      <c r="U1848" s="13"/>
      <c r="V1848" s="13"/>
      <c r="W1848" s="13"/>
    </row>
    <row r="1849" spans="1:23" x14ac:dyDescent="0.2">
      <c r="A1849"/>
      <c r="B1849"/>
      <c r="C1849"/>
      <c r="D1849"/>
      <c r="E1849"/>
      <c r="F1849"/>
      <c r="G1849"/>
      <c r="H1849"/>
      <c r="I1849"/>
      <c r="J1849"/>
      <c r="K1849" s="13" t="s">
        <v>172</v>
      </c>
      <c r="L1849" s="13" t="s">
        <v>397</v>
      </c>
      <c r="M1849" s="13" t="s">
        <v>398</v>
      </c>
      <c r="N1849" s="15">
        <v>0</v>
      </c>
      <c r="O1849" s="16">
        <v>0</v>
      </c>
      <c r="P1849" s="17">
        <v>1.5045000006003537</v>
      </c>
      <c r="Q1849" s="17">
        <v>0</v>
      </c>
      <c r="R1849" s="13"/>
      <c r="S1849" s="13"/>
      <c r="T1849" s="13"/>
      <c r="U1849" s="13"/>
      <c r="V1849" s="13"/>
      <c r="W1849" s="13"/>
    </row>
    <row r="1850" spans="1:23" x14ac:dyDescent="0.2">
      <c r="A1850"/>
      <c r="B1850"/>
      <c r="C1850"/>
      <c r="D1850"/>
      <c r="E1850"/>
      <c r="F1850"/>
      <c r="G1850"/>
      <c r="H1850"/>
      <c r="I1850"/>
      <c r="J1850"/>
      <c r="K1850" s="13" t="s">
        <v>172</v>
      </c>
      <c r="L1850" s="13" t="s">
        <v>399</v>
      </c>
      <c r="M1850" s="13" t="s">
        <v>400</v>
      </c>
      <c r="N1850" s="15">
        <v>0</v>
      </c>
      <c r="O1850" s="16">
        <v>0</v>
      </c>
      <c r="P1850" s="17">
        <v>3.0551999996685884</v>
      </c>
      <c r="Q1850" s="17">
        <v>0</v>
      </c>
      <c r="R1850" s="13"/>
      <c r="S1850" s="13"/>
      <c r="T1850" s="13"/>
      <c r="U1850" s="13"/>
      <c r="V1850" s="13"/>
      <c r="W1850" s="13"/>
    </row>
    <row r="1851" spans="1:23" x14ac:dyDescent="0.2">
      <c r="A1851"/>
      <c r="B1851"/>
      <c r="C1851"/>
      <c r="D1851"/>
      <c r="E1851"/>
      <c r="F1851"/>
      <c r="G1851"/>
      <c r="H1851"/>
      <c r="I1851"/>
      <c r="J1851"/>
      <c r="K1851" s="13" t="s">
        <v>172</v>
      </c>
      <c r="L1851" s="13" t="s">
        <v>402</v>
      </c>
      <c r="M1851" s="13" t="s">
        <v>403</v>
      </c>
      <c r="N1851" s="15">
        <v>0</v>
      </c>
      <c r="O1851" s="16">
        <v>0</v>
      </c>
      <c r="P1851" s="17">
        <v>267.94370001803145</v>
      </c>
      <c r="Q1851" s="17">
        <v>0</v>
      </c>
      <c r="R1851" s="13"/>
      <c r="S1851" s="13"/>
      <c r="T1851" s="13"/>
      <c r="U1851" s="13"/>
      <c r="V1851" s="13"/>
      <c r="W1851" s="13"/>
    </row>
    <row r="1852" spans="1:23" x14ac:dyDescent="0.2">
      <c r="A1852"/>
      <c r="B1852"/>
      <c r="C1852"/>
      <c r="D1852"/>
      <c r="E1852"/>
      <c r="F1852"/>
      <c r="G1852"/>
      <c r="H1852"/>
      <c r="I1852"/>
      <c r="J1852"/>
      <c r="K1852" s="13" t="s">
        <v>172</v>
      </c>
      <c r="L1852" s="13" t="s">
        <v>404</v>
      </c>
      <c r="M1852" s="13" t="s">
        <v>405</v>
      </c>
      <c r="N1852" s="15">
        <v>0</v>
      </c>
      <c r="O1852" s="16">
        <v>0</v>
      </c>
      <c r="P1852" s="17">
        <v>30.940050001068204</v>
      </c>
      <c r="Q1852" s="17">
        <v>101.04893126021564</v>
      </c>
      <c r="R1852" s="13"/>
      <c r="S1852" s="13"/>
      <c r="T1852" s="13"/>
      <c r="U1852" s="13"/>
      <c r="V1852" s="13"/>
      <c r="W1852" s="13"/>
    </row>
    <row r="1853" spans="1:23" x14ac:dyDescent="0.2">
      <c r="A1853"/>
      <c r="B1853"/>
      <c r="C1853"/>
      <c r="D1853"/>
      <c r="E1853"/>
      <c r="F1853"/>
      <c r="G1853"/>
      <c r="H1853"/>
      <c r="I1853"/>
      <c r="J1853"/>
      <c r="K1853" s="13" t="s">
        <v>172</v>
      </c>
      <c r="L1853" s="13" t="s">
        <v>381</v>
      </c>
      <c r="M1853" s="13" t="s">
        <v>382</v>
      </c>
      <c r="N1853" s="15">
        <v>3</v>
      </c>
      <c r="O1853" s="16">
        <v>0</v>
      </c>
      <c r="P1853" s="17">
        <v>0</v>
      </c>
      <c r="Q1853" s="17">
        <v>0</v>
      </c>
      <c r="R1853" s="13"/>
      <c r="S1853" s="13"/>
      <c r="T1853" s="13"/>
      <c r="U1853" s="13"/>
      <c r="V1853" s="13"/>
      <c r="W1853" s="13"/>
    </row>
    <row r="1854" spans="1:23" x14ac:dyDescent="0.2">
      <c r="A1854"/>
      <c r="B1854"/>
      <c r="C1854"/>
      <c r="D1854"/>
      <c r="E1854"/>
      <c r="F1854"/>
      <c r="G1854"/>
      <c r="H1854"/>
      <c r="I1854"/>
      <c r="J1854"/>
      <c r="K1854" s="13" t="s">
        <v>172</v>
      </c>
      <c r="L1854" s="13" t="s">
        <v>411</v>
      </c>
      <c r="M1854" s="13" t="s">
        <v>362</v>
      </c>
      <c r="N1854" s="15">
        <v>0</v>
      </c>
      <c r="O1854" s="16">
        <v>0</v>
      </c>
      <c r="P1854" s="17">
        <v>7.3015000009294599</v>
      </c>
      <c r="Q1854" s="17">
        <v>0</v>
      </c>
      <c r="R1854" s="13"/>
      <c r="S1854" s="13"/>
      <c r="T1854" s="13"/>
      <c r="U1854" s="13"/>
      <c r="V1854" s="13"/>
      <c r="W1854" s="13"/>
    </row>
    <row r="1855" spans="1:23" x14ac:dyDescent="0.2">
      <c r="A1855"/>
      <c r="B1855"/>
      <c r="C1855"/>
      <c r="D1855"/>
      <c r="E1855"/>
      <c r="F1855"/>
      <c r="G1855"/>
      <c r="H1855"/>
      <c r="I1855"/>
      <c r="J1855"/>
      <c r="K1855" s="13" t="s">
        <v>172</v>
      </c>
      <c r="L1855" s="13" t="s">
        <v>411</v>
      </c>
      <c r="M1855" s="13" t="s">
        <v>362</v>
      </c>
      <c r="N1855" s="15">
        <v>0</v>
      </c>
      <c r="O1855" s="16">
        <v>6.8262502289561464</v>
      </c>
      <c r="P1855" s="17">
        <v>0</v>
      </c>
      <c r="Q1855" s="17">
        <v>0</v>
      </c>
      <c r="R1855" s="13"/>
      <c r="S1855" s="13"/>
      <c r="T1855" s="13"/>
      <c r="U1855" s="13"/>
      <c r="V1855" s="13"/>
      <c r="W1855" s="13"/>
    </row>
    <row r="1856" spans="1:23" x14ac:dyDescent="0.2">
      <c r="A1856"/>
      <c r="B1856"/>
      <c r="C1856"/>
      <c r="D1856"/>
      <c r="E1856"/>
      <c r="F1856"/>
      <c r="G1856"/>
      <c r="H1856"/>
      <c r="I1856"/>
      <c r="J1856"/>
      <c r="K1856" s="13" t="s">
        <v>172</v>
      </c>
      <c r="L1856" s="13" t="s">
        <v>413</v>
      </c>
      <c r="M1856" s="13" t="s">
        <v>428</v>
      </c>
      <c r="N1856" s="15">
        <v>4</v>
      </c>
      <c r="O1856" s="16">
        <v>0</v>
      </c>
      <c r="P1856" s="17">
        <v>0</v>
      </c>
      <c r="Q1856" s="17">
        <v>0</v>
      </c>
      <c r="R1856" s="13"/>
      <c r="S1856" s="13"/>
      <c r="T1856" s="13"/>
      <c r="U1856" s="13"/>
      <c r="V1856" s="13"/>
      <c r="W1856" s="13"/>
    </row>
    <row r="1857" spans="1:23" x14ac:dyDescent="0.2">
      <c r="A1857"/>
      <c r="B1857"/>
      <c r="C1857"/>
      <c r="D1857"/>
      <c r="E1857"/>
      <c r="F1857"/>
      <c r="G1857"/>
      <c r="H1857"/>
      <c r="I1857"/>
      <c r="J1857"/>
      <c r="K1857" s="13" t="s">
        <v>172</v>
      </c>
      <c r="L1857" s="13" t="s">
        <v>605</v>
      </c>
      <c r="M1857" s="13" t="s">
        <v>429</v>
      </c>
      <c r="N1857" s="15">
        <v>0</v>
      </c>
      <c r="O1857" s="16">
        <v>6.8519130261188694</v>
      </c>
      <c r="P1857" s="17">
        <v>0</v>
      </c>
      <c r="Q1857" s="17">
        <v>0</v>
      </c>
      <c r="R1857" s="13"/>
      <c r="S1857" s="13"/>
      <c r="T1857" s="13"/>
      <c r="U1857" s="13"/>
      <c r="V1857" s="13"/>
      <c r="W1857" s="13"/>
    </row>
    <row r="1858" spans="1:23" x14ac:dyDescent="0.2">
      <c r="A1858"/>
      <c r="B1858"/>
      <c r="C1858"/>
      <c r="D1858"/>
      <c r="E1858"/>
      <c r="F1858"/>
      <c r="G1858"/>
      <c r="H1858"/>
      <c r="I1858"/>
      <c r="J1858"/>
      <c r="K1858" s="13" t="s">
        <v>172</v>
      </c>
      <c r="L1858" s="13" t="s">
        <v>607</v>
      </c>
      <c r="M1858" s="13" t="s">
        <v>431</v>
      </c>
      <c r="N1858" s="15">
        <v>4</v>
      </c>
      <c r="O1858" s="16">
        <v>0</v>
      </c>
      <c r="P1858" s="17">
        <v>0</v>
      </c>
      <c r="Q1858" s="17">
        <v>0</v>
      </c>
      <c r="R1858" s="13"/>
      <c r="S1858" s="13"/>
      <c r="T1858" s="13"/>
      <c r="U1858" s="13"/>
      <c r="V1858" s="13"/>
      <c r="W1858" s="13"/>
    </row>
    <row r="1859" spans="1:23" x14ac:dyDescent="0.2">
      <c r="A1859"/>
      <c r="B1859"/>
      <c r="C1859"/>
      <c r="D1859"/>
      <c r="E1859"/>
      <c r="F1859"/>
      <c r="G1859"/>
      <c r="H1859"/>
      <c r="I1859"/>
      <c r="J1859"/>
      <c r="K1859" s="13" t="s">
        <v>172</v>
      </c>
      <c r="L1859" s="13" t="s">
        <v>608</v>
      </c>
      <c r="M1859" s="13" t="s">
        <v>432</v>
      </c>
      <c r="N1859" s="15">
        <v>2</v>
      </c>
      <c r="O1859" s="16">
        <v>0</v>
      </c>
      <c r="P1859" s="17">
        <v>0</v>
      </c>
      <c r="Q1859" s="17">
        <v>0</v>
      </c>
      <c r="R1859" s="13"/>
      <c r="S1859" s="13"/>
      <c r="T1859" s="13"/>
      <c r="U1859" s="13"/>
      <c r="V1859" s="13"/>
      <c r="W1859" s="13"/>
    </row>
    <row r="1860" spans="1:23" x14ac:dyDescent="0.2">
      <c r="A1860"/>
      <c r="B1860"/>
      <c r="C1860"/>
      <c r="D1860"/>
      <c r="E1860"/>
      <c r="F1860"/>
      <c r="G1860"/>
      <c r="H1860"/>
      <c r="I1860"/>
      <c r="J1860"/>
      <c r="K1860" s="13" t="s">
        <v>172</v>
      </c>
      <c r="L1860" s="13" t="s">
        <v>415</v>
      </c>
      <c r="M1860" s="13" t="s">
        <v>412</v>
      </c>
      <c r="N1860" s="15">
        <v>0</v>
      </c>
      <c r="O1860" s="16">
        <v>0</v>
      </c>
      <c r="P1860" s="17">
        <v>10.13229999629762</v>
      </c>
      <c r="Q1860" s="17">
        <v>0</v>
      </c>
      <c r="R1860" s="13"/>
      <c r="S1860" s="13"/>
      <c r="T1860" s="13"/>
      <c r="U1860" s="13"/>
      <c r="V1860" s="13"/>
      <c r="W1860" s="13"/>
    </row>
    <row r="1861" spans="1:23" x14ac:dyDescent="0.2">
      <c r="A1861"/>
      <c r="B1861"/>
      <c r="C1861"/>
      <c r="D1861"/>
      <c r="E1861"/>
      <c r="F1861"/>
      <c r="G1861"/>
      <c r="H1861"/>
      <c r="I1861"/>
      <c r="J1861"/>
      <c r="K1861" s="13" t="s">
        <v>172</v>
      </c>
      <c r="L1861" s="13" t="s">
        <v>609</v>
      </c>
      <c r="M1861" s="13" t="s">
        <v>416</v>
      </c>
      <c r="N1861" s="15">
        <v>0</v>
      </c>
      <c r="O1861" s="16">
        <v>33.662853591748473</v>
      </c>
      <c r="P1861" s="17">
        <v>0</v>
      </c>
      <c r="Q1861" s="17">
        <v>0</v>
      </c>
      <c r="R1861" s="13"/>
      <c r="S1861" s="13"/>
      <c r="T1861" s="13"/>
      <c r="U1861" s="13"/>
      <c r="V1861" s="13"/>
      <c r="W1861" s="13"/>
    </row>
    <row r="1862" spans="1:23" x14ac:dyDescent="0.2">
      <c r="A1862"/>
      <c r="B1862"/>
      <c r="C1862"/>
      <c r="D1862"/>
      <c r="E1862"/>
      <c r="F1862"/>
      <c r="G1862"/>
      <c r="H1862"/>
      <c r="I1862"/>
      <c r="J1862"/>
      <c r="K1862" s="13" t="s">
        <v>172</v>
      </c>
      <c r="L1862" s="13" t="s">
        <v>383</v>
      </c>
      <c r="M1862" s="13" t="s">
        <v>420</v>
      </c>
      <c r="N1862" s="15">
        <v>1</v>
      </c>
      <c r="O1862" s="16">
        <v>0</v>
      </c>
      <c r="P1862" s="17">
        <v>0</v>
      </c>
      <c r="Q1862" s="17">
        <v>0</v>
      </c>
      <c r="R1862" s="13"/>
      <c r="S1862" s="13"/>
      <c r="T1862" s="13"/>
      <c r="U1862" s="13"/>
      <c r="V1862" s="13"/>
      <c r="W1862" s="13"/>
    </row>
    <row r="1863" spans="1:23" x14ac:dyDescent="0.2">
      <c r="A1863"/>
      <c r="B1863"/>
      <c r="C1863"/>
      <c r="D1863"/>
      <c r="E1863"/>
      <c r="F1863"/>
      <c r="G1863"/>
      <c r="H1863"/>
      <c r="I1863"/>
      <c r="J1863"/>
      <c r="K1863" s="13" t="s">
        <v>172</v>
      </c>
      <c r="L1863" s="13" t="s">
        <v>613</v>
      </c>
      <c r="M1863" s="13" t="s">
        <v>444</v>
      </c>
      <c r="N1863" s="15">
        <v>0</v>
      </c>
      <c r="O1863" s="16">
        <v>19.147452397317053</v>
      </c>
      <c r="P1863" s="17">
        <v>0</v>
      </c>
      <c r="Q1863" s="17">
        <v>0</v>
      </c>
      <c r="R1863" s="13"/>
      <c r="S1863" s="13"/>
      <c r="T1863" s="13"/>
      <c r="U1863" s="13"/>
      <c r="V1863" s="13"/>
      <c r="W1863" s="13"/>
    </row>
    <row r="1864" spans="1:23" x14ac:dyDescent="0.2">
      <c r="A1864"/>
      <c r="B1864"/>
      <c r="C1864"/>
      <c r="D1864"/>
      <c r="E1864"/>
      <c r="F1864"/>
      <c r="G1864"/>
      <c r="H1864"/>
      <c r="I1864"/>
      <c r="J1864"/>
      <c r="K1864" s="13" t="s">
        <v>172</v>
      </c>
      <c r="L1864" s="13" t="s">
        <v>611</v>
      </c>
      <c r="M1864" s="13" t="s">
        <v>423</v>
      </c>
      <c r="N1864" s="15">
        <v>0</v>
      </c>
      <c r="O1864" s="16">
        <v>19.272571180258634</v>
      </c>
      <c r="P1864" s="17">
        <v>0</v>
      </c>
      <c r="Q1864" s="17">
        <v>0</v>
      </c>
      <c r="R1864" s="13"/>
      <c r="S1864" s="13"/>
      <c r="T1864" s="13"/>
      <c r="U1864" s="13"/>
      <c r="V1864" s="13"/>
      <c r="W1864" s="13"/>
    </row>
    <row r="1865" spans="1:23" x14ac:dyDescent="0.2">
      <c r="A1865"/>
      <c r="B1865"/>
      <c r="C1865"/>
      <c r="D1865"/>
      <c r="E1865"/>
      <c r="F1865"/>
      <c r="G1865"/>
      <c r="H1865"/>
      <c r="I1865"/>
      <c r="J1865"/>
      <c r="K1865" s="13" t="s">
        <v>174</v>
      </c>
      <c r="L1865" s="13" t="s">
        <v>387</v>
      </c>
      <c r="M1865" s="13" t="s">
        <v>386</v>
      </c>
      <c r="N1865" s="15">
        <v>0</v>
      </c>
      <c r="O1865" s="16">
        <v>0</v>
      </c>
      <c r="P1865" s="17">
        <v>452.04470001084024</v>
      </c>
      <c r="Q1865" s="17">
        <v>0</v>
      </c>
      <c r="R1865" s="13"/>
      <c r="S1865" s="13"/>
      <c r="T1865" s="13"/>
      <c r="U1865" s="13"/>
      <c r="V1865" s="13"/>
      <c r="W1865" s="13"/>
    </row>
    <row r="1866" spans="1:23" x14ac:dyDescent="0.2">
      <c r="A1866"/>
      <c r="B1866"/>
      <c r="C1866"/>
      <c r="D1866"/>
      <c r="E1866"/>
      <c r="F1866"/>
      <c r="G1866"/>
      <c r="H1866"/>
      <c r="I1866"/>
      <c r="J1866"/>
      <c r="K1866" s="13" t="s">
        <v>174</v>
      </c>
      <c r="L1866" s="13" t="s">
        <v>389</v>
      </c>
      <c r="M1866" s="13" t="s">
        <v>388</v>
      </c>
      <c r="N1866" s="15">
        <v>0</v>
      </c>
      <c r="O1866" s="16">
        <v>0</v>
      </c>
      <c r="P1866" s="17">
        <v>709.06569999757289</v>
      </c>
      <c r="Q1866" s="17">
        <v>0</v>
      </c>
      <c r="R1866" s="13"/>
      <c r="S1866" s="13"/>
      <c r="T1866" s="13"/>
      <c r="U1866" s="13"/>
      <c r="V1866" s="13"/>
      <c r="W1866" s="13"/>
    </row>
    <row r="1867" spans="1:23" x14ac:dyDescent="0.2">
      <c r="A1867"/>
      <c r="B1867"/>
      <c r="C1867"/>
      <c r="D1867"/>
      <c r="E1867"/>
      <c r="F1867"/>
      <c r="G1867"/>
      <c r="H1867"/>
      <c r="I1867"/>
      <c r="J1867"/>
      <c r="K1867" s="13" t="s">
        <v>174</v>
      </c>
      <c r="L1867" s="13" t="s">
        <v>542</v>
      </c>
      <c r="M1867" s="13" t="s">
        <v>390</v>
      </c>
      <c r="N1867" s="15">
        <v>0</v>
      </c>
      <c r="O1867" s="16">
        <v>0</v>
      </c>
      <c r="P1867" s="17">
        <v>550.41920000210507</v>
      </c>
      <c r="Q1867" s="17">
        <v>0</v>
      </c>
      <c r="R1867" s="13"/>
      <c r="S1867" s="13"/>
      <c r="T1867" s="13"/>
      <c r="U1867" s="13"/>
      <c r="V1867" s="13"/>
      <c r="W1867" s="13"/>
    </row>
    <row r="1868" spans="1:23" x14ac:dyDescent="0.2">
      <c r="A1868"/>
      <c r="B1868"/>
      <c r="C1868"/>
      <c r="D1868"/>
      <c r="E1868"/>
      <c r="F1868"/>
      <c r="G1868"/>
      <c r="H1868"/>
      <c r="I1868"/>
      <c r="J1868"/>
      <c r="K1868" s="13" t="s">
        <v>174</v>
      </c>
      <c r="L1868" s="13" t="s">
        <v>392</v>
      </c>
      <c r="M1868" s="13" t="s">
        <v>437</v>
      </c>
      <c r="N1868" s="15">
        <v>0</v>
      </c>
      <c r="O1868" s="16">
        <v>0</v>
      </c>
      <c r="P1868" s="17">
        <v>23.672700000736121</v>
      </c>
      <c r="Q1868" s="17">
        <v>0</v>
      </c>
      <c r="R1868" s="13"/>
      <c r="S1868" s="13"/>
      <c r="T1868" s="13"/>
      <c r="U1868" s="13"/>
      <c r="V1868" s="13"/>
      <c r="W1868" s="13"/>
    </row>
    <row r="1869" spans="1:23" x14ac:dyDescent="0.2">
      <c r="A1869"/>
      <c r="B1869"/>
      <c r="C1869"/>
      <c r="D1869"/>
      <c r="E1869"/>
      <c r="F1869"/>
      <c r="G1869"/>
      <c r="H1869"/>
      <c r="I1869"/>
      <c r="J1869"/>
      <c r="K1869" s="13" t="s">
        <v>174</v>
      </c>
      <c r="L1869" s="13" t="s">
        <v>397</v>
      </c>
      <c r="M1869" s="13" t="s">
        <v>398</v>
      </c>
      <c r="N1869" s="15">
        <v>0</v>
      </c>
      <c r="O1869" s="16">
        <v>0</v>
      </c>
      <c r="P1869" s="17">
        <v>225.62065000142147</v>
      </c>
      <c r="Q1869" s="17">
        <v>0</v>
      </c>
      <c r="R1869" s="13"/>
      <c r="S1869" s="13"/>
      <c r="T1869" s="13"/>
      <c r="U1869" s="13"/>
      <c r="V1869" s="13"/>
      <c r="W1869" s="13"/>
    </row>
    <row r="1870" spans="1:23" x14ac:dyDescent="0.2">
      <c r="A1870"/>
      <c r="B1870"/>
      <c r="C1870"/>
      <c r="D1870"/>
      <c r="E1870"/>
      <c r="F1870"/>
      <c r="G1870"/>
      <c r="H1870"/>
      <c r="I1870"/>
      <c r="J1870"/>
      <c r="K1870" s="13" t="s">
        <v>174</v>
      </c>
      <c r="L1870" s="13" t="s">
        <v>399</v>
      </c>
      <c r="M1870" s="13" t="s">
        <v>400</v>
      </c>
      <c r="N1870" s="15">
        <v>0</v>
      </c>
      <c r="O1870" s="16">
        <v>0</v>
      </c>
      <c r="P1870" s="17">
        <v>25.875999997938983</v>
      </c>
      <c r="Q1870" s="17">
        <v>0</v>
      </c>
      <c r="R1870" s="13"/>
      <c r="S1870" s="13"/>
      <c r="T1870" s="13"/>
      <c r="U1870" s="13"/>
      <c r="V1870" s="13"/>
      <c r="W1870" s="13"/>
    </row>
    <row r="1871" spans="1:23" x14ac:dyDescent="0.2">
      <c r="A1871"/>
      <c r="B1871"/>
      <c r="C1871"/>
      <c r="D1871"/>
      <c r="E1871"/>
      <c r="F1871"/>
      <c r="G1871"/>
      <c r="H1871"/>
      <c r="I1871"/>
      <c r="J1871"/>
      <c r="K1871" s="13" t="s">
        <v>174</v>
      </c>
      <c r="L1871" s="13" t="s">
        <v>401</v>
      </c>
      <c r="M1871" s="13" t="s">
        <v>360</v>
      </c>
      <c r="N1871" s="15">
        <v>0</v>
      </c>
      <c r="O1871" s="16">
        <v>0</v>
      </c>
      <c r="P1871" s="17">
        <v>1353.992950065621</v>
      </c>
      <c r="Q1871" s="17">
        <v>0</v>
      </c>
      <c r="R1871" s="13"/>
      <c r="S1871" s="13"/>
      <c r="T1871" s="13"/>
      <c r="U1871" s="13"/>
      <c r="V1871" s="13"/>
      <c r="W1871" s="13"/>
    </row>
    <row r="1872" spans="1:23" x14ac:dyDescent="0.2">
      <c r="A1872"/>
      <c r="B1872"/>
      <c r="C1872"/>
      <c r="D1872"/>
      <c r="E1872"/>
      <c r="F1872"/>
      <c r="G1872"/>
      <c r="H1872"/>
      <c r="I1872"/>
      <c r="J1872"/>
      <c r="K1872" s="13" t="s">
        <v>174</v>
      </c>
      <c r="L1872" s="13" t="s">
        <v>402</v>
      </c>
      <c r="M1872" s="13" t="s">
        <v>403</v>
      </c>
      <c r="N1872" s="15">
        <v>0</v>
      </c>
      <c r="O1872" s="16">
        <v>0</v>
      </c>
      <c r="P1872" s="17">
        <v>6598.6019998195934</v>
      </c>
      <c r="Q1872" s="17">
        <v>0</v>
      </c>
      <c r="R1872" s="13"/>
      <c r="S1872" s="13"/>
      <c r="T1872" s="13"/>
      <c r="U1872" s="13"/>
      <c r="V1872" s="13"/>
      <c r="W1872" s="13"/>
    </row>
    <row r="1873" spans="1:23" x14ac:dyDescent="0.2">
      <c r="A1873"/>
      <c r="B1873"/>
      <c r="C1873"/>
      <c r="D1873"/>
      <c r="E1873"/>
      <c r="F1873"/>
      <c r="G1873"/>
      <c r="H1873"/>
      <c r="I1873"/>
      <c r="J1873"/>
      <c r="K1873" s="13" t="s">
        <v>174</v>
      </c>
      <c r="L1873" s="13" t="s">
        <v>448</v>
      </c>
      <c r="M1873" s="13" t="s">
        <v>366</v>
      </c>
      <c r="N1873" s="15">
        <v>0</v>
      </c>
      <c r="O1873" s="16">
        <v>0</v>
      </c>
      <c r="P1873" s="17">
        <v>305.27585001443015</v>
      </c>
      <c r="Q1873" s="17">
        <v>0</v>
      </c>
      <c r="R1873" s="13"/>
      <c r="S1873" s="13"/>
      <c r="T1873" s="13"/>
      <c r="U1873" s="13"/>
      <c r="V1873" s="13"/>
      <c r="W1873" s="13"/>
    </row>
    <row r="1874" spans="1:23" x14ac:dyDescent="0.2">
      <c r="A1874"/>
      <c r="B1874"/>
      <c r="C1874"/>
      <c r="D1874"/>
      <c r="E1874"/>
      <c r="F1874"/>
      <c r="G1874"/>
      <c r="H1874"/>
      <c r="I1874"/>
      <c r="J1874"/>
      <c r="K1874" s="13" t="s">
        <v>174</v>
      </c>
      <c r="L1874" s="13" t="s">
        <v>404</v>
      </c>
      <c r="M1874" s="13" t="s">
        <v>405</v>
      </c>
      <c r="N1874" s="15">
        <v>0</v>
      </c>
      <c r="O1874" s="16">
        <v>0</v>
      </c>
      <c r="P1874" s="17">
        <v>429.61079997701358</v>
      </c>
      <c r="Q1874" s="17">
        <v>739.19373674572148</v>
      </c>
      <c r="R1874" s="13"/>
      <c r="S1874" s="13"/>
      <c r="T1874" s="13"/>
      <c r="U1874" s="13"/>
      <c r="V1874" s="13"/>
      <c r="W1874" s="13"/>
    </row>
    <row r="1875" spans="1:23" x14ac:dyDescent="0.2">
      <c r="A1875"/>
      <c r="B1875"/>
      <c r="C1875"/>
      <c r="D1875"/>
      <c r="E1875"/>
      <c r="F1875"/>
      <c r="G1875"/>
      <c r="H1875"/>
      <c r="I1875"/>
      <c r="J1875"/>
      <c r="K1875" s="13" t="s">
        <v>174</v>
      </c>
      <c r="L1875" s="13" t="s">
        <v>381</v>
      </c>
      <c r="M1875" s="13" t="s">
        <v>382</v>
      </c>
      <c r="N1875" s="15">
        <v>51</v>
      </c>
      <c r="O1875" s="16">
        <v>0</v>
      </c>
      <c r="P1875" s="17">
        <v>0</v>
      </c>
      <c r="Q1875" s="17">
        <v>0</v>
      </c>
      <c r="R1875" s="13"/>
      <c r="S1875" s="13"/>
      <c r="T1875" s="13"/>
      <c r="U1875" s="13"/>
      <c r="V1875" s="13"/>
      <c r="W1875" s="13"/>
    </row>
    <row r="1876" spans="1:23" x14ac:dyDescent="0.2">
      <c r="A1876"/>
      <c r="B1876"/>
      <c r="C1876"/>
      <c r="D1876"/>
      <c r="E1876"/>
      <c r="F1876"/>
      <c r="G1876"/>
      <c r="H1876"/>
      <c r="I1876"/>
      <c r="J1876"/>
      <c r="K1876" s="13" t="s">
        <v>174</v>
      </c>
      <c r="L1876" s="13" t="s">
        <v>411</v>
      </c>
      <c r="M1876" s="13" t="s">
        <v>362</v>
      </c>
      <c r="N1876" s="15">
        <v>0</v>
      </c>
      <c r="O1876" s="16">
        <v>7.3005013579210623</v>
      </c>
      <c r="P1876" s="17">
        <v>0</v>
      </c>
      <c r="Q1876" s="17">
        <v>0</v>
      </c>
      <c r="R1876" s="13"/>
      <c r="S1876" s="13"/>
      <c r="T1876" s="13"/>
      <c r="U1876" s="13"/>
      <c r="V1876" s="13"/>
      <c r="W1876" s="13"/>
    </row>
    <row r="1877" spans="1:23" x14ac:dyDescent="0.2">
      <c r="A1877"/>
      <c r="B1877"/>
      <c r="C1877"/>
      <c r="D1877"/>
      <c r="E1877"/>
      <c r="F1877"/>
      <c r="G1877"/>
      <c r="H1877"/>
      <c r="I1877"/>
      <c r="J1877"/>
      <c r="K1877" s="13" t="s">
        <v>174</v>
      </c>
      <c r="L1877" s="13" t="s">
        <v>411</v>
      </c>
      <c r="M1877" s="13" t="s">
        <v>362</v>
      </c>
      <c r="N1877" s="15">
        <v>6</v>
      </c>
      <c r="O1877" s="16">
        <v>0</v>
      </c>
      <c r="P1877" s="17">
        <v>0</v>
      </c>
      <c r="Q1877" s="17">
        <v>0</v>
      </c>
      <c r="R1877" s="13"/>
      <c r="S1877" s="13"/>
      <c r="T1877" s="13"/>
      <c r="U1877" s="13"/>
      <c r="V1877" s="13"/>
      <c r="W1877" s="13"/>
    </row>
    <row r="1878" spans="1:23" x14ac:dyDescent="0.2">
      <c r="A1878"/>
      <c r="B1878"/>
      <c r="C1878"/>
      <c r="D1878"/>
      <c r="E1878"/>
      <c r="F1878"/>
      <c r="G1878"/>
      <c r="H1878"/>
      <c r="I1878"/>
      <c r="J1878"/>
      <c r="K1878" s="13" t="s">
        <v>174</v>
      </c>
      <c r="L1878" s="13" t="s">
        <v>413</v>
      </c>
      <c r="M1878" s="13" t="s">
        <v>428</v>
      </c>
      <c r="N1878" s="15">
        <v>5</v>
      </c>
      <c r="O1878" s="16">
        <v>0</v>
      </c>
      <c r="P1878" s="17">
        <v>0</v>
      </c>
      <c r="Q1878" s="17">
        <v>0</v>
      </c>
      <c r="R1878" s="13"/>
      <c r="S1878" s="13"/>
      <c r="T1878" s="13"/>
      <c r="U1878" s="13"/>
      <c r="V1878" s="13"/>
      <c r="W1878" s="13"/>
    </row>
    <row r="1879" spans="1:23" x14ac:dyDescent="0.2">
      <c r="A1879"/>
      <c r="B1879"/>
      <c r="C1879"/>
      <c r="D1879"/>
      <c r="E1879"/>
      <c r="F1879"/>
      <c r="G1879"/>
      <c r="H1879"/>
      <c r="I1879"/>
      <c r="J1879"/>
      <c r="K1879" s="13" t="s">
        <v>174</v>
      </c>
      <c r="L1879" s="13" t="s">
        <v>475</v>
      </c>
      <c r="M1879" s="13" t="s">
        <v>470</v>
      </c>
      <c r="N1879" s="15">
        <v>1</v>
      </c>
      <c r="O1879" s="16">
        <v>0</v>
      </c>
      <c r="P1879" s="17">
        <v>0</v>
      </c>
      <c r="Q1879" s="17">
        <v>0</v>
      </c>
      <c r="R1879" s="13"/>
      <c r="S1879" s="13"/>
      <c r="T1879" s="13"/>
      <c r="U1879" s="13"/>
      <c r="V1879" s="13"/>
      <c r="W1879" s="13"/>
    </row>
    <row r="1880" spans="1:23" x14ac:dyDescent="0.2">
      <c r="A1880"/>
      <c r="B1880"/>
      <c r="C1880"/>
      <c r="D1880"/>
      <c r="E1880"/>
      <c r="F1880"/>
      <c r="G1880"/>
      <c r="H1880"/>
      <c r="I1880"/>
      <c r="J1880"/>
      <c r="K1880" s="13" t="s">
        <v>174</v>
      </c>
      <c r="L1880" s="13" t="s">
        <v>605</v>
      </c>
      <c r="M1880" s="13" t="s">
        <v>429</v>
      </c>
      <c r="N1880" s="15">
        <v>0</v>
      </c>
      <c r="O1880" s="16">
        <v>3.849999999627471</v>
      </c>
      <c r="P1880" s="17">
        <v>0</v>
      </c>
      <c r="Q1880" s="17">
        <v>0</v>
      </c>
      <c r="R1880" s="13"/>
      <c r="S1880" s="13"/>
      <c r="T1880" s="13"/>
      <c r="U1880" s="13"/>
      <c r="V1880" s="13"/>
      <c r="W1880" s="13"/>
    </row>
    <row r="1881" spans="1:23" x14ac:dyDescent="0.2">
      <c r="A1881"/>
      <c r="B1881"/>
      <c r="C1881"/>
      <c r="D1881"/>
      <c r="E1881"/>
      <c r="F1881"/>
      <c r="G1881"/>
      <c r="H1881"/>
      <c r="I1881"/>
      <c r="J1881"/>
      <c r="K1881" s="13" t="s">
        <v>174</v>
      </c>
      <c r="L1881" s="13" t="s">
        <v>606</v>
      </c>
      <c r="M1881" s="13" t="s">
        <v>430</v>
      </c>
      <c r="N1881" s="15">
        <v>9</v>
      </c>
      <c r="O1881" s="16">
        <v>0</v>
      </c>
      <c r="P1881" s="17">
        <v>0</v>
      </c>
      <c r="Q1881" s="17">
        <v>0</v>
      </c>
      <c r="R1881" s="13"/>
      <c r="S1881" s="13"/>
      <c r="T1881" s="13"/>
      <c r="U1881" s="13"/>
      <c r="V1881" s="13"/>
      <c r="W1881" s="13"/>
    </row>
    <row r="1882" spans="1:23" x14ac:dyDescent="0.2">
      <c r="A1882"/>
      <c r="B1882"/>
      <c r="C1882"/>
      <c r="D1882"/>
      <c r="E1882"/>
      <c r="F1882"/>
      <c r="G1882"/>
      <c r="H1882"/>
      <c r="I1882"/>
      <c r="J1882"/>
      <c r="K1882" s="13" t="s">
        <v>174</v>
      </c>
      <c r="L1882" s="13" t="s">
        <v>624</v>
      </c>
      <c r="M1882" s="13" t="s">
        <v>531</v>
      </c>
      <c r="N1882" s="15">
        <v>1</v>
      </c>
      <c r="O1882" s="16">
        <v>0</v>
      </c>
      <c r="P1882" s="17">
        <v>0</v>
      </c>
      <c r="Q1882" s="17">
        <v>0</v>
      </c>
      <c r="R1882" s="13"/>
      <c r="S1882" s="13"/>
      <c r="T1882" s="13"/>
      <c r="U1882" s="13"/>
      <c r="V1882" s="13"/>
      <c r="W1882" s="13"/>
    </row>
    <row r="1883" spans="1:23" x14ac:dyDescent="0.2">
      <c r="A1883"/>
      <c r="B1883"/>
      <c r="C1883"/>
      <c r="D1883"/>
      <c r="E1883"/>
      <c r="F1883"/>
      <c r="G1883"/>
      <c r="H1883"/>
      <c r="I1883"/>
      <c r="J1883"/>
      <c r="K1883" s="13" t="s">
        <v>174</v>
      </c>
      <c r="L1883" s="13" t="s">
        <v>607</v>
      </c>
      <c r="M1883" s="13" t="s">
        <v>431</v>
      </c>
      <c r="N1883" s="15">
        <v>4</v>
      </c>
      <c r="O1883" s="16">
        <v>0</v>
      </c>
      <c r="P1883" s="17">
        <v>0</v>
      </c>
      <c r="Q1883" s="17">
        <v>0</v>
      </c>
      <c r="R1883" s="13"/>
      <c r="S1883" s="13"/>
      <c r="T1883" s="13"/>
      <c r="U1883" s="13"/>
      <c r="V1883" s="13"/>
      <c r="W1883" s="13"/>
    </row>
    <row r="1884" spans="1:23" x14ac:dyDescent="0.2">
      <c r="A1884"/>
      <c r="B1884"/>
      <c r="C1884"/>
      <c r="D1884"/>
      <c r="E1884"/>
      <c r="F1884"/>
      <c r="G1884"/>
      <c r="H1884"/>
      <c r="I1884"/>
      <c r="J1884"/>
      <c r="K1884" s="13" t="s">
        <v>174</v>
      </c>
      <c r="L1884" s="13" t="s">
        <v>608</v>
      </c>
      <c r="M1884" s="13" t="s">
        <v>432</v>
      </c>
      <c r="N1884" s="15">
        <v>1</v>
      </c>
      <c r="O1884" s="16">
        <v>0</v>
      </c>
      <c r="P1884" s="17">
        <v>0</v>
      </c>
      <c r="Q1884" s="17">
        <v>0</v>
      </c>
      <c r="R1884" s="13"/>
      <c r="S1884" s="13"/>
      <c r="T1884" s="13"/>
      <c r="U1884" s="13"/>
      <c r="V1884" s="13"/>
      <c r="W1884" s="13"/>
    </row>
    <row r="1885" spans="1:23" x14ac:dyDescent="0.2">
      <c r="A1885"/>
      <c r="B1885"/>
      <c r="C1885"/>
      <c r="D1885"/>
      <c r="E1885"/>
      <c r="F1885"/>
      <c r="G1885"/>
      <c r="H1885"/>
      <c r="I1885"/>
      <c r="J1885"/>
      <c r="K1885" s="13" t="s">
        <v>174</v>
      </c>
      <c r="L1885" s="13" t="s">
        <v>415</v>
      </c>
      <c r="M1885" s="13" t="s">
        <v>412</v>
      </c>
      <c r="N1885" s="15">
        <v>0</v>
      </c>
      <c r="O1885" s="16">
        <v>0</v>
      </c>
      <c r="P1885" s="17">
        <v>61.480099995340666</v>
      </c>
      <c r="Q1885" s="17">
        <v>0</v>
      </c>
      <c r="R1885" s="13"/>
      <c r="S1885" s="13"/>
      <c r="T1885" s="13"/>
      <c r="U1885" s="13"/>
      <c r="V1885" s="13"/>
      <c r="W1885" s="13"/>
    </row>
    <row r="1886" spans="1:23" x14ac:dyDescent="0.2">
      <c r="A1886"/>
      <c r="B1886"/>
      <c r="C1886"/>
      <c r="D1886"/>
      <c r="E1886"/>
      <c r="F1886"/>
      <c r="G1886"/>
      <c r="H1886"/>
      <c r="I1886"/>
      <c r="J1886"/>
      <c r="K1886" s="13" t="s">
        <v>174</v>
      </c>
      <c r="L1886" s="13" t="s">
        <v>417</v>
      </c>
      <c r="M1886" s="13" t="s">
        <v>414</v>
      </c>
      <c r="N1886" s="15">
        <v>0</v>
      </c>
      <c r="O1886" s="16">
        <v>0</v>
      </c>
      <c r="P1886" s="17">
        <v>18.499400003424405</v>
      </c>
      <c r="Q1886" s="17">
        <v>0</v>
      </c>
      <c r="R1886" s="13"/>
      <c r="S1886" s="13"/>
      <c r="T1886" s="13"/>
      <c r="U1886" s="13"/>
      <c r="V1886" s="13"/>
      <c r="W1886" s="13"/>
    </row>
    <row r="1887" spans="1:23" x14ac:dyDescent="0.2">
      <c r="A1887"/>
      <c r="B1887"/>
      <c r="C1887"/>
      <c r="D1887"/>
      <c r="E1887"/>
      <c r="F1887"/>
      <c r="G1887"/>
      <c r="H1887"/>
      <c r="I1887"/>
      <c r="J1887"/>
      <c r="K1887" s="13" t="s">
        <v>174</v>
      </c>
      <c r="L1887" s="13" t="s">
        <v>419</v>
      </c>
      <c r="M1887" s="13" t="s">
        <v>442</v>
      </c>
      <c r="N1887" s="15">
        <v>0</v>
      </c>
      <c r="O1887" s="16">
        <v>56.745737792485755</v>
      </c>
      <c r="P1887" s="17">
        <v>0</v>
      </c>
      <c r="Q1887" s="17">
        <v>0</v>
      </c>
      <c r="R1887" s="13"/>
      <c r="S1887" s="13"/>
      <c r="T1887" s="13"/>
      <c r="U1887" s="13"/>
      <c r="V1887" s="13"/>
      <c r="W1887" s="13"/>
    </row>
    <row r="1888" spans="1:23" x14ac:dyDescent="0.2">
      <c r="A1888"/>
      <c r="B1888"/>
      <c r="C1888"/>
      <c r="D1888"/>
      <c r="E1888"/>
      <c r="F1888"/>
      <c r="G1888"/>
      <c r="H1888"/>
      <c r="I1888"/>
      <c r="J1888"/>
      <c r="K1888" s="13" t="s">
        <v>174</v>
      </c>
      <c r="L1888" s="13" t="s">
        <v>609</v>
      </c>
      <c r="M1888" s="13" t="s">
        <v>416</v>
      </c>
      <c r="N1888" s="15">
        <v>0</v>
      </c>
      <c r="O1888" s="16">
        <v>35.034361173324882</v>
      </c>
      <c r="P1888" s="17">
        <v>0</v>
      </c>
      <c r="Q1888" s="17">
        <v>0</v>
      </c>
      <c r="R1888" s="13"/>
      <c r="S1888" s="13"/>
      <c r="T1888" s="13"/>
      <c r="U1888" s="13"/>
      <c r="V1888" s="13"/>
      <c r="W1888" s="13"/>
    </row>
    <row r="1889" spans="1:23" x14ac:dyDescent="0.2">
      <c r="A1889"/>
      <c r="B1889"/>
      <c r="C1889"/>
      <c r="D1889"/>
      <c r="E1889"/>
      <c r="F1889"/>
      <c r="G1889"/>
      <c r="H1889"/>
      <c r="I1889"/>
      <c r="J1889"/>
      <c r="K1889" s="13" t="s">
        <v>174</v>
      </c>
      <c r="L1889" s="13" t="s">
        <v>610</v>
      </c>
      <c r="M1889" s="13" t="s">
        <v>418</v>
      </c>
      <c r="N1889" s="15">
        <v>0</v>
      </c>
      <c r="O1889" s="16">
        <v>56.316973030574175</v>
      </c>
      <c r="P1889" s="17">
        <v>0</v>
      </c>
      <c r="Q1889" s="17">
        <v>0</v>
      </c>
      <c r="R1889" s="13"/>
      <c r="S1889" s="13"/>
      <c r="T1889" s="13"/>
      <c r="U1889" s="13"/>
      <c r="V1889" s="13"/>
      <c r="W1889" s="13"/>
    </row>
    <row r="1890" spans="1:23" x14ac:dyDescent="0.2">
      <c r="A1890"/>
      <c r="B1890"/>
      <c r="C1890"/>
      <c r="D1890"/>
      <c r="E1890"/>
      <c r="F1890"/>
      <c r="G1890"/>
      <c r="H1890"/>
      <c r="I1890"/>
      <c r="J1890"/>
      <c r="K1890" s="13" t="s">
        <v>174</v>
      </c>
      <c r="L1890" s="13" t="s">
        <v>383</v>
      </c>
      <c r="M1890" s="13" t="s">
        <v>420</v>
      </c>
      <c r="N1890" s="15">
        <v>6</v>
      </c>
      <c r="O1890" s="16">
        <v>0</v>
      </c>
      <c r="P1890" s="17">
        <v>0</v>
      </c>
      <c r="Q1890" s="17">
        <v>0</v>
      </c>
      <c r="R1890" s="13"/>
      <c r="S1890" s="13"/>
      <c r="T1890" s="13"/>
      <c r="U1890" s="13"/>
      <c r="V1890" s="13"/>
      <c r="W1890" s="13"/>
    </row>
    <row r="1891" spans="1:23" x14ac:dyDescent="0.2">
      <c r="A1891"/>
      <c r="B1891"/>
      <c r="C1891"/>
      <c r="D1891"/>
      <c r="E1891"/>
      <c r="F1891"/>
      <c r="G1891"/>
      <c r="H1891"/>
      <c r="I1891"/>
      <c r="J1891"/>
      <c r="K1891" s="13" t="s">
        <v>174</v>
      </c>
      <c r="L1891" s="13" t="s">
        <v>614</v>
      </c>
      <c r="M1891" s="13" t="s">
        <v>447</v>
      </c>
      <c r="N1891" s="15">
        <v>5</v>
      </c>
      <c r="O1891" s="16">
        <v>0</v>
      </c>
      <c r="P1891" s="17">
        <v>0</v>
      </c>
      <c r="Q1891" s="17">
        <v>0</v>
      </c>
      <c r="R1891" s="13"/>
      <c r="S1891" s="13"/>
      <c r="T1891" s="13"/>
      <c r="U1891" s="13"/>
      <c r="V1891" s="13"/>
      <c r="W1891" s="13"/>
    </row>
    <row r="1892" spans="1:23" x14ac:dyDescent="0.2">
      <c r="A1892"/>
      <c r="B1892"/>
      <c r="C1892"/>
      <c r="D1892"/>
      <c r="E1892"/>
      <c r="F1892"/>
      <c r="G1892"/>
      <c r="H1892"/>
      <c r="I1892"/>
      <c r="J1892"/>
      <c r="K1892" s="13" t="s">
        <v>174</v>
      </c>
      <c r="L1892" s="13" t="s">
        <v>612</v>
      </c>
      <c r="M1892" s="13" t="s">
        <v>425</v>
      </c>
      <c r="N1892" s="15">
        <v>1</v>
      </c>
      <c r="O1892" s="16">
        <v>0</v>
      </c>
      <c r="P1892" s="17">
        <v>0</v>
      </c>
      <c r="Q1892" s="17">
        <v>0</v>
      </c>
      <c r="R1892" s="13"/>
      <c r="S1892" s="13"/>
      <c r="T1892" s="13"/>
      <c r="U1892" s="13"/>
      <c r="V1892" s="13"/>
      <c r="W1892" s="13"/>
    </row>
    <row r="1893" spans="1:23" x14ac:dyDescent="0.2">
      <c r="A1893"/>
      <c r="B1893"/>
      <c r="C1893"/>
      <c r="D1893"/>
      <c r="E1893"/>
      <c r="F1893"/>
      <c r="G1893"/>
      <c r="H1893"/>
      <c r="I1893"/>
      <c r="J1893"/>
      <c r="K1893" s="13" t="s">
        <v>176</v>
      </c>
      <c r="L1893" s="13" t="s">
        <v>387</v>
      </c>
      <c r="M1893" s="13" t="s">
        <v>386</v>
      </c>
      <c r="N1893" s="15">
        <v>0</v>
      </c>
      <c r="O1893" s="16">
        <v>0</v>
      </c>
      <c r="P1893" s="17">
        <v>621.80339999715056</v>
      </c>
      <c r="Q1893" s="17">
        <v>0</v>
      </c>
      <c r="R1893" s="13"/>
      <c r="S1893" s="13"/>
      <c r="T1893" s="13"/>
      <c r="U1893" s="13"/>
      <c r="V1893" s="13"/>
      <c r="W1893" s="13"/>
    </row>
    <row r="1894" spans="1:23" x14ac:dyDescent="0.2">
      <c r="A1894"/>
      <c r="B1894"/>
      <c r="C1894"/>
      <c r="D1894"/>
      <c r="E1894"/>
      <c r="F1894"/>
      <c r="G1894"/>
      <c r="H1894"/>
      <c r="I1894"/>
      <c r="J1894"/>
      <c r="K1894" s="13" t="s">
        <v>176</v>
      </c>
      <c r="L1894" s="13" t="s">
        <v>389</v>
      </c>
      <c r="M1894" s="13" t="s">
        <v>388</v>
      </c>
      <c r="N1894" s="15">
        <v>0</v>
      </c>
      <c r="O1894" s="16">
        <v>0</v>
      </c>
      <c r="P1894" s="17">
        <v>407.16344998360478</v>
      </c>
      <c r="Q1894" s="17">
        <v>0</v>
      </c>
      <c r="R1894" s="13"/>
      <c r="S1894" s="13"/>
      <c r="T1894" s="13"/>
      <c r="U1894" s="13"/>
      <c r="V1894" s="13"/>
      <c r="W1894" s="13"/>
    </row>
    <row r="1895" spans="1:23" x14ac:dyDescent="0.2">
      <c r="A1895"/>
      <c r="B1895"/>
      <c r="C1895"/>
      <c r="D1895"/>
      <c r="E1895"/>
      <c r="F1895"/>
      <c r="G1895"/>
      <c r="H1895"/>
      <c r="I1895"/>
      <c r="J1895"/>
      <c r="K1895" s="13" t="s">
        <v>176</v>
      </c>
      <c r="L1895" s="13" t="s">
        <v>486</v>
      </c>
      <c r="M1895" s="13" t="s">
        <v>439</v>
      </c>
      <c r="N1895" s="15">
        <v>0</v>
      </c>
      <c r="O1895" s="16">
        <v>0</v>
      </c>
      <c r="P1895" s="17">
        <v>2.5483499995755032</v>
      </c>
      <c r="Q1895" s="17">
        <v>0</v>
      </c>
      <c r="R1895" s="13"/>
      <c r="S1895" s="13"/>
      <c r="T1895" s="13"/>
      <c r="U1895" s="13"/>
      <c r="V1895" s="13"/>
      <c r="W1895" s="13"/>
    </row>
    <row r="1896" spans="1:23" x14ac:dyDescent="0.2">
      <c r="A1896"/>
      <c r="B1896"/>
      <c r="C1896"/>
      <c r="D1896"/>
      <c r="E1896"/>
      <c r="F1896"/>
      <c r="G1896"/>
      <c r="H1896"/>
      <c r="I1896"/>
      <c r="J1896"/>
      <c r="K1896" s="13" t="s">
        <v>176</v>
      </c>
      <c r="L1896" s="13" t="s">
        <v>402</v>
      </c>
      <c r="M1896" s="13" t="s">
        <v>403</v>
      </c>
      <c r="N1896" s="15">
        <v>0</v>
      </c>
      <c r="O1896" s="16">
        <v>0</v>
      </c>
      <c r="P1896" s="17">
        <v>1268.7374999533467</v>
      </c>
      <c r="Q1896" s="17">
        <v>0</v>
      </c>
      <c r="R1896" s="13"/>
      <c r="S1896" s="13"/>
      <c r="T1896" s="13"/>
      <c r="U1896" s="13"/>
      <c r="V1896" s="13"/>
      <c r="W1896" s="13"/>
    </row>
    <row r="1897" spans="1:23" x14ac:dyDescent="0.2">
      <c r="A1897"/>
      <c r="B1897"/>
      <c r="C1897"/>
      <c r="D1897"/>
      <c r="E1897"/>
      <c r="F1897"/>
      <c r="G1897"/>
      <c r="H1897"/>
      <c r="I1897"/>
      <c r="J1897"/>
      <c r="K1897" s="13" t="s">
        <v>176</v>
      </c>
      <c r="L1897" s="13" t="s">
        <v>456</v>
      </c>
      <c r="M1897" s="13" t="s">
        <v>457</v>
      </c>
      <c r="N1897" s="15">
        <v>0</v>
      </c>
      <c r="O1897" s="16">
        <v>0</v>
      </c>
      <c r="P1897" s="17">
        <v>50.499800006596303</v>
      </c>
      <c r="Q1897" s="17">
        <v>0</v>
      </c>
      <c r="R1897" s="13"/>
      <c r="S1897" s="13"/>
      <c r="T1897" s="13"/>
      <c r="U1897" s="13"/>
      <c r="V1897" s="13"/>
      <c r="W1897" s="13"/>
    </row>
    <row r="1898" spans="1:23" x14ac:dyDescent="0.2">
      <c r="A1898"/>
      <c r="B1898"/>
      <c r="C1898"/>
      <c r="D1898"/>
      <c r="E1898"/>
      <c r="F1898"/>
      <c r="G1898"/>
      <c r="H1898"/>
      <c r="I1898"/>
      <c r="J1898"/>
      <c r="K1898" s="13" t="s">
        <v>176</v>
      </c>
      <c r="L1898" s="13" t="s">
        <v>381</v>
      </c>
      <c r="M1898" s="13" t="s">
        <v>382</v>
      </c>
      <c r="N1898" s="15">
        <v>8</v>
      </c>
      <c r="O1898" s="16">
        <v>0</v>
      </c>
      <c r="P1898" s="17">
        <v>0</v>
      </c>
      <c r="Q1898" s="17">
        <v>0</v>
      </c>
      <c r="R1898" s="13"/>
      <c r="S1898" s="13"/>
      <c r="T1898" s="13"/>
      <c r="U1898" s="13"/>
      <c r="V1898" s="13"/>
      <c r="W1898" s="13"/>
    </row>
    <row r="1899" spans="1:23" x14ac:dyDescent="0.2">
      <c r="A1899"/>
      <c r="B1899"/>
      <c r="C1899"/>
      <c r="D1899"/>
      <c r="E1899"/>
      <c r="F1899"/>
      <c r="G1899"/>
      <c r="H1899"/>
      <c r="I1899"/>
      <c r="J1899"/>
      <c r="K1899" s="13" t="s">
        <v>176</v>
      </c>
      <c r="L1899" s="13" t="s">
        <v>603</v>
      </c>
      <c r="M1899" s="13" t="s">
        <v>385</v>
      </c>
      <c r="N1899" s="15">
        <v>0</v>
      </c>
      <c r="O1899" s="16">
        <v>40.33588285218476</v>
      </c>
      <c r="P1899" s="17">
        <v>0</v>
      </c>
      <c r="Q1899" s="17">
        <v>0</v>
      </c>
      <c r="R1899" s="13"/>
      <c r="S1899" s="13"/>
      <c r="T1899" s="13"/>
      <c r="U1899" s="13"/>
      <c r="V1899" s="13"/>
      <c r="W1899" s="13"/>
    </row>
    <row r="1900" spans="1:23" x14ac:dyDescent="0.2">
      <c r="A1900"/>
      <c r="B1900"/>
      <c r="C1900"/>
      <c r="D1900"/>
      <c r="E1900"/>
      <c r="F1900"/>
      <c r="G1900"/>
      <c r="H1900"/>
      <c r="I1900"/>
      <c r="J1900"/>
      <c r="K1900" s="13" t="s">
        <v>176</v>
      </c>
      <c r="L1900" s="13" t="s">
        <v>605</v>
      </c>
      <c r="M1900" s="13" t="s">
        <v>429</v>
      </c>
      <c r="N1900" s="15">
        <v>1</v>
      </c>
      <c r="O1900" s="16">
        <v>0</v>
      </c>
      <c r="P1900" s="17">
        <v>0</v>
      </c>
      <c r="Q1900" s="17">
        <v>0</v>
      </c>
      <c r="R1900" s="13"/>
      <c r="S1900" s="13"/>
      <c r="T1900" s="13"/>
      <c r="U1900" s="13"/>
      <c r="V1900" s="13"/>
      <c r="W1900" s="13"/>
    </row>
    <row r="1901" spans="1:23" x14ac:dyDescent="0.2">
      <c r="A1901"/>
      <c r="B1901"/>
      <c r="C1901"/>
      <c r="D1901"/>
      <c r="E1901"/>
      <c r="F1901"/>
      <c r="G1901"/>
      <c r="H1901"/>
      <c r="I1901"/>
      <c r="J1901"/>
      <c r="K1901" s="13" t="s">
        <v>176</v>
      </c>
      <c r="L1901" s="13" t="s">
        <v>606</v>
      </c>
      <c r="M1901" s="13" t="s">
        <v>430</v>
      </c>
      <c r="N1901" s="15">
        <v>6</v>
      </c>
      <c r="O1901" s="16">
        <v>0</v>
      </c>
      <c r="P1901" s="17">
        <v>0</v>
      </c>
      <c r="Q1901" s="17">
        <v>0</v>
      </c>
      <c r="R1901" s="13"/>
      <c r="S1901" s="13"/>
      <c r="T1901" s="13"/>
      <c r="U1901" s="13"/>
      <c r="V1901" s="13"/>
      <c r="W1901" s="13"/>
    </row>
    <row r="1902" spans="1:23" x14ac:dyDescent="0.2">
      <c r="A1902"/>
      <c r="B1902"/>
      <c r="C1902"/>
      <c r="D1902"/>
      <c r="E1902"/>
      <c r="F1902"/>
      <c r="G1902"/>
      <c r="H1902"/>
      <c r="I1902"/>
      <c r="J1902"/>
      <c r="K1902" s="13" t="s">
        <v>176</v>
      </c>
      <c r="L1902" s="13" t="s">
        <v>607</v>
      </c>
      <c r="M1902" s="13" t="s">
        <v>431</v>
      </c>
      <c r="N1902" s="15">
        <v>1</v>
      </c>
      <c r="O1902" s="16">
        <v>0</v>
      </c>
      <c r="P1902" s="17">
        <v>0</v>
      </c>
      <c r="Q1902" s="17">
        <v>0</v>
      </c>
      <c r="R1902" s="13"/>
      <c r="S1902" s="13"/>
      <c r="T1902" s="13"/>
      <c r="U1902" s="13"/>
      <c r="V1902" s="13"/>
      <c r="W1902" s="13"/>
    </row>
    <row r="1903" spans="1:23" x14ac:dyDescent="0.2">
      <c r="A1903"/>
      <c r="B1903"/>
      <c r="C1903"/>
      <c r="D1903"/>
      <c r="E1903"/>
      <c r="F1903"/>
      <c r="G1903"/>
      <c r="H1903"/>
      <c r="I1903"/>
      <c r="J1903"/>
      <c r="K1903" s="13" t="s">
        <v>176</v>
      </c>
      <c r="L1903" s="13" t="s">
        <v>615</v>
      </c>
      <c r="M1903" s="13" t="s">
        <v>449</v>
      </c>
      <c r="N1903" s="15">
        <v>1</v>
      </c>
      <c r="O1903" s="16">
        <v>0</v>
      </c>
      <c r="P1903" s="17">
        <v>0</v>
      </c>
      <c r="Q1903" s="17">
        <v>0</v>
      </c>
      <c r="R1903" s="13"/>
      <c r="S1903" s="13"/>
      <c r="T1903" s="13"/>
      <c r="U1903" s="13"/>
      <c r="V1903" s="13"/>
      <c r="W1903" s="13"/>
    </row>
    <row r="1904" spans="1:23" x14ac:dyDescent="0.2">
      <c r="A1904"/>
      <c r="B1904"/>
      <c r="C1904"/>
      <c r="D1904"/>
      <c r="E1904"/>
      <c r="F1904"/>
      <c r="G1904"/>
      <c r="H1904"/>
      <c r="I1904"/>
      <c r="J1904"/>
      <c r="K1904" s="13" t="s">
        <v>176</v>
      </c>
      <c r="L1904" s="13" t="s">
        <v>415</v>
      </c>
      <c r="M1904" s="13" t="s">
        <v>412</v>
      </c>
      <c r="N1904" s="15">
        <v>0</v>
      </c>
      <c r="O1904" s="16">
        <v>0</v>
      </c>
      <c r="P1904" s="17">
        <v>10.493150000508781</v>
      </c>
      <c r="Q1904" s="17">
        <v>0</v>
      </c>
      <c r="R1904" s="13"/>
      <c r="S1904" s="13"/>
      <c r="T1904" s="13"/>
      <c r="U1904" s="13"/>
      <c r="V1904" s="13"/>
      <c r="W1904" s="13"/>
    </row>
    <row r="1905" spans="1:23" x14ac:dyDescent="0.2">
      <c r="A1905"/>
      <c r="B1905"/>
      <c r="C1905"/>
      <c r="D1905"/>
      <c r="E1905"/>
      <c r="F1905"/>
      <c r="G1905"/>
      <c r="H1905"/>
      <c r="I1905"/>
      <c r="J1905"/>
      <c r="K1905" s="13" t="s">
        <v>176</v>
      </c>
      <c r="L1905" s="13" t="s">
        <v>417</v>
      </c>
      <c r="M1905" s="13" t="s">
        <v>414</v>
      </c>
      <c r="N1905" s="15">
        <v>0</v>
      </c>
      <c r="O1905" s="16">
        <v>0</v>
      </c>
      <c r="P1905" s="17">
        <v>2.3457999964508227</v>
      </c>
      <c r="Q1905" s="17">
        <v>0</v>
      </c>
      <c r="R1905" s="13"/>
      <c r="S1905" s="13"/>
      <c r="T1905" s="13"/>
      <c r="U1905" s="13"/>
      <c r="V1905" s="13"/>
      <c r="W1905" s="13"/>
    </row>
    <row r="1906" spans="1:23" x14ac:dyDescent="0.2">
      <c r="A1906"/>
      <c r="B1906"/>
      <c r="C1906"/>
      <c r="D1906"/>
      <c r="E1906"/>
      <c r="F1906"/>
      <c r="G1906"/>
      <c r="H1906"/>
      <c r="I1906"/>
      <c r="J1906"/>
      <c r="K1906" s="13" t="s">
        <v>176</v>
      </c>
      <c r="L1906" s="13" t="s">
        <v>609</v>
      </c>
      <c r="M1906" s="13" t="s">
        <v>416</v>
      </c>
      <c r="N1906" s="15">
        <v>0</v>
      </c>
      <c r="O1906" s="16">
        <v>19.328941335383409</v>
      </c>
      <c r="P1906" s="17">
        <v>0</v>
      </c>
      <c r="Q1906" s="17">
        <v>0</v>
      </c>
      <c r="R1906" s="13"/>
      <c r="S1906" s="13"/>
      <c r="T1906" s="13"/>
      <c r="U1906" s="13"/>
      <c r="V1906" s="13"/>
      <c r="W1906" s="13"/>
    </row>
    <row r="1907" spans="1:23" x14ac:dyDescent="0.2">
      <c r="A1907"/>
      <c r="B1907"/>
      <c r="C1907"/>
      <c r="D1907"/>
      <c r="E1907"/>
      <c r="F1907"/>
      <c r="G1907"/>
      <c r="H1907"/>
      <c r="I1907"/>
      <c r="J1907"/>
      <c r="K1907" s="13" t="s">
        <v>176</v>
      </c>
      <c r="L1907" s="13" t="s">
        <v>421</v>
      </c>
      <c r="M1907" s="13" t="s">
        <v>443</v>
      </c>
      <c r="N1907" s="15">
        <v>2</v>
      </c>
      <c r="O1907" s="16">
        <v>0</v>
      </c>
      <c r="P1907" s="17">
        <v>0</v>
      </c>
      <c r="Q1907" s="17">
        <v>0</v>
      </c>
      <c r="R1907" s="13"/>
      <c r="S1907" s="13"/>
      <c r="T1907" s="13"/>
      <c r="U1907" s="13"/>
      <c r="V1907" s="13"/>
      <c r="W1907" s="13"/>
    </row>
    <row r="1908" spans="1:23" x14ac:dyDescent="0.2">
      <c r="A1908"/>
      <c r="B1908"/>
      <c r="C1908"/>
      <c r="D1908"/>
      <c r="E1908"/>
      <c r="F1908"/>
      <c r="G1908"/>
      <c r="H1908"/>
      <c r="I1908"/>
      <c r="J1908"/>
      <c r="K1908" s="13" t="s">
        <v>176</v>
      </c>
      <c r="L1908" s="13" t="s">
        <v>383</v>
      </c>
      <c r="M1908" s="13" t="s">
        <v>420</v>
      </c>
      <c r="N1908" s="15">
        <v>2</v>
      </c>
      <c r="O1908" s="16">
        <v>0</v>
      </c>
      <c r="P1908" s="17">
        <v>0</v>
      </c>
      <c r="Q1908" s="17">
        <v>0</v>
      </c>
      <c r="R1908" s="13"/>
      <c r="S1908" s="13"/>
      <c r="T1908" s="13"/>
      <c r="U1908" s="13"/>
      <c r="V1908" s="13"/>
      <c r="W1908" s="13"/>
    </row>
    <row r="1909" spans="1:23" x14ac:dyDescent="0.2">
      <c r="A1909"/>
      <c r="B1909"/>
      <c r="C1909"/>
      <c r="D1909"/>
      <c r="E1909"/>
      <c r="F1909"/>
      <c r="G1909"/>
      <c r="H1909"/>
      <c r="I1909"/>
      <c r="J1909"/>
      <c r="K1909" s="13" t="s">
        <v>176</v>
      </c>
      <c r="L1909" s="13" t="s">
        <v>467</v>
      </c>
      <c r="M1909" s="13" t="s">
        <v>422</v>
      </c>
      <c r="N1909" s="15">
        <v>0</v>
      </c>
      <c r="O1909" s="16">
        <v>128.96539617048001</v>
      </c>
      <c r="P1909" s="17">
        <v>0</v>
      </c>
      <c r="Q1909" s="17">
        <v>0</v>
      </c>
      <c r="R1909" s="13"/>
      <c r="S1909" s="13"/>
      <c r="T1909" s="13"/>
      <c r="U1909" s="13"/>
      <c r="V1909" s="13"/>
      <c r="W1909" s="13"/>
    </row>
    <row r="1910" spans="1:23" x14ac:dyDescent="0.2">
      <c r="A1910"/>
      <c r="B1910"/>
      <c r="C1910"/>
      <c r="D1910"/>
      <c r="E1910"/>
      <c r="F1910"/>
      <c r="G1910"/>
      <c r="H1910"/>
      <c r="I1910"/>
      <c r="J1910"/>
      <c r="K1910" s="13" t="s">
        <v>176</v>
      </c>
      <c r="L1910" s="13" t="s">
        <v>613</v>
      </c>
      <c r="M1910" s="13" t="s">
        <v>444</v>
      </c>
      <c r="N1910" s="15">
        <v>0</v>
      </c>
      <c r="O1910" s="16">
        <v>20.921681160779684</v>
      </c>
      <c r="P1910" s="17">
        <v>0</v>
      </c>
      <c r="Q1910" s="17">
        <v>0</v>
      </c>
      <c r="R1910" s="13"/>
      <c r="S1910" s="13"/>
      <c r="T1910" s="13"/>
      <c r="U1910" s="13"/>
      <c r="V1910" s="13"/>
      <c r="W1910" s="13"/>
    </row>
    <row r="1911" spans="1:23" x14ac:dyDescent="0.2">
      <c r="A1911"/>
      <c r="B1911"/>
      <c r="C1911"/>
      <c r="D1911"/>
      <c r="E1911"/>
      <c r="F1911"/>
      <c r="G1911"/>
      <c r="H1911"/>
      <c r="I1911"/>
      <c r="J1911"/>
      <c r="K1911" s="13" t="s">
        <v>176</v>
      </c>
      <c r="L1911" s="13" t="s">
        <v>612</v>
      </c>
      <c r="M1911" s="13" t="s">
        <v>425</v>
      </c>
      <c r="N1911" s="15">
        <v>1</v>
      </c>
      <c r="O1911" s="16">
        <v>0</v>
      </c>
      <c r="P1911" s="17">
        <v>0</v>
      </c>
      <c r="Q1911" s="17">
        <v>0</v>
      </c>
      <c r="R1911" s="13"/>
      <c r="S1911" s="13"/>
      <c r="T1911" s="13"/>
      <c r="U1911" s="13"/>
      <c r="V1911" s="13"/>
      <c r="W1911" s="13"/>
    </row>
    <row r="1912" spans="1:23" x14ac:dyDescent="0.2">
      <c r="A1912"/>
      <c r="B1912"/>
      <c r="C1912"/>
      <c r="D1912"/>
      <c r="E1912"/>
      <c r="F1912"/>
      <c r="G1912"/>
      <c r="H1912"/>
      <c r="I1912"/>
      <c r="J1912"/>
      <c r="K1912" s="13" t="s">
        <v>178</v>
      </c>
      <c r="L1912" s="13" t="s">
        <v>435</v>
      </c>
      <c r="M1912" s="13" t="s">
        <v>364</v>
      </c>
      <c r="N1912" s="15">
        <v>0</v>
      </c>
      <c r="O1912" s="16">
        <v>0</v>
      </c>
      <c r="P1912" s="17">
        <v>19.099949998783366</v>
      </c>
      <c r="Q1912" s="17">
        <v>0</v>
      </c>
      <c r="R1912" s="13"/>
      <c r="S1912" s="13"/>
      <c r="T1912" s="13"/>
      <c r="U1912" s="13"/>
      <c r="V1912" s="13"/>
      <c r="W1912" s="13"/>
    </row>
    <row r="1913" spans="1:23" x14ac:dyDescent="0.2">
      <c r="A1913"/>
      <c r="B1913"/>
      <c r="C1913"/>
      <c r="D1913"/>
      <c r="E1913"/>
      <c r="F1913"/>
      <c r="G1913"/>
      <c r="H1913"/>
      <c r="I1913"/>
      <c r="J1913"/>
      <c r="K1913" s="13" t="s">
        <v>178</v>
      </c>
      <c r="L1913" s="13" t="s">
        <v>435</v>
      </c>
      <c r="M1913" s="13" t="s">
        <v>364</v>
      </c>
      <c r="N1913" s="15">
        <v>0</v>
      </c>
      <c r="O1913" s="16">
        <v>17.203636162209911</v>
      </c>
      <c r="P1913" s="17">
        <v>0</v>
      </c>
      <c r="Q1913" s="17">
        <v>0</v>
      </c>
      <c r="R1913" s="13"/>
      <c r="S1913" s="13"/>
      <c r="T1913" s="13"/>
      <c r="U1913" s="13"/>
      <c r="V1913" s="13"/>
      <c r="W1913" s="13"/>
    </row>
    <row r="1914" spans="1:23" x14ac:dyDescent="0.2">
      <c r="A1914"/>
      <c r="B1914"/>
      <c r="C1914"/>
      <c r="D1914"/>
      <c r="E1914"/>
      <c r="F1914"/>
      <c r="G1914"/>
      <c r="H1914"/>
      <c r="I1914"/>
      <c r="J1914"/>
      <c r="K1914" s="13" t="s">
        <v>178</v>
      </c>
      <c r="L1914" s="13" t="s">
        <v>387</v>
      </c>
      <c r="M1914" s="13" t="s">
        <v>386</v>
      </c>
      <c r="N1914" s="15">
        <v>0</v>
      </c>
      <c r="O1914" s="16">
        <v>0</v>
      </c>
      <c r="P1914" s="17">
        <v>5.3478500058755509</v>
      </c>
      <c r="Q1914" s="17">
        <v>0</v>
      </c>
      <c r="R1914" s="13"/>
      <c r="S1914" s="13"/>
      <c r="T1914" s="13"/>
      <c r="U1914" s="13"/>
      <c r="V1914" s="13"/>
      <c r="W1914" s="13"/>
    </row>
    <row r="1915" spans="1:23" x14ac:dyDescent="0.2">
      <c r="A1915"/>
      <c r="B1915"/>
      <c r="C1915"/>
      <c r="D1915"/>
      <c r="E1915"/>
      <c r="F1915"/>
      <c r="G1915"/>
      <c r="H1915"/>
      <c r="I1915"/>
      <c r="J1915"/>
      <c r="K1915" s="13" t="s">
        <v>178</v>
      </c>
      <c r="L1915" s="13" t="s">
        <v>389</v>
      </c>
      <c r="M1915" s="13" t="s">
        <v>388</v>
      </c>
      <c r="N1915" s="15">
        <v>0</v>
      </c>
      <c r="O1915" s="16">
        <v>0</v>
      </c>
      <c r="P1915" s="17">
        <v>123.69569999629</v>
      </c>
      <c r="Q1915" s="17">
        <v>0</v>
      </c>
      <c r="R1915" s="13"/>
      <c r="S1915" s="13"/>
      <c r="T1915" s="13"/>
      <c r="U1915" s="13"/>
      <c r="V1915" s="13"/>
      <c r="W1915" s="13"/>
    </row>
    <row r="1916" spans="1:23" x14ac:dyDescent="0.2">
      <c r="A1916"/>
      <c r="B1916"/>
      <c r="C1916"/>
      <c r="D1916"/>
      <c r="E1916"/>
      <c r="F1916"/>
      <c r="G1916"/>
      <c r="H1916"/>
      <c r="I1916"/>
      <c r="J1916"/>
      <c r="K1916" s="13" t="s">
        <v>178</v>
      </c>
      <c r="L1916" s="13" t="s">
        <v>391</v>
      </c>
      <c r="M1916" s="13" t="s">
        <v>358</v>
      </c>
      <c r="N1916" s="15">
        <v>0</v>
      </c>
      <c r="O1916" s="16">
        <v>0</v>
      </c>
      <c r="P1916" s="17">
        <v>178.4550500043016</v>
      </c>
      <c r="Q1916" s="17">
        <v>0</v>
      </c>
      <c r="R1916" s="13"/>
      <c r="S1916" s="13"/>
      <c r="T1916" s="13"/>
      <c r="U1916" s="13"/>
      <c r="V1916" s="13"/>
      <c r="W1916" s="13"/>
    </row>
    <row r="1917" spans="1:23" x14ac:dyDescent="0.2">
      <c r="A1917"/>
      <c r="B1917"/>
      <c r="C1917"/>
      <c r="D1917"/>
      <c r="E1917"/>
      <c r="F1917"/>
      <c r="G1917"/>
      <c r="H1917"/>
      <c r="I1917"/>
      <c r="J1917"/>
      <c r="K1917" s="13" t="s">
        <v>178</v>
      </c>
      <c r="L1917" s="13" t="s">
        <v>392</v>
      </c>
      <c r="M1917" s="13" t="s">
        <v>437</v>
      </c>
      <c r="N1917" s="15">
        <v>0</v>
      </c>
      <c r="O1917" s="16">
        <v>0</v>
      </c>
      <c r="P1917" s="17">
        <v>19.236549991647742</v>
      </c>
      <c r="Q1917" s="17">
        <v>0</v>
      </c>
      <c r="R1917" s="13"/>
      <c r="S1917" s="13"/>
      <c r="T1917" s="13"/>
      <c r="U1917" s="13"/>
      <c r="V1917" s="13"/>
      <c r="W1917" s="13"/>
    </row>
    <row r="1918" spans="1:23" x14ac:dyDescent="0.2">
      <c r="A1918"/>
      <c r="B1918"/>
      <c r="C1918"/>
      <c r="D1918"/>
      <c r="E1918"/>
      <c r="F1918"/>
      <c r="G1918"/>
      <c r="H1918"/>
      <c r="I1918"/>
      <c r="J1918"/>
      <c r="K1918" s="13" t="s">
        <v>178</v>
      </c>
      <c r="L1918" s="13" t="s">
        <v>440</v>
      </c>
      <c r="M1918" s="13" t="s">
        <v>441</v>
      </c>
      <c r="N1918" s="15">
        <v>1</v>
      </c>
      <c r="O1918" s="16">
        <v>0</v>
      </c>
      <c r="P1918" s="17">
        <v>0</v>
      </c>
      <c r="Q1918" s="17">
        <v>0</v>
      </c>
      <c r="R1918" s="13"/>
      <c r="S1918" s="13"/>
      <c r="T1918" s="13"/>
      <c r="U1918" s="13"/>
      <c r="V1918" s="13"/>
      <c r="W1918" s="13"/>
    </row>
    <row r="1919" spans="1:23" x14ac:dyDescent="0.2">
      <c r="A1919"/>
      <c r="B1919"/>
      <c r="C1919"/>
      <c r="D1919"/>
      <c r="E1919"/>
      <c r="F1919"/>
      <c r="G1919"/>
      <c r="H1919"/>
      <c r="I1919"/>
      <c r="J1919"/>
      <c r="K1919" s="13" t="s">
        <v>178</v>
      </c>
      <c r="L1919" s="13" t="s">
        <v>395</v>
      </c>
      <c r="M1919" s="13" t="s">
        <v>602</v>
      </c>
      <c r="N1919" s="15">
        <v>11</v>
      </c>
      <c r="O1919" s="16">
        <v>0</v>
      </c>
      <c r="P1919" s="17">
        <v>0</v>
      </c>
      <c r="Q1919" s="17">
        <v>0</v>
      </c>
      <c r="R1919" s="13"/>
      <c r="S1919" s="13"/>
      <c r="T1919" s="13"/>
      <c r="U1919" s="13"/>
      <c r="V1919" s="13"/>
      <c r="W1919" s="13"/>
    </row>
    <row r="1920" spans="1:23" x14ac:dyDescent="0.2">
      <c r="A1920"/>
      <c r="B1920"/>
      <c r="C1920"/>
      <c r="D1920"/>
      <c r="E1920"/>
      <c r="F1920"/>
      <c r="G1920"/>
      <c r="H1920"/>
      <c r="I1920"/>
      <c r="J1920"/>
      <c r="K1920" s="13" t="s">
        <v>178</v>
      </c>
      <c r="L1920" s="13" t="s">
        <v>401</v>
      </c>
      <c r="M1920" s="13" t="s">
        <v>360</v>
      </c>
      <c r="N1920" s="15">
        <v>0</v>
      </c>
      <c r="O1920" s="16">
        <v>0</v>
      </c>
      <c r="P1920" s="17">
        <v>12.198300007750676</v>
      </c>
      <c r="Q1920" s="17">
        <v>0</v>
      </c>
      <c r="R1920" s="13"/>
      <c r="S1920" s="13"/>
      <c r="T1920" s="13"/>
      <c r="U1920" s="13"/>
      <c r="V1920" s="13"/>
      <c r="W1920" s="13"/>
    </row>
    <row r="1921" spans="1:23" x14ac:dyDescent="0.2">
      <c r="A1921"/>
      <c r="B1921"/>
      <c r="C1921"/>
      <c r="D1921"/>
      <c r="E1921"/>
      <c r="F1921"/>
      <c r="G1921"/>
      <c r="H1921"/>
      <c r="I1921"/>
      <c r="J1921"/>
      <c r="K1921" s="13" t="s">
        <v>178</v>
      </c>
      <c r="L1921" s="13" t="s">
        <v>402</v>
      </c>
      <c r="M1921" s="13" t="s">
        <v>403</v>
      </c>
      <c r="N1921" s="15">
        <v>0</v>
      </c>
      <c r="O1921" s="16">
        <v>0</v>
      </c>
      <c r="P1921" s="17">
        <v>358.71384998731787</v>
      </c>
      <c r="Q1921" s="17">
        <v>0</v>
      </c>
      <c r="R1921" s="13"/>
      <c r="S1921" s="13"/>
      <c r="T1921" s="13"/>
      <c r="U1921" s="13"/>
      <c r="V1921" s="13"/>
      <c r="W1921" s="13"/>
    </row>
    <row r="1922" spans="1:23" x14ac:dyDescent="0.2">
      <c r="A1922"/>
      <c r="B1922"/>
      <c r="C1922"/>
      <c r="D1922"/>
      <c r="E1922"/>
      <c r="F1922"/>
      <c r="G1922"/>
      <c r="H1922"/>
      <c r="I1922"/>
      <c r="J1922"/>
      <c r="K1922" s="13" t="s">
        <v>178</v>
      </c>
      <c r="L1922" s="13" t="s">
        <v>404</v>
      </c>
      <c r="M1922" s="13" t="s">
        <v>405</v>
      </c>
      <c r="N1922" s="15">
        <v>0</v>
      </c>
      <c r="O1922" s="16">
        <v>0</v>
      </c>
      <c r="P1922" s="17">
        <v>15.019550000374601</v>
      </c>
      <c r="Q1922" s="17">
        <v>40.668914141976941</v>
      </c>
      <c r="R1922" s="13"/>
      <c r="S1922" s="13"/>
      <c r="T1922" s="13"/>
      <c r="U1922" s="13"/>
      <c r="V1922" s="13"/>
      <c r="W1922" s="13"/>
    </row>
    <row r="1923" spans="1:23" x14ac:dyDescent="0.2">
      <c r="A1923"/>
      <c r="B1923"/>
      <c r="C1923"/>
      <c r="D1923"/>
      <c r="E1923"/>
      <c r="F1923"/>
      <c r="G1923"/>
      <c r="H1923"/>
      <c r="I1923"/>
      <c r="J1923"/>
      <c r="K1923" s="13" t="s">
        <v>178</v>
      </c>
      <c r="L1923" s="13" t="s">
        <v>381</v>
      </c>
      <c r="M1923" s="13" t="s">
        <v>382</v>
      </c>
      <c r="N1923" s="15">
        <v>8</v>
      </c>
      <c r="O1923" s="16">
        <v>0</v>
      </c>
      <c r="P1923" s="17">
        <v>0</v>
      </c>
      <c r="Q1923" s="17">
        <v>0</v>
      </c>
      <c r="R1923" s="13"/>
      <c r="S1923" s="13"/>
      <c r="T1923" s="13"/>
      <c r="U1923" s="13"/>
      <c r="V1923" s="13"/>
      <c r="W1923" s="13"/>
    </row>
    <row r="1924" spans="1:23" x14ac:dyDescent="0.2">
      <c r="A1924"/>
      <c r="B1924"/>
      <c r="C1924"/>
      <c r="D1924"/>
      <c r="E1924"/>
      <c r="F1924"/>
      <c r="G1924"/>
      <c r="H1924"/>
      <c r="I1924"/>
      <c r="J1924"/>
      <c r="K1924" s="13" t="s">
        <v>178</v>
      </c>
      <c r="L1924" s="13" t="s">
        <v>411</v>
      </c>
      <c r="M1924" s="13" t="s">
        <v>362</v>
      </c>
      <c r="N1924" s="15">
        <v>1</v>
      </c>
      <c r="O1924" s="16">
        <v>0</v>
      </c>
      <c r="P1924" s="17">
        <v>0</v>
      </c>
      <c r="Q1924" s="17">
        <v>0</v>
      </c>
      <c r="R1924" s="13"/>
      <c r="S1924" s="13"/>
      <c r="T1924" s="13"/>
      <c r="U1924" s="13"/>
      <c r="V1924" s="13"/>
      <c r="W1924" s="13"/>
    </row>
    <row r="1925" spans="1:23" x14ac:dyDescent="0.2">
      <c r="A1925"/>
      <c r="B1925"/>
      <c r="C1925"/>
      <c r="D1925"/>
      <c r="E1925"/>
      <c r="F1925"/>
      <c r="G1925"/>
      <c r="H1925"/>
      <c r="I1925"/>
      <c r="J1925"/>
      <c r="K1925" s="13" t="s">
        <v>178</v>
      </c>
      <c r="L1925" s="13" t="s">
        <v>607</v>
      </c>
      <c r="M1925" s="13" t="s">
        <v>431</v>
      </c>
      <c r="N1925" s="15">
        <v>2</v>
      </c>
      <c r="O1925" s="16">
        <v>0</v>
      </c>
      <c r="P1925" s="17">
        <v>0</v>
      </c>
      <c r="Q1925" s="17">
        <v>0</v>
      </c>
      <c r="R1925" s="13"/>
      <c r="S1925" s="13"/>
      <c r="T1925" s="13"/>
      <c r="U1925" s="13"/>
      <c r="V1925" s="13"/>
      <c r="W1925" s="13"/>
    </row>
    <row r="1926" spans="1:23" x14ac:dyDescent="0.2">
      <c r="A1926"/>
      <c r="B1926"/>
      <c r="C1926"/>
      <c r="D1926"/>
      <c r="E1926"/>
      <c r="F1926"/>
      <c r="G1926"/>
      <c r="H1926"/>
      <c r="I1926"/>
      <c r="J1926"/>
      <c r="K1926" s="13" t="s">
        <v>178</v>
      </c>
      <c r="L1926" s="13" t="s">
        <v>615</v>
      </c>
      <c r="M1926" s="13" t="s">
        <v>449</v>
      </c>
      <c r="N1926" s="15">
        <v>1</v>
      </c>
      <c r="O1926" s="16">
        <v>0</v>
      </c>
      <c r="P1926" s="17">
        <v>0</v>
      </c>
      <c r="Q1926" s="17">
        <v>0</v>
      </c>
      <c r="R1926" s="13"/>
      <c r="S1926" s="13"/>
      <c r="T1926" s="13"/>
      <c r="U1926" s="13"/>
      <c r="V1926" s="13"/>
      <c r="W1926" s="13"/>
    </row>
    <row r="1927" spans="1:23" x14ac:dyDescent="0.2">
      <c r="A1927"/>
      <c r="B1927"/>
      <c r="C1927"/>
      <c r="D1927"/>
      <c r="E1927"/>
      <c r="F1927"/>
      <c r="G1927"/>
      <c r="H1927"/>
      <c r="I1927"/>
      <c r="J1927"/>
      <c r="K1927" s="13" t="s">
        <v>178</v>
      </c>
      <c r="L1927" s="13" t="s">
        <v>417</v>
      </c>
      <c r="M1927" s="13" t="s">
        <v>414</v>
      </c>
      <c r="N1927" s="15">
        <v>0</v>
      </c>
      <c r="O1927" s="16">
        <v>0</v>
      </c>
      <c r="P1927" s="17">
        <v>0.6435000007370254</v>
      </c>
      <c r="Q1927" s="17">
        <v>0</v>
      </c>
      <c r="R1927" s="13"/>
      <c r="S1927" s="13"/>
      <c r="T1927" s="13"/>
      <c r="U1927" s="13"/>
      <c r="V1927" s="13"/>
      <c r="W1927" s="13"/>
    </row>
    <row r="1928" spans="1:23" x14ac:dyDescent="0.2">
      <c r="A1928"/>
      <c r="B1928"/>
      <c r="C1928"/>
      <c r="D1928"/>
      <c r="E1928"/>
      <c r="F1928"/>
      <c r="G1928"/>
      <c r="H1928"/>
      <c r="I1928"/>
      <c r="J1928"/>
      <c r="K1928" s="13" t="s">
        <v>178</v>
      </c>
      <c r="L1928" s="13" t="s">
        <v>419</v>
      </c>
      <c r="M1928" s="13" t="s">
        <v>442</v>
      </c>
      <c r="N1928" s="15">
        <v>0</v>
      </c>
      <c r="O1928" s="16">
        <v>19.920403727865839</v>
      </c>
      <c r="P1928" s="17">
        <v>0</v>
      </c>
      <c r="Q1928" s="17">
        <v>0</v>
      </c>
      <c r="R1928" s="13"/>
      <c r="S1928" s="13"/>
      <c r="T1928" s="13"/>
      <c r="U1928" s="13"/>
      <c r="V1928" s="13"/>
      <c r="W1928" s="13"/>
    </row>
    <row r="1929" spans="1:23" x14ac:dyDescent="0.2">
      <c r="A1929"/>
      <c r="B1929"/>
      <c r="C1929"/>
      <c r="D1929"/>
      <c r="E1929"/>
      <c r="F1929"/>
      <c r="G1929"/>
      <c r="H1929"/>
      <c r="I1929"/>
      <c r="J1929"/>
      <c r="K1929" s="13" t="s">
        <v>178</v>
      </c>
      <c r="L1929" s="13" t="s">
        <v>383</v>
      </c>
      <c r="M1929" s="13" t="s">
        <v>420</v>
      </c>
      <c r="N1929" s="15">
        <v>6</v>
      </c>
      <c r="O1929" s="16">
        <v>0</v>
      </c>
      <c r="P1929" s="17">
        <v>0</v>
      </c>
      <c r="Q1929" s="17">
        <v>0</v>
      </c>
      <c r="R1929" s="13"/>
      <c r="S1929" s="13"/>
      <c r="T1929" s="13"/>
      <c r="U1929" s="13"/>
      <c r="V1929" s="13"/>
      <c r="W1929" s="13"/>
    </row>
    <row r="1930" spans="1:23" x14ac:dyDescent="0.2">
      <c r="A1930"/>
      <c r="B1930"/>
      <c r="C1930"/>
      <c r="D1930"/>
      <c r="E1930"/>
      <c r="F1930"/>
      <c r="G1930"/>
      <c r="H1930"/>
      <c r="I1930"/>
      <c r="J1930"/>
      <c r="K1930" s="13" t="s">
        <v>178</v>
      </c>
      <c r="L1930" s="13" t="s">
        <v>613</v>
      </c>
      <c r="M1930" s="13" t="s">
        <v>444</v>
      </c>
      <c r="N1930" s="15">
        <v>0</v>
      </c>
      <c r="O1930" s="16">
        <v>54.035334229776552</v>
      </c>
      <c r="P1930" s="17">
        <v>0</v>
      </c>
      <c r="Q1930" s="17">
        <v>0</v>
      </c>
      <c r="R1930" s="13"/>
      <c r="S1930" s="13"/>
      <c r="T1930" s="13"/>
      <c r="U1930" s="13"/>
      <c r="V1930" s="13"/>
      <c r="W1930" s="13"/>
    </row>
    <row r="1931" spans="1:23" x14ac:dyDescent="0.2">
      <c r="A1931"/>
      <c r="B1931"/>
      <c r="C1931"/>
      <c r="D1931"/>
      <c r="E1931"/>
      <c r="F1931"/>
      <c r="G1931"/>
      <c r="H1931"/>
      <c r="I1931"/>
      <c r="J1931"/>
      <c r="K1931" s="13" t="s">
        <v>180</v>
      </c>
      <c r="L1931" s="13" t="s">
        <v>435</v>
      </c>
      <c r="M1931" s="13" t="s">
        <v>364</v>
      </c>
      <c r="N1931" s="15">
        <v>0</v>
      </c>
      <c r="O1931" s="16">
        <v>0</v>
      </c>
      <c r="P1931" s="17">
        <v>1985.2195500040164</v>
      </c>
      <c r="Q1931" s="17">
        <v>0</v>
      </c>
      <c r="R1931" s="13"/>
      <c r="S1931" s="13"/>
      <c r="T1931" s="13"/>
      <c r="U1931" s="13"/>
      <c r="V1931" s="13"/>
      <c r="W1931" s="13"/>
    </row>
    <row r="1932" spans="1:23" x14ac:dyDescent="0.2">
      <c r="A1932"/>
      <c r="B1932"/>
      <c r="C1932"/>
      <c r="D1932"/>
      <c r="E1932"/>
      <c r="F1932"/>
      <c r="G1932"/>
      <c r="H1932"/>
      <c r="I1932"/>
      <c r="J1932"/>
      <c r="K1932" s="13" t="s">
        <v>180</v>
      </c>
      <c r="L1932" s="13" t="s">
        <v>411</v>
      </c>
      <c r="M1932" s="13" t="s">
        <v>362</v>
      </c>
      <c r="N1932" s="15">
        <v>0</v>
      </c>
      <c r="O1932" s="16">
        <v>56.1871327605066</v>
      </c>
      <c r="P1932" s="17">
        <v>0</v>
      </c>
      <c r="Q1932" s="17">
        <v>0</v>
      </c>
      <c r="R1932" s="13"/>
      <c r="S1932" s="13"/>
      <c r="T1932" s="13"/>
      <c r="U1932" s="13"/>
      <c r="V1932" s="13"/>
      <c r="W1932" s="13"/>
    </row>
    <row r="1933" spans="1:23" x14ac:dyDescent="0.2">
      <c r="A1933"/>
      <c r="B1933"/>
      <c r="C1933"/>
      <c r="D1933"/>
      <c r="E1933"/>
      <c r="F1933"/>
      <c r="G1933"/>
      <c r="H1933"/>
      <c r="I1933"/>
      <c r="J1933"/>
      <c r="K1933" s="13" t="s">
        <v>180</v>
      </c>
      <c r="L1933" s="13" t="s">
        <v>613</v>
      </c>
      <c r="M1933" s="13" t="s">
        <v>444</v>
      </c>
      <c r="N1933" s="15">
        <v>0</v>
      </c>
      <c r="O1933" s="16">
        <v>54.805887350998496</v>
      </c>
      <c r="P1933" s="17">
        <v>0</v>
      </c>
      <c r="Q1933" s="17">
        <v>0</v>
      </c>
      <c r="R1933" s="13"/>
      <c r="S1933" s="13"/>
      <c r="T1933" s="13"/>
      <c r="U1933" s="13"/>
      <c r="V1933" s="13"/>
      <c r="W1933" s="13"/>
    </row>
    <row r="1934" spans="1:23" x14ac:dyDescent="0.2">
      <c r="A1934"/>
      <c r="B1934"/>
      <c r="C1934"/>
      <c r="D1934"/>
      <c r="E1934"/>
      <c r="F1934"/>
      <c r="G1934"/>
      <c r="H1934"/>
      <c r="I1934"/>
      <c r="J1934"/>
      <c r="K1934" s="13" t="s">
        <v>182</v>
      </c>
      <c r="L1934" s="13" t="s">
        <v>387</v>
      </c>
      <c r="M1934" s="13" t="s">
        <v>386</v>
      </c>
      <c r="N1934" s="15">
        <v>0</v>
      </c>
      <c r="O1934" s="16">
        <v>0</v>
      </c>
      <c r="P1934" s="17">
        <v>1633.6646499325495</v>
      </c>
      <c r="Q1934" s="17">
        <v>0</v>
      </c>
      <c r="R1934" s="13"/>
      <c r="S1934" s="13"/>
      <c r="T1934" s="13"/>
      <c r="U1934" s="13"/>
      <c r="V1934" s="13"/>
      <c r="W1934" s="13"/>
    </row>
    <row r="1935" spans="1:23" x14ac:dyDescent="0.2">
      <c r="A1935"/>
      <c r="B1935"/>
      <c r="C1935"/>
      <c r="D1935"/>
      <c r="E1935"/>
      <c r="F1935"/>
      <c r="G1935"/>
      <c r="H1935"/>
      <c r="I1935"/>
      <c r="J1935"/>
      <c r="K1935" s="13" t="s">
        <v>182</v>
      </c>
      <c r="L1935" s="13" t="s">
        <v>389</v>
      </c>
      <c r="M1935" s="13" t="s">
        <v>388</v>
      </c>
      <c r="N1935" s="15">
        <v>0</v>
      </c>
      <c r="O1935" s="16">
        <v>0</v>
      </c>
      <c r="P1935" s="17">
        <v>120.37934999732124</v>
      </c>
      <c r="Q1935" s="17">
        <v>0</v>
      </c>
      <c r="R1935" s="13"/>
      <c r="S1935" s="13"/>
      <c r="T1935" s="13"/>
      <c r="U1935" s="13"/>
      <c r="V1935" s="13"/>
      <c r="W1935" s="13"/>
    </row>
    <row r="1936" spans="1:23" x14ac:dyDescent="0.2">
      <c r="A1936"/>
      <c r="B1936"/>
      <c r="C1936"/>
      <c r="D1936"/>
      <c r="E1936"/>
      <c r="F1936"/>
      <c r="G1936"/>
      <c r="H1936"/>
      <c r="I1936"/>
      <c r="J1936"/>
      <c r="K1936" s="13" t="s">
        <v>182</v>
      </c>
      <c r="L1936" s="13" t="s">
        <v>519</v>
      </c>
      <c r="M1936" s="13" t="s">
        <v>478</v>
      </c>
      <c r="N1936" s="15">
        <v>0</v>
      </c>
      <c r="O1936" s="16">
        <v>0</v>
      </c>
      <c r="P1936" s="17">
        <v>235.46179999162436</v>
      </c>
      <c r="Q1936" s="17">
        <v>0</v>
      </c>
      <c r="R1936" s="13"/>
      <c r="S1936" s="13"/>
      <c r="T1936" s="13"/>
      <c r="U1936" s="13"/>
      <c r="V1936" s="13"/>
      <c r="W1936" s="13"/>
    </row>
    <row r="1937" spans="1:23" x14ac:dyDescent="0.2">
      <c r="A1937"/>
      <c r="B1937"/>
      <c r="C1937"/>
      <c r="D1937"/>
      <c r="E1937"/>
      <c r="F1937"/>
      <c r="G1937"/>
      <c r="H1937"/>
      <c r="I1937"/>
      <c r="J1937"/>
      <c r="K1937" s="13" t="s">
        <v>182</v>
      </c>
      <c r="L1937" s="13" t="s">
        <v>440</v>
      </c>
      <c r="M1937" s="13" t="s">
        <v>441</v>
      </c>
      <c r="N1937" s="15">
        <v>3</v>
      </c>
      <c r="O1937" s="16">
        <v>0</v>
      </c>
      <c r="P1937" s="17">
        <v>0</v>
      </c>
      <c r="Q1937" s="17">
        <v>0</v>
      </c>
      <c r="R1937" s="13"/>
      <c r="S1937" s="13"/>
      <c r="T1937" s="13"/>
      <c r="U1937" s="13"/>
      <c r="V1937" s="13"/>
      <c r="W1937" s="13"/>
    </row>
    <row r="1938" spans="1:23" x14ac:dyDescent="0.2">
      <c r="A1938"/>
      <c r="B1938"/>
      <c r="C1938"/>
      <c r="D1938"/>
      <c r="E1938"/>
      <c r="F1938"/>
      <c r="G1938"/>
      <c r="H1938"/>
      <c r="I1938"/>
      <c r="J1938"/>
      <c r="K1938" s="13" t="s">
        <v>182</v>
      </c>
      <c r="L1938" s="13" t="s">
        <v>394</v>
      </c>
      <c r="M1938" s="13" t="s">
        <v>359</v>
      </c>
      <c r="N1938" s="15">
        <v>0</v>
      </c>
      <c r="O1938" s="16">
        <v>0</v>
      </c>
      <c r="P1938" s="17">
        <v>21.202950000851835</v>
      </c>
      <c r="Q1938" s="17">
        <v>0</v>
      </c>
      <c r="R1938" s="13"/>
      <c r="S1938" s="13"/>
      <c r="T1938" s="13"/>
      <c r="U1938" s="13"/>
      <c r="V1938" s="13"/>
      <c r="W1938" s="13"/>
    </row>
    <row r="1939" spans="1:23" x14ac:dyDescent="0.2">
      <c r="A1939"/>
      <c r="B1939"/>
      <c r="C1939"/>
      <c r="D1939"/>
      <c r="E1939"/>
      <c r="F1939"/>
      <c r="G1939"/>
      <c r="H1939"/>
      <c r="I1939"/>
      <c r="J1939"/>
      <c r="K1939" s="13" t="s">
        <v>182</v>
      </c>
      <c r="L1939" s="13" t="s">
        <v>399</v>
      </c>
      <c r="M1939" s="13" t="s">
        <v>400</v>
      </c>
      <c r="N1939" s="15">
        <v>0</v>
      </c>
      <c r="O1939" s="16">
        <v>0</v>
      </c>
      <c r="P1939" s="17">
        <v>42.955349996837654</v>
      </c>
      <c r="Q1939" s="17">
        <v>0</v>
      </c>
      <c r="R1939" s="13"/>
      <c r="S1939" s="13"/>
      <c r="T1939" s="13"/>
      <c r="U1939" s="13"/>
      <c r="V1939" s="13"/>
      <c r="W1939" s="13"/>
    </row>
    <row r="1940" spans="1:23" x14ac:dyDescent="0.2">
      <c r="A1940"/>
      <c r="B1940"/>
      <c r="C1940"/>
      <c r="D1940"/>
      <c r="E1940"/>
      <c r="F1940"/>
      <c r="G1940"/>
      <c r="H1940"/>
      <c r="I1940"/>
      <c r="J1940"/>
      <c r="K1940" s="13" t="s">
        <v>182</v>
      </c>
      <c r="L1940" s="13" t="s">
        <v>401</v>
      </c>
      <c r="M1940" s="13" t="s">
        <v>360</v>
      </c>
      <c r="N1940" s="15">
        <v>0</v>
      </c>
      <c r="O1940" s="16">
        <v>0</v>
      </c>
      <c r="P1940" s="17">
        <v>514.18645002080211</v>
      </c>
      <c r="Q1940" s="17">
        <v>0</v>
      </c>
      <c r="R1940" s="13"/>
      <c r="S1940" s="13"/>
      <c r="T1940" s="13"/>
      <c r="U1940" s="13"/>
      <c r="V1940" s="13"/>
      <c r="W1940" s="13"/>
    </row>
    <row r="1941" spans="1:23" x14ac:dyDescent="0.2">
      <c r="A1941"/>
      <c r="B1941"/>
      <c r="C1941"/>
      <c r="D1941"/>
      <c r="E1941"/>
      <c r="F1941"/>
      <c r="G1941"/>
      <c r="H1941"/>
      <c r="I1941"/>
      <c r="J1941"/>
      <c r="K1941" s="13" t="s">
        <v>182</v>
      </c>
      <c r="L1941" s="13" t="s">
        <v>473</v>
      </c>
      <c r="M1941" s="13" t="s">
        <v>474</v>
      </c>
      <c r="N1941" s="15">
        <v>0</v>
      </c>
      <c r="O1941" s="16">
        <v>0</v>
      </c>
      <c r="P1941" s="17">
        <v>3654.0097499557983</v>
      </c>
      <c r="Q1941" s="17">
        <v>0</v>
      </c>
      <c r="R1941" s="13"/>
      <c r="S1941" s="13"/>
      <c r="T1941" s="13"/>
      <c r="U1941" s="13"/>
      <c r="V1941" s="13"/>
      <c r="W1941" s="13"/>
    </row>
    <row r="1942" spans="1:23" x14ac:dyDescent="0.2">
      <c r="A1942"/>
      <c r="B1942"/>
      <c r="C1942"/>
      <c r="D1942"/>
      <c r="E1942"/>
      <c r="F1942"/>
      <c r="G1942"/>
      <c r="H1942"/>
      <c r="I1942"/>
      <c r="J1942"/>
      <c r="K1942" s="13" t="s">
        <v>182</v>
      </c>
      <c r="L1942" s="13" t="s">
        <v>456</v>
      </c>
      <c r="M1942" s="13" t="s">
        <v>457</v>
      </c>
      <c r="N1942" s="15">
        <v>0</v>
      </c>
      <c r="O1942" s="16">
        <v>0</v>
      </c>
      <c r="P1942" s="17">
        <v>203.04913851950241</v>
      </c>
      <c r="Q1942" s="17">
        <v>0</v>
      </c>
      <c r="R1942" s="13"/>
      <c r="S1942" s="13"/>
      <c r="T1942" s="13"/>
      <c r="U1942" s="13"/>
      <c r="V1942" s="13"/>
      <c r="W1942" s="13"/>
    </row>
    <row r="1943" spans="1:23" x14ac:dyDescent="0.2">
      <c r="A1943"/>
      <c r="B1943"/>
      <c r="C1943"/>
      <c r="D1943"/>
      <c r="E1943"/>
      <c r="F1943"/>
      <c r="G1943"/>
      <c r="H1943"/>
      <c r="I1943"/>
      <c r="J1943"/>
      <c r="K1943" s="13" t="s">
        <v>182</v>
      </c>
      <c r="L1943" s="13" t="s">
        <v>404</v>
      </c>
      <c r="M1943" s="13" t="s">
        <v>405</v>
      </c>
      <c r="N1943" s="15">
        <v>0</v>
      </c>
      <c r="O1943" s="16">
        <v>0</v>
      </c>
      <c r="P1943" s="17">
        <v>44.931349991967522</v>
      </c>
      <c r="Q1943" s="17">
        <v>177.23641030911003</v>
      </c>
      <c r="R1943" s="13"/>
      <c r="S1943" s="13"/>
      <c r="T1943" s="13"/>
      <c r="U1943" s="13"/>
      <c r="V1943" s="13"/>
      <c r="W1943" s="13"/>
    </row>
    <row r="1944" spans="1:23" x14ac:dyDescent="0.2">
      <c r="A1944"/>
      <c r="B1944"/>
      <c r="C1944"/>
      <c r="D1944"/>
      <c r="E1944"/>
      <c r="F1944"/>
      <c r="G1944"/>
      <c r="H1944"/>
      <c r="I1944"/>
      <c r="J1944"/>
      <c r="K1944" s="13" t="s">
        <v>182</v>
      </c>
      <c r="L1944" s="13" t="s">
        <v>381</v>
      </c>
      <c r="M1944" s="13" t="s">
        <v>382</v>
      </c>
      <c r="N1944" s="15">
        <v>15</v>
      </c>
      <c r="O1944" s="16">
        <v>0</v>
      </c>
      <c r="P1944" s="17">
        <v>0</v>
      </c>
      <c r="Q1944" s="17">
        <v>0</v>
      </c>
      <c r="R1944" s="13"/>
      <c r="S1944" s="13"/>
      <c r="T1944" s="13"/>
      <c r="U1944" s="13"/>
      <c r="V1944" s="13"/>
      <c r="W1944" s="13"/>
    </row>
    <row r="1945" spans="1:23" x14ac:dyDescent="0.2">
      <c r="A1945"/>
      <c r="B1945"/>
      <c r="C1945"/>
      <c r="D1945"/>
      <c r="E1945"/>
      <c r="F1945"/>
      <c r="G1945"/>
      <c r="H1945"/>
      <c r="I1945"/>
      <c r="J1945"/>
      <c r="K1945" s="13" t="s">
        <v>182</v>
      </c>
      <c r="L1945" s="13" t="s">
        <v>411</v>
      </c>
      <c r="M1945" s="13" t="s">
        <v>362</v>
      </c>
      <c r="N1945" s="15">
        <v>2</v>
      </c>
      <c r="O1945" s="16">
        <v>0</v>
      </c>
      <c r="P1945" s="17">
        <v>0</v>
      </c>
      <c r="Q1945" s="17">
        <v>0</v>
      </c>
      <c r="R1945" s="13"/>
      <c r="S1945" s="13"/>
      <c r="T1945" s="13"/>
      <c r="U1945" s="13"/>
      <c r="V1945" s="13"/>
      <c r="W1945" s="13"/>
    </row>
    <row r="1946" spans="1:23" x14ac:dyDescent="0.2">
      <c r="A1946"/>
      <c r="B1946"/>
      <c r="C1946"/>
      <c r="D1946"/>
      <c r="E1946"/>
      <c r="F1946"/>
      <c r="G1946"/>
      <c r="H1946"/>
      <c r="I1946"/>
      <c r="J1946"/>
      <c r="K1946" s="13" t="s">
        <v>182</v>
      </c>
      <c r="L1946" s="13" t="s">
        <v>413</v>
      </c>
      <c r="M1946" s="13" t="s">
        <v>428</v>
      </c>
      <c r="N1946" s="15">
        <v>2</v>
      </c>
      <c r="O1946" s="16">
        <v>0</v>
      </c>
      <c r="P1946" s="17">
        <v>0</v>
      </c>
      <c r="Q1946" s="17">
        <v>0</v>
      </c>
      <c r="R1946" s="13"/>
      <c r="S1946" s="13"/>
      <c r="T1946" s="13"/>
      <c r="U1946" s="13"/>
      <c r="V1946" s="13"/>
      <c r="W1946" s="13"/>
    </row>
    <row r="1947" spans="1:23" x14ac:dyDescent="0.2">
      <c r="A1947"/>
      <c r="B1947"/>
      <c r="C1947"/>
      <c r="D1947"/>
      <c r="E1947"/>
      <c r="F1947"/>
      <c r="G1947"/>
      <c r="H1947"/>
      <c r="I1947"/>
      <c r="J1947"/>
      <c r="K1947" s="13" t="s">
        <v>182</v>
      </c>
      <c r="L1947" s="13" t="s">
        <v>606</v>
      </c>
      <c r="M1947" s="13" t="s">
        <v>430</v>
      </c>
      <c r="N1947" s="15">
        <v>5</v>
      </c>
      <c r="O1947" s="16">
        <v>0</v>
      </c>
      <c r="P1947" s="17">
        <v>0</v>
      </c>
      <c r="Q1947" s="17">
        <v>0</v>
      </c>
      <c r="R1947" s="13"/>
      <c r="S1947" s="13"/>
      <c r="T1947" s="13"/>
      <c r="U1947" s="13"/>
      <c r="V1947" s="13"/>
      <c r="W1947" s="13"/>
    </row>
    <row r="1948" spans="1:23" x14ac:dyDescent="0.2">
      <c r="A1948"/>
      <c r="B1948"/>
      <c r="C1948"/>
      <c r="D1948"/>
      <c r="E1948"/>
      <c r="F1948"/>
      <c r="G1948"/>
      <c r="H1948"/>
      <c r="I1948"/>
      <c r="J1948"/>
      <c r="K1948" s="13" t="s">
        <v>182</v>
      </c>
      <c r="L1948" s="13" t="s">
        <v>607</v>
      </c>
      <c r="M1948" s="13" t="s">
        <v>431</v>
      </c>
      <c r="N1948" s="15">
        <v>2</v>
      </c>
      <c r="O1948" s="16">
        <v>0</v>
      </c>
      <c r="P1948" s="17">
        <v>0</v>
      </c>
      <c r="Q1948" s="17">
        <v>0</v>
      </c>
      <c r="R1948" s="13"/>
      <c r="S1948" s="13"/>
      <c r="T1948" s="13"/>
      <c r="U1948" s="13"/>
      <c r="V1948" s="13"/>
      <c r="W1948" s="13"/>
    </row>
    <row r="1949" spans="1:23" x14ac:dyDescent="0.2">
      <c r="A1949"/>
      <c r="B1949"/>
      <c r="C1949"/>
      <c r="D1949"/>
      <c r="E1949"/>
      <c r="F1949"/>
      <c r="G1949"/>
      <c r="H1949"/>
      <c r="I1949"/>
      <c r="J1949"/>
      <c r="K1949" s="13" t="s">
        <v>182</v>
      </c>
      <c r="L1949" s="13" t="s">
        <v>615</v>
      </c>
      <c r="M1949" s="13" t="s">
        <v>449</v>
      </c>
      <c r="N1949" s="15">
        <v>1</v>
      </c>
      <c r="O1949" s="16">
        <v>0</v>
      </c>
      <c r="P1949" s="17">
        <v>0</v>
      </c>
      <c r="Q1949" s="17">
        <v>0</v>
      </c>
      <c r="R1949" s="13"/>
      <c r="S1949" s="13"/>
      <c r="T1949" s="13"/>
      <c r="U1949" s="13"/>
      <c r="V1949" s="13"/>
      <c r="W1949" s="13"/>
    </row>
    <row r="1950" spans="1:23" x14ac:dyDescent="0.2">
      <c r="A1950"/>
      <c r="B1950"/>
      <c r="C1950"/>
      <c r="D1950"/>
      <c r="E1950"/>
      <c r="F1950"/>
      <c r="G1950"/>
      <c r="H1950"/>
      <c r="I1950"/>
      <c r="J1950"/>
      <c r="K1950" s="13" t="s">
        <v>182</v>
      </c>
      <c r="L1950" s="13" t="s">
        <v>415</v>
      </c>
      <c r="M1950" s="13" t="s">
        <v>412</v>
      </c>
      <c r="N1950" s="15">
        <v>0</v>
      </c>
      <c r="O1950" s="16">
        <v>0</v>
      </c>
      <c r="P1950" s="17">
        <v>11.957100004336308</v>
      </c>
      <c r="Q1950" s="17">
        <v>0</v>
      </c>
      <c r="R1950" s="13"/>
      <c r="S1950" s="13"/>
      <c r="T1950" s="13"/>
      <c r="U1950" s="13"/>
      <c r="V1950" s="13"/>
      <c r="W1950" s="13"/>
    </row>
    <row r="1951" spans="1:23" x14ac:dyDescent="0.2">
      <c r="A1951"/>
      <c r="B1951"/>
      <c r="C1951"/>
      <c r="D1951"/>
      <c r="E1951"/>
      <c r="F1951"/>
      <c r="G1951"/>
      <c r="H1951"/>
      <c r="I1951"/>
      <c r="J1951"/>
      <c r="K1951" s="13" t="s">
        <v>182</v>
      </c>
      <c r="L1951" s="13" t="s">
        <v>419</v>
      </c>
      <c r="M1951" s="13" t="s">
        <v>442</v>
      </c>
      <c r="N1951" s="15">
        <v>0</v>
      </c>
      <c r="O1951" s="16">
        <v>17.30140529063431</v>
      </c>
      <c r="P1951" s="17">
        <v>0</v>
      </c>
      <c r="Q1951" s="17">
        <v>0</v>
      </c>
      <c r="R1951" s="13"/>
      <c r="S1951" s="13"/>
      <c r="T1951" s="13"/>
      <c r="U1951" s="13"/>
      <c r="V1951" s="13"/>
      <c r="W1951" s="13"/>
    </row>
    <row r="1952" spans="1:23" x14ac:dyDescent="0.2">
      <c r="A1952"/>
      <c r="B1952"/>
      <c r="C1952"/>
      <c r="D1952"/>
      <c r="E1952"/>
      <c r="F1952"/>
      <c r="G1952"/>
      <c r="H1952"/>
      <c r="I1952"/>
      <c r="J1952"/>
      <c r="K1952" s="13" t="s">
        <v>182</v>
      </c>
      <c r="L1952" s="13" t="s">
        <v>421</v>
      </c>
      <c r="M1952" s="13" t="s">
        <v>443</v>
      </c>
      <c r="N1952" s="15">
        <v>5</v>
      </c>
      <c r="O1952" s="16">
        <v>0</v>
      </c>
      <c r="P1952" s="17">
        <v>0</v>
      </c>
      <c r="Q1952" s="17">
        <v>0</v>
      </c>
      <c r="R1952" s="13"/>
      <c r="S1952" s="13"/>
      <c r="T1952" s="13"/>
      <c r="U1952" s="13"/>
      <c r="V1952" s="13"/>
      <c r="W1952" s="13"/>
    </row>
    <row r="1953" spans="1:23" x14ac:dyDescent="0.2">
      <c r="A1953"/>
      <c r="B1953"/>
      <c r="C1953"/>
      <c r="D1953"/>
      <c r="E1953"/>
      <c r="F1953"/>
      <c r="G1953"/>
      <c r="H1953"/>
      <c r="I1953"/>
      <c r="J1953"/>
      <c r="K1953" s="13" t="s">
        <v>182</v>
      </c>
      <c r="L1953" s="13" t="s">
        <v>383</v>
      </c>
      <c r="M1953" s="13" t="s">
        <v>420</v>
      </c>
      <c r="N1953" s="15">
        <v>6</v>
      </c>
      <c r="O1953" s="16">
        <v>0</v>
      </c>
      <c r="P1953" s="17">
        <v>0</v>
      </c>
      <c r="Q1953" s="17">
        <v>0</v>
      </c>
      <c r="R1953" s="13"/>
      <c r="S1953" s="13"/>
      <c r="T1953" s="13"/>
      <c r="U1953" s="13"/>
      <c r="V1953" s="13"/>
      <c r="W1953" s="13"/>
    </row>
    <row r="1954" spans="1:23" x14ac:dyDescent="0.2">
      <c r="A1954"/>
      <c r="B1954"/>
      <c r="C1954"/>
      <c r="D1954"/>
      <c r="E1954"/>
      <c r="F1954"/>
      <c r="G1954"/>
      <c r="H1954"/>
      <c r="I1954"/>
      <c r="J1954"/>
      <c r="K1954" s="13" t="s">
        <v>182</v>
      </c>
      <c r="L1954" s="13" t="s">
        <v>467</v>
      </c>
      <c r="M1954" s="13" t="s">
        <v>422</v>
      </c>
      <c r="N1954" s="15">
        <v>0</v>
      </c>
      <c r="O1954" s="16">
        <v>2.2105720393356005</v>
      </c>
      <c r="P1954" s="17">
        <v>0</v>
      </c>
      <c r="Q1954" s="17">
        <v>0</v>
      </c>
      <c r="R1954" s="13"/>
      <c r="S1954" s="13"/>
      <c r="T1954" s="13"/>
      <c r="U1954" s="13"/>
      <c r="V1954" s="13"/>
      <c r="W1954" s="13"/>
    </row>
    <row r="1955" spans="1:23" x14ac:dyDescent="0.2">
      <c r="A1955"/>
      <c r="B1955"/>
      <c r="C1955"/>
      <c r="D1955"/>
      <c r="E1955"/>
      <c r="F1955"/>
      <c r="G1955"/>
      <c r="H1955"/>
      <c r="I1955"/>
      <c r="J1955"/>
      <c r="K1955" s="13" t="s">
        <v>182</v>
      </c>
      <c r="L1955" s="13" t="s">
        <v>613</v>
      </c>
      <c r="M1955" s="13" t="s">
        <v>444</v>
      </c>
      <c r="N1955" s="15">
        <v>0</v>
      </c>
      <c r="O1955" s="16">
        <v>36.380894836901753</v>
      </c>
      <c r="P1955" s="17">
        <v>0</v>
      </c>
      <c r="Q1955" s="17">
        <v>0</v>
      </c>
      <c r="R1955" s="13"/>
      <c r="S1955" s="13"/>
      <c r="T1955" s="13"/>
      <c r="U1955" s="13"/>
      <c r="V1955" s="13"/>
      <c r="W1955" s="13"/>
    </row>
    <row r="1956" spans="1:23" x14ac:dyDescent="0.2">
      <c r="A1956"/>
      <c r="B1956"/>
      <c r="C1956"/>
      <c r="D1956"/>
      <c r="E1956"/>
      <c r="F1956"/>
      <c r="G1956"/>
      <c r="H1956"/>
      <c r="I1956"/>
      <c r="J1956"/>
      <c r="K1956" s="13" t="s">
        <v>184</v>
      </c>
      <c r="L1956" s="13" t="s">
        <v>435</v>
      </c>
      <c r="M1956" s="13" t="s">
        <v>364</v>
      </c>
      <c r="N1956" s="15">
        <v>0</v>
      </c>
      <c r="O1956" s="16">
        <v>0</v>
      </c>
      <c r="P1956" s="17">
        <v>1.1267500000259607</v>
      </c>
      <c r="Q1956" s="17">
        <v>0</v>
      </c>
      <c r="R1956" s="13"/>
      <c r="S1956" s="13"/>
      <c r="T1956" s="13"/>
      <c r="U1956" s="13"/>
      <c r="V1956" s="13"/>
      <c r="W1956" s="13"/>
    </row>
    <row r="1957" spans="1:23" x14ac:dyDescent="0.2">
      <c r="A1957"/>
      <c r="B1957"/>
      <c r="C1957"/>
      <c r="D1957"/>
      <c r="E1957"/>
      <c r="F1957"/>
      <c r="G1957"/>
      <c r="H1957"/>
      <c r="I1957"/>
      <c r="J1957"/>
      <c r="K1957" s="13" t="s">
        <v>184</v>
      </c>
      <c r="L1957" s="13" t="s">
        <v>435</v>
      </c>
      <c r="M1957" s="13" t="s">
        <v>364</v>
      </c>
      <c r="N1957" s="15">
        <v>1</v>
      </c>
      <c r="O1957" s="16">
        <v>0</v>
      </c>
      <c r="P1957" s="17">
        <v>0</v>
      </c>
      <c r="Q1957" s="17">
        <v>0</v>
      </c>
      <c r="R1957" s="13"/>
      <c r="S1957" s="13"/>
      <c r="T1957" s="13"/>
      <c r="U1957" s="13"/>
      <c r="V1957" s="13"/>
      <c r="W1957" s="13"/>
    </row>
    <row r="1958" spans="1:23" x14ac:dyDescent="0.2">
      <c r="A1958"/>
      <c r="B1958"/>
      <c r="C1958"/>
      <c r="D1958"/>
      <c r="E1958"/>
      <c r="F1958"/>
      <c r="G1958"/>
      <c r="H1958"/>
      <c r="I1958"/>
      <c r="J1958"/>
      <c r="K1958" s="13" t="s">
        <v>184</v>
      </c>
      <c r="L1958" s="13" t="s">
        <v>387</v>
      </c>
      <c r="M1958" s="13" t="s">
        <v>386</v>
      </c>
      <c r="N1958" s="15">
        <v>0</v>
      </c>
      <c r="O1958" s="16">
        <v>0</v>
      </c>
      <c r="P1958" s="17">
        <v>190.80559998257667</v>
      </c>
      <c r="Q1958" s="17">
        <v>0</v>
      </c>
      <c r="R1958" s="13"/>
      <c r="S1958" s="13"/>
      <c r="T1958" s="13"/>
      <c r="U1958" s="13"/>
      <c r="V1958" s="13"/>
      <c r="W1958" s="13"/>
    </row>
    <row r="1959" spans="1:23" x14ac:dyDescent="0.2">
      <c r="A1959"/>
      <c r="B1959"/>
      <c r="C1959"/>
      <c r="D1959"/>
      <c r="E1959"/>
      <c r="F1959"/>
      <c r="G1959"/>
      <c r="H1959"/>
      <c r="I1959"/>
      <c r="J1959"/>
      <c r="K1959" s="13" t="s">
        <v>184</v>
      </c>
      <c r="L1959" s="13" t="s">
        <v>389</v>
      </c>
      <c r="M1959" s="13" t="s">
        <v>388</v>
      </c>
      <c r="N1959" s="15">
        <v>0</v>
      </c>
      <c r="O1959" s="16">
        <v>0</v>
      </c>
      <c r="P1959" s="17">
        <v>193.45560000649948</v>
      </c>
      <c r="Q1959" s="17">
        <v>0</v>
      </c>
      <c r="R1959" s="13"/>
      <c r="S1959" s="13"/>
      <c r="T1959" s="13"/>
      <c r="U1959" s="13"/>
      <c r="V1959" s="13"/>
      <c r="W1959" s="13"/>
    </row>
    <row r="1960" spans="1:23" x14ac:dyDescent="0.2">
      <c r="A1960"/>
      <c r="B1960"/>
      <c r="C1960"/>
      <c r="D1960"/>
      <c r="E1960"/>
      <c r="F1960"/>
      <c r="G1960"/>
      <c r="H1960"/>
      <c r="I1960"/>
      <c r="J1960"/>
      <c r="K1960" s="13" t="s">
        <v>184</v>
      </c>
      <c r="L1960" s="13" t="s">
        <v>460</v>
      </c>
      <c r="M1960" s="13" t="s">
        <v>393</v>
      </c>
      <c r="N1960" s="15">
        <v>0</v>
      </c>
      <c r="O1960" s="16">
        <v>0</v>
      </c>
      <c r="P1960" s="17">
        <v>261.13719999548078</v>
      </c>
      <c r="Q1960" s="17">
        <v>0</v>
      </c>
      <c r="R1960" s="13"/>
      <c r="S1960" s="13"/>
      <c r="T1960" s="13"/>
      <c r="U1960" s="13"/>
      <c r="V1960" s="13"/>
      <c r="W1960" s="13"/>
    </row>
    <row r="1961" spans="1:23" x14ac:dyDescent="0.2">
      <c r="A1961"/>
      <c r="B1961"/>
      <c r="C1961"/>
      <c r="D1961"/>
      <c r="E1961"/>
      <c r="F1961"/>
      <c r="G1961"/>
      <c r="H1961"/>
      <c r="I1961"/>
      <c r="J1961"/>
      <c r="K1961" s="13" t="s">
        <v>184</v>
      </c>
      <c r="L1961" s="13" t="s">
        <v>395</v>
      </c>
      <c r="M1961" s="13" t="s">
        <v>602</v>
      </c>
      <c r="N1961" s="15">
        <v>3</v>
      </c>
      <c r="O1961" s="16">
        <v>0</v>
      </c>
      <c r="P1961" s="17">
        <v>0</v>
      </c>
      <c r="Q1961" s="17">
        <v>0</v>
      </c>
      <c r="R1961" s="13"/>
      <c r="S1961" s="13"/>
      <c r="T1961" s="13"/>
      <c r="U1961" s="13"/>
      <c r="V1961" s="13"/>
      <c r="W1961" s="13"/>
    </row>
    <row r="1962" spans="1:23" x14ac:dyDescent="0.2">
      <c r="A1962"/>
      <c r="B1962"/>
      <c r="C1962"/>
      <c r="D1962"/>
      <c r="E1962"/>
      <c r="F1962"/>
      <c r="G1962"/>
      <c r="H1962"/>
      <c r="I1962"/>
      <c r="J1962"/>
      <c r="K1962" s="13" t="s">
        <v>184</v>
      </c>
      <c r="L1962" s="13" t="s">
        <v>399</v>
      </c>
      <c r="M1962" s="13" t="s">
        <v>400</v>
      </c>
      <c r="N1962" s="15">
        <v>0</v>
      </c>
      <c r="O1962" s="16">
        <v>0</v>
      </c>
      <c r="P1962" s="17">
        <v>13.814400001413331</v>
      </c>
      <c r="Q1962" s="17">
        <v>0</v>
      </c>
      <c r="R1962" s="13"/>
      <c r="S1962" s="13"/>
      <c r="T1962" s="13"/>
      <c r="U1962" s="13"/>
      <c r="V1962" s="13"/>
      <c r="W1962" s="13"/>
    </row>
    <row r="1963" spans="1:23" x14ac:dyDescent="0.2">
      <c r="A1963"/>
      <c r="B1963"/>
      <c r="C1963"/>
      <c r="D1963"/>
      <c r="E1963"/>
      <c r="F1963"/>
      <c r="G1963"/>
      <c r="H1963"/>
      <c r="I1963"/>
      <c r="J1963"/>
      <c r="K1963" s="13" t="s">
        <v>184</v>
      </c>
      <c r="L1963" s="13" t="s">
        <v>404</v>
      </c>
      <c r="M1963" s="13" t="s">
        <v>405</v>
      </c>
      <c r="N1963" s="15">
        <v>0</v>
      </c>
      <c r="O1963" s="16">
        <v>0</v>
      </c>
      <c r="P1963" s="17">
        <v>15.297799974213403</v>
      </c>
      <c r="Q1963" s="17">
        <v>60.47784137393721</v>
      </c>
      <c r="R1963" s="13"/>
      <c r="S1963" s="13"/>
      <c r="T1963" s="13"/>
      <c r="U1963" s="13"/>
      <c r="V1963" s="13"/>
      <c r="W1963" s="13"/>
    </row>
    <row r="1964" spans="1:23" x14ac:dyDescent="0.2">
      <c r="A1964"/>
      <c r="B1964"/>
      <c r="C1964"/>
      <c r="D1964"/>
      <c r="E1964"/>
      <c r="F1964"/>
      <c r="G1964"/>
      <c r="H1964"/>
      <c r="I1964"/>
      <c r="J1964"/>
      <c r="K1964" s="13" t="s">
        <v>184</v>
      </c>
      <c r="L1964" s="13" t="s">
        <v>381</v>
      </c>
      <c r="M1964" s="13" t="s">
        <v>382</v>
      </c>
      <c r="N1964" s="15">
        <v>1</v>
      </c>
      <c r="O1964" s="16">
        <v>0</v>
      </c>
      <c r="P1964" s="17">
        <v>0</v>
      </c>
      <c r="Q1964" s="17">
        <v>0</v>
      </c>
      <c r="R1964" s="13"/>
      <c r="S1964" s="13"/>
      <c r="T1964" s="13"/>
      <c r="U1964" s="13"/>
      <c r="V1964" s="13"/>
      <c r="W1964" s="13"/>
    </row>
    <row r="1965" spans="1:23" x14ac:dyDescent="0.2">
      <c r="A1965"/>
      <c r="B1965"/>
      <c r="C1965"/>
      <c r="D1965"/>
      <c r="E1965"/>
      <c r="F1965"/>
      <c r="G1965"/>
      <c r="H1965"/>
      <c r="I1965"/>
      <c r="J1965"/>
      <c r="K1965" s="13" t="s">
        <v>184</v>
      </c>
      <c r="L1965" s="13" t="s">
        <v>411</v>
      </c>
      <c r="M1965" s="13" t="s">
        <v>362</v>
      </c>
      <c r="N1965" s="15">
        <v>0</v>
      </c>
      <c r="O1965" s="16">
        <v>9.8791655141945132</v>
      </c>
      <c r="P1965" s="17">
        <v>0</v>
      </c>
      <c r="Q1965" s="17">
        <v>0</v>
      </c>
      <c r="R1965" s="13"/>
      <c r="S1965" s="13"/>
      <c r="T1965" s="13"/>
      <c r="U1965" s="13"/>
      <c r="V1965" s="13"/>
      <c r="W1965" s="13"/>
    </row>
    <row r="1966" spans="1:23" x14ac:dyDescent="0.2">
      <c r="A1966"/>
      <c r="B1966"/>
      <c r="C1966"/>
      <c r="D1966"/>
      <c r="E1966"/>
      <c r="F1966"/>
      <c r="G1966"/>
      <c r="H1966"/>
      <c r="I1966"/>
      <c r="J1966"/>
      <c r="K1966" s="13" t="s">
        <v>184</v>
      </c>
      <c r="L1966" s="13" t="s">
        <v>605</v>
      </c>
      <c r="M1966" s="13" t="s">
        <v>429</v>
      </c>
      <c r="N1966" s="15">
        <v>0</v>
      </c>
      <c r="O1966" s="16">
        <v>4.5194800580734658</v>
      </c>
      <c r="P1966" s="17">
        <v>0</v>
      </c>
      <c r="Q1966" s="17">
        <v>0</v>
      </c>
      <c r="R1966" s="13"/>
      <c r="S1966" s="13"/>
      <c r="T1966" s="13"/>
      <c r="U1966" s="13"/>
      <c r="V1966" s="13"/>
      <c r="W1966" s="13"/>
    </row>
    <row r="1967" spans="1:23" x14ac:dyDescent="0.2">
      <c r="A1967"/>
      <c r="B1967"/>
      <c r="C1967"/>
      <c r="D1967"/>
      <c r="E1967"/>
      <c r="F1967"/>
      <c r="G1967"/>
      <c r="H1967"/>
      <c r="I1967"/>
      <c r="J1967"/>
      <c r="K1967" s="13" t="s">
        <v>184</v>
      </c>
      <c r="L1967" s="13" t="s">
        <v>607</v>
      </c>
      <c r="M1967" s="13" t="s">
        <v>431</v>
      </c>
      <c r="N1967" s="15">
        <v>4</v>
      </c>
      <c r="O1967" s="16">
        <v>0</v>
      </c>
      <c r="P1967" s="17">
        <v>0</v>
      </c>
      <c r="Q1967" s="17">
        <v>0</v>
      </c>
      <c r="R1967" s="13"/>
      <c r="S1967" s="13"/>
      <c r="T1967" s="13"/>
      <c r="U1967" s="13"/>
      <c r="V1967" s="13"/>
      <c r="W1967" s="13"/>
    </row>
    <row r="1968" spans="1:23" x14ac:dyDescent="0.2">
      <c r="A1968"/>
      <c r="B1968"/>
      <c r="C1968"/>
      <c r="D1968"/>
      <c r="E1968"/>
      <c r="F1968"/>
      <c r="G1968"/>
      <c r="H1968"/>
      <c r="I1968"/>
      <c r="J1968"/>
      <c r="K1968" s="13" t="s">
        <v>184</v>
      </c>
      <c r="L1968" s="13" t="s">
        <v>609</v>
      </c>
      <c r="M1968" s="13" t="s">
        <v>416</v>
      </c>
      <c r="N1968" s="15">
        <v>0</v>
      </c>
      <c r="O1968" s="16">
        <v>2.100169348414382</v>
      </c>
      <c r="P1968" s="17">
        <v>0</v>
      </c>
      <c r="Q1968" s="17">
        <v>0</v>
      </c>
      <c r="R1968" s="13"/>
      <c r="S1968" s="13"/>
      <c r="T1968" s="13"/>
      <c r="U1968" s="13"/>
      <c r="V1968" s="13"/>
      <c r="W1968" s="13"/>
    </row>
    <row r="1969" spans="1:23" x14ac:dyDescent="0.2">
      <c r="A1969"/>
      <c r="B1969"/>
      <c r="C1969"/>
      <c r="D1969"/>
      <c r="E1969"/>
      <c r="F1969"/>
      <c r="G1969"/>
      <c r="H1969"/>
      <c r="I1969"/>
      <c r="J1969"/>
      <c r="K1969" s="13" t="s">
        <v>184</v>
      </c>
      <c r="L1969" s="13" t="s">
        <v>421</v>
      </c>
      <c r="M1969" s="13" t="s">
        <v>443</v>
      </c>
      <c r="N1969" s="15">
        <v>1</v>
      </c>
      <c r="O1969" s="16">
        <v>0</v>
      </c>
      <c r="P1969" s="17">
        <v>0</v>
      </c>
      <c r="Q1969" s="17">
        <v>0</v>
      </c>
      <c r="R1969" s="13"/>
      <c r="S1969" s="13"/>
      <c r="T1969" s="13"/>
      <c r="U1969" s="13"/>
      <c r="V1969" s="13"/>
      <c r="W1969" s="13"/>
    </row>
    <row r="1970" spans="1:23" x14ac:dyDescent="0.2">
      <c r="A1970"/>
      <c r="B1970"/>
      <c r="C1970"/>
      <c r="D1970"/>
      <c r="E1970"/>
      <c r="F1970"/>
      <c r="G1970"/>
      <c r="H1970"/>
      <c r="I1970"/>
      <c r="J1970"/>
      <c r="K1970" s="13" t="s">
        <v>184</v>
      </c>
      <c r="L1970" s="13" t="s">
        <v>383</v>
      </c>
      <c r="M1970" s="13" t="s">
        <v>420</v>
      </c>
      <c r="N1970" s="15">
        <v>1</v>
      </c>
      <c r="O1970" s="16">
        <v>0</v>
      </c>
      <c r="P1970" s="17">
        <v>0</v>
      </c>
      <c r="Q1970" s="17">
        <v>0</v>
      </c>
      <c r="R1970" s="13"/>
      <c r="S1970" s="13"/>
      <c r="T1970" s="13"/>
      <c r="U1970" s="13"/>
      <c r="V1970" s="13"/>
      <c r="W1970" s="13"/>
    </row>
    <row r="1971" spans="1:23" x14ac:dyDescent="0.2">
      <c r="A1971"/>
      <c r="B1971"/>
      <c r="C1971"/>
      <c r="D1971"/>
      <c r="E1971"/>
      <c r="F1971"/>
      <c r="G1971"/>
      <c r="H1971"/>
      <c r="I1971"/>
      <c r="J1971"/>
      <c r="K1971" s="13" t="s">
        <v>184</v>
      </c>
      <c r="L1971" s="13" t="s">
        <v>613</v>
      </c>
      <c r="M1971" s="13" t="s">
        <v>444</v>
      </c>
      <c r="N1971" s="15">
        <v>0</v>
      </c>
      <c r="O1971" s="16">
        <v>22.703528806695935</v>
      </c>
      <c r="P1971" s="17">
        <v>0</v>
      </c>
      <c r="Q1971" s="17">
        <v>0</v>
      </c>
      <c r="R1971" s="13"/>
      <c r="S1971" s="13"/>
      <c r="T1971" s="13"/>
      <c r="U1971" s="13"/>
      <c r="V1971" s="13"/>
      <c r="W1971" s="13"/>
    </row>
    <row r="1972" spans="1:23" x14ac:dyDescent="0.2">
      <c r="A1972"/>
      <c r="B1972"/>
      <c r="C1972"/>
      <c r="D1972"/>
      <c r="E1972"/>
      <c r="F1972"/>
      <c r="G1972"/>
      <c r="H1972"/>
      <c r="I1972"/>
      <c r="J1972"/>
      <c r="K1972" s="13" t="s">
        <v>186</v>
      </c>
      <c r="L1972" s="13" t="s">
        <v>387</v>
      </c>
      <c r="M1972" s="13" t="s">
        <v>386</v>
      </c>
      <c r="N1972" s="15">
        <v>0</v>
      </c>
      <c r="O1972" s="16">
        <v>0</v>
      </c>
      <c r="P1972" s="17">
        <v>21.911200001098862</v>
      </c>
      <c r="Q1972" s="17">
        <v>0</v>
      </c>
      <c r="R1972" s="13"/>
      <c r="S1972" s="13"/>
      <c r="T1972" s="13"/>
      <c r="U1972" s="13"/>
      <c r="V1972" s="13"/>
      <c r="W1972" s="13"/>
    </row>
    <row r="1973" spans="1:23" x14ac:dyDescent="0.2">
      <c r="A1973"/>
      <c r="B1973"/>
      <c r="C1973"/>
      <c r="D1973"/>
      <c r="E1973"/>
      <c r="F1973"/>
      <c r="G1973"/>
      <c r="H1973"/>
      <c r="I1973"/>
      <c r="J1973"/>
      <c r="K1973" s="13" t="s">
        <v>186</v>
      </c>
      <c r="L1973" s="13" t="s">
        <v>389</v>
      </c>
      <c r="M1973" s="13" t="s">
        <v>388</v>
      </c>
      <c r="N1973" s="15">
        <v>0</v>
      </c>
      <c r="O1973" s="16">
        <v>0</v>
      </c>
      <c r="P1973" s="17">
        <v>236.72084998794915</v>
      </c>
      <c r="Q1973" s="17">
        <v>0</v>
      </c>
      <c r="R1973" s="13"/>
      <c r="S1973" s="13"/>
      <c r="T1973" s="13"/>
      <c r="U1973" s="13"/>
      <c r="V1973" s="13"/>
      <c r="W1973" s="13"/>
    </row>
    <row r="1974" spans="1:23" x14ac:dyDescent="0.2">
      <c r="A1974"/>
      <c r="B1974"/>
      <c r="C1974"/>
      <c r="D1974"/>
      <c r="E1974"/>
      <c r="F1974"/>
      <c r="G1974"/>
      <c r="H1974"/>
      <c r="I1974"/>
      <c r="J1974"/>
      <c r="K1974" s="13" t="s">
        <v>186</v>
      </c>
      <c r="L1974" s="13" t="s">
        <v>391</v>
      </c>
      <c r="M1974" s="13" t="s">
        <v>358</v>
      </c>
      <c r="N1974" s="15">
        <v>0</v>
      </c>
      <c r="O1974" s="16">
        <v>0</v>
      </c>
      <c r="P1974" s="17">
        <v>611.19214999532164</v>
      </c>
      <c r="Q1974" s="17">
        <v>0</v>
      </c>
      <c r="R1974" s="13"/>
      <c r="S1974" s="13"/>
      <c r="T1974" s="13"/>
      <c r="U1974" s="13"/>
      <c r="V1974" s="13"/>
      <c r="W1974" s="13"/>
    </row>
    <row r="1975" spans="1:23" x14ac:dyDescent="0.2">
      <c r="A1975"/>
      <c r="B1975"/>
      <c r="C1975"/>
      <c r="D1975"/>
      <c r="E1975"/>
      <c r="F1975"/>
      <c r="G1975"/>
      <c r="H1975"/>
      <c r="I1975"/>
      <c r="J1975"/>
      <c r="K1975" s="13" t="s">
        <v>186</v>
      </c>
      <c r="L1975" s="13" t="s">
        <v>440</v>
      </c>
      <c r="M1975" s="13" t="s">
        <v>441</v>
      </c>
      <c r="N1975" s="15">
        <v>4</v>
      </c>
      <c r="O1975" s="16">
        <v>0</v>
      </c>
      <c r="P1975" s="17">
        <v>0</v>
      </c>
      <c r="Q1975" s="17">
        <v>0</v>
      </c>
      <c r="R1975" s="13"/>
      <c r="S1975" s="13"/>
      <c r="T1975" s="13"/>
      <c r="U1975" s="13"/>
      <c r="V1975" s="13"/>
      <c r="W1975" s="13"/>
    </row>
    <row r="1976" spans="1:23" x14ac:dyDescent="0.2">
      <c r="A1976"/>
      <c r="B1976"/>
      <c r="C1976"/>
      <c r="D1976"/>
      <c r="E1976"/>
      <c r="F1976"/>
      <c r="G1976"/>
      <c r="H1976"/>
      <c r="I1976"/>
      <c r="J1976"/>
      <c r="K1976" s="13" t="s">
        <v>186</v>
      </c>
      <c r="L1976" s="13" t="s">
        <v>456</v>
      </c>
      <c r="M1976" s="13" t="s">
        <v>457</v>
      </c>
      <c r="N1976" s="15">
        <v>0</v>
      </c>
      <c r="O1976" s="16">
        <v>0</v>
      </c>
      <c r="P1976" s="17">
        <v>128.13075000104971</v>
      </c>
      <c r="Q1976" s="17">
        <v>0</v>
      </c>
      <c r="R1976" s="13"/>
      <c r="S1976" s="13"/>
      <c r="T1976" s="13"/>
      <c r="U1976" s="13"/>
      <c r="V1976" s="13"/>
      <c r="W1976" s="13"/>
    </row>
    <row r="1977" spans="1:23" x14ac:dyDescent="0.2">
      <c r="A1977"/>
      <c r="B1977"/>
      <c r="C1977"/>
      <c r="D1977"/>
      <c r="E1977"/>
      <c r="F1977"/>
      <c r="G1977"/>
      <c r="H1977"/>
      <c r="I1977"/>
      <c r="J1977"/>
      <c r="K1977" s="13" t="s">
        <v>186</v>
      </c>
      <c r="L1977" s="13" t="s">
        <v>381</v>
      </c>
      <c r="M1977" s="13" t="s">
        <v>382</v>
      </c>
      <c r="N1977" s="15">
        <v>5</v>
      </c>
      <c r="O1977" s="16">
        <v>0</v>
      </c>
      <c r="P1977" s="17">
        <v>0</v>
      </c>
      <c r="Q1977" s="17">
        <v>0</v>
      </c>
      <c r="R1977" s="13"/>
      <c r="S1977" s="13"/>
      <c r="T1977" s="13"/>
      <c r="U1977" s="13"/>
      <c r="V1977" s="13"/>
      <c r="W1977" s="13"/>
    </row>
    <row r="1978" spans="1:23" x14ac:dyDescent="0.2">
      <c r="A1978"/>
      <c r="B1978"/>
      <c r="C1978"/>
      <c r="D1978"/>
      <c r="E1978"/>
      <c r="F1978"/>
      <c r="G1978"/>
      <c r="H1978"/>
      <c r="I1978"/>
      <c r="J1978"/>
      <c r="K1978" s="13" t="s">
        <v>186</v>
      </c>
      <c r="L1978" s="13" t="s">
        <v>411</v>
      </c>
      <c r="M1978" s="13" t="s">
        <v>362</v>
      </c>
      <c r="N1978" s="15">
        <v>0</v>
      </c>
      <c r="O1978" s="16">
        <v>0</v>
      </c>
      <c r="P1978" s="17">
        <v>7.5093000015196623</v>
      </c>
      <c r="Q1978" s="17">
        <v>0</v>
      </c>
      <c r="R1978" s="13"/>
      <c r="S1978" s="13"/>
      <c r="T1978" s="13"/>
      <c r="U1978" s="13"/>
      <c r="V1978" s="13"/>
      <c r="W1978" s="13"/>
    </row>
    <row r="1979" spans="1:23" x14ac:dyDescent="0.2">
      <c r="A1979"/>
      <c r="B1979"/>
      <c r="C1979"/>
      <c r="D1979"/>
      <c r="E1979"/>
      <c r="F1979"/>
      <c r="G1979"/>
      <c r="H1979"/>
      <c r="I1979"/>
      <c r="J1979"/>
      <c r="K1979" s="13" t="s">
        <v>186</v>
      </c>
      <c r="L1979" s="13" t="s">
        <v>411</v>
      </c>
      <c r="M1979" s="13" t="s">
        <v>362</v>
      </c>
      <c r="N1979" s="15">
        <v>0</v>
      </c>
      <c r="O1979" s="16">
        <v>8.0524980632380121</v>
      </c>
      <c r="P1979" s="17">
        <v>0</v>
      </c>
      <c r="Q1979" s="17">
        <v>0</v>
      </c>
      <c r="R1979" s="13"/>
      <c r="S1979" s="13"/>
      <c r="T1979" s="13"/>
      <c r="U1979" s="13"/>
      <c r="V1979" s="13"/>
      <c r="W1979" s="13"/>
    </row>
    <row r="1980" spans="1:23" x14ac:dyDescent="0.2">
      <c r="A1980"/>
      <c r="B1980"/>
      <c r="C1980"/>
      <c r="D1980"/>
      <c r="E1980"/>
      <c r="F1980"/>
      <c r="G1980"/>
      <c r="H1980"/>
      <c r="I1980"/>
      <c r="J1980"/>
      <c r="K1980" s="13" t="s">
        <v>186</v>
      </c>
      <c r="L1980" s="13" t="s">
        <v>411</v>
      </c>
      <c r="M1980" s="13" t="s">
        <v>362</v>
      </c>
      <c r="N1980" s="15">
        <v>1</v>
      </c>
      <c r="O1980" s="16">
        <v>0</v>
      </c>
      <c r="P1980" s="17">
        <v>0</v>
      </c>
      <c r="Q1980" s="17">
        <v>0</v>
      </c>
      <c r="R1980" s="13"/>
      <c r="S1980" s="13"/>
      <c r="T1980" s="13"/>
      <c r="U1980" s="13"/>
      <c r="V1980" s="13"/>
      <c r="W1980" s="13"/>
    </row>
    <row r="1981" spans="1:23" x14ac:dyDescent="0.2">
      <c r="A1981"/>
      <c r="B1981"/>
      <c r="C1981"/>
      <c r="D1981"/>
      <c r="E1981"/>
      <c r="F1981"/>
      <c r="G1981"/>
      <c r="H1981"/>
      <c r="I1981"/>
      <c r="J1981"/>
      <c r="K1981" s="13" t="s">
        <v>186</v>
      </c>
      <c r="L1981" s="13" t="s">
        <v>413</v>
      </c>
      <c r="M1981" s="13" t="s">
        <v>428</v>
      </c>
      <c r="N1981" s="15">
        <v>2</v>
      </c>
      <c r="O1981" s="16">
        <v>0</v>
      </c>
      <c r="P1981" s="17">
        <v>0</v>
      </c>
      <c r="Q1981" s="17">
        <v>0</v>
      </c>
      <c r="R1981" s="13"/>
      <c r="S1981" s="13"/>
      <c r="T1981" s="13"/>
      <c r="U1981" s="13"/>
      <c r="V1981" s="13"/>
      <c r="W1981" s="13"/>
    </row>
    <row r="1982" spans="1:23" x14ac:dyDescent="0.2">
      <c r="A1982"/>
      <c r="B1982"/>
      <c r="C1982"/>
      <c r="D1982"/>
      <c r="E1982"/>
      <c r="F1982"/>
      <c r="G1982"/>
      <c r="H1982"/>
      <c r="I1982"/>
      <c r="J1982"/>
      <c r="K1982" s="13" t="s">
        <v>186</v>
      </c>
      <c r="L1982" s="13" t="s">
        <v>603</v>
      </c>
      <c r="M1982" s="13" t="s">
        <v>385</v>
      </c>
      <c r="N1982" s="15">
        <v>0</v>
      </c>
      <c r="O1982" s="16">
        <v>21.748842368044304</v>
      </c>
      <c r="P1982" s="17">
        <v>0</v>
      </c>
      <c r="Q1982" s="17">
        <v>0</v>
      </c>
      <c r="R1982" s="13"/>
      <c r="S1982" s="13"/>
      <c r="T1982" s="13"/>
      <c r="U1982" s="13"/>
      <c r="V1982" s="13"/>
      <c r="W1982" s="13"/>
    </row>
    <row r="1983" spans="1:23" x14ac:dyDescent="0.2">
      <c r="A1983"/>
      <c r="B1983"/>
      <c r="C1983"/>
      <c r="D1983"/>
      <c r="E1983"/>
      <c r="F1983"/>
      <c r="G1983"/>
      <c r="H1983"/>
      <c r="I1983"/>
      <c r="J1983"/>
      <c r="K1983" s="13" t="s">
        <v>186</v>
      </c>
      <c r="L1983" s="13" t="s">
        <v>605</v>
      </c>
      <c r="M1983" s="13" t="s">
        <v>429</v>
      </c>
      <c r="N1983" s="15">
        <v>1</v>
      </c>
      <c r="O1983" s="16">
        <v>0</v>
      </c>
      <c r="P1983" s="17">
        <v>0</v>
      </c>
      <c r="Q1983" s="17">
        <v>0</v>
      </c>
      <c r="R1983" s="13"/>
      <c r="S1983" s="13"/>
      <c r="T1983" s="13"/>
      <c r="U1983" s="13"/>
      <c r="V1983" s="13"/>
      <c r="W1983" s="13"/>
    </row>
    <row r="1984" spans="1:23" x14ac:dyDescent="0.2">
      <c r="A1984"/>
      <c r="B1984"/>
      <c r="C1984"/>
      <c r="D1984"/>
      <c r="E1984"/>
      <c r="F1984"/>
      <c r="G1984"/>
      <c r="H1984"/>
      <c r="I1984"/>
      <c r="J1984"/>
      <c r="K1984" s="13" t="s">
        <v>186</v>
      </c>
      <c r="L1984" s="13" t="s">
        <v>606</v>
      </c>
      <c r="M1984" s="13" t="s">
        <v>430</v>
      </c>
      <c r="N1984" s="15">
        <v>1</v>
      </c>
      <c r="O1984" s="16">
        <v>0</v>
      </c>
      <c r="P1984" s="17">
        <v>0</v>
      </c>
      <c r="Q1984" s="17">
        <v>0</v>
      </c>
      <c r="R1984" s="13"/>
      <c r="S1984" s="13"/>
      <c r="T1984" s="13"/>
      <c r="U1984" s="13"/>
      <c r="V1984" s="13"/>
      <c r="W1984" s="13"/>
    </row>
    <row r="1985" spans="1:23" x14ac:dyDescent="0.2">
      <c r="A1985"/>
      <c r="B1985"/>
      <c r="C1985"/>
      <c r="D1985"/>
      <c r="E1985"/>
      <c r="F1985"/>
      <c r="G1985"/>
      <c r="H1985"/>
      <c r="I1985"/>
      <c r="J1985"/>
      <c r="K1985" s="13" t="s">
        <v>186</v>
      </c>
      <c r="L1985" s="13" t="s">
        <v>608</v>
      </c>
      <c r="M1985" s="13" t="s">
        <v>432</v>
      </c>
      <c r="N1985" s="15">
        <v>15</v>
      </c>
      <c r="O1985" s="16">
        <v>0</v>
      </c>
      <c r="P1985" s="17">
        <v>0</v>
      </c>
      <c r="Q1985" s="17">
        <v>0</v>
      </c>
      <c r="R1985" s="13"/>
      <c r="S1985" s="13"/>
      <c r="T1985" s="13"/>
      <c r="U1985" s="13"/>
      <c r="V1985" s="13"/>
      <c r="W1985" s="13"/>
    </row>
    <row r="1986" spans="1:23" x14ac:dyDescent="0.2">
      <c r="A1986"/>
      <c r="B1986"/>
      <c r="C1986"/>
      <c r="D1986"/>
      <c r="E1986"/>
      <c r="F1986"/>
      <c r="G1986"/>
      <c r="H1986"/>
      <c r="I1986"/>
      <c r="J1986"/>
      <c r="K1986" s="13" t="s">
        <v>186</v>
      </c>
      <c r="L1986" s="13" t="s">
        <v>615</v>
      </c>
      <c r="M1986" s="13" t="s">
        <v>449</v>
      </c>
      <c r="N1986" s="15">
        <v>3</v>
      </c>
      <c r="O1986" s="16">
        <v>0</v>
      </c>
      <c r="P1986" s="17">
        <v>0</v>
      </c>
      <c r="Q1986" s="17">
        <v>0</v>
      </c>
      <c r="R1986" s="13"/>
      <c r="S1986" s="13"/>
      <c r="T1986" s="13"/>
      <c r="U1986" s="13"/>
      <c r="V1986" s="13"/>
      <c r="W1986" s="13"/>
    </row>
    <row r="1987" spans="1:23" x14ac:dyDescent="0.2">
      <c r="A1987"/>
      <c r="B1987"/>
      <c r="C1987"/>
      <c r="D1987"/>
      <c r="E1987"/>
      <c r="F1987"/>
      <c r="G1987"/>
      <c r="H1987"/>
      <c r="I1987"/>
      <c r="J1987"/>
      <c r="K1987" s="13" t="s">
        <v>186</v>
      </c>
      <c r="L1987" s="13" t="s">
        <v>415</v>
      </c>
      <c r="M1987" s="13" t="s">
        <v>412</v>
      </c>
      <c r="N1987" s="15">
        <v>0</v>
      </c>
      <c r="O1987" s="16">
        <v>0</v>
      </c>
      <c r="P1987" s="17">
        <v>16.608299999480536</v>
      </c>
      <c r="Q1987" s="17">
        <v>0</v>
      </c>
      <c r="R1987" s="13"/>
      <c r="S1987" s="13"/>
      <c r="T1987" s="13"/>
      <c r="U1987" s="13"/>
      <c r="V1987" s="13"/>
      <c r="W1987" s="13"/>
    </row>
    <row r="1988" spans="1:23" x14ac:dyDescent="0.2">
      <c r="A1988"/>
      <c r="B1988"/>
      <c r="C1988"/>
      <c r="D1988"/>
      <c r="E1988"/>
      <c r="F1988"/>
      <c r="G1988"/>
      <c r="H1988"/>
      <c r="I1988"/>
      <c r="J1988"/>
      <c r="K1988" s="13" t="s">
        <v>186</v>
      </c>
      <c r="L1988" s="13" t="s">
        <v>383</v>
      </c>
      <c r="M1988" s="13" t="s">
        <v>420</v>
      </c>
      <c r="N1988" s="15">
        <v>6</v>
      </c>
      <c r="O1988" s="16">
        <v>0</v>
      </c>
      <c r="P1988" s="17">
        <v>0</v>
      </c>
      <c r="Q1988" s="17">
        <v>0</v>
      </c>
      <c r="R1988" s="13"/>
      <c r="S1988" s="13"/>
      <c r="T1988" s="13"/>
      <c r="U1988" s="13"/>
      <c r="V1988" s="13"/>
      <c r="W1988" s="13"/>
    </row>
    <row r="1989" spans="1:23" x14ac:dyDescent="0.2">
      <c r="A1989"/>
      <c r="B1989"/>
      <c r="C1989"/>
      <c r="D1989"/>
      <c r="E1989"/>
      <c r="F1989"/>
      <c r="G1989"/>
      <c r="H1989"/>
      <c r="I1989"/>
      <c r="J1989"/>
      <c r="K1989" s="13" t="s">
        <v>186</v>
      </c>
      <c r="L1989" s="13" t="s">
        <v>613</v>
      </c>
      <c r="M1989" s="13" t="s">
        <v>444</v>
      </c>
      <c r="N1989" s="15">
        <v>0</v>
      </c>
      <c r="O1989" s="16">
        <v>49.563590129569874</v>
      </c>
      <c r="P1989" s="17">
        <v>0</v>
      </c>
      <c r="Q1989" s="17">
        <v>0</v>
      </c>
      <c r="R1989" s="13"/>
      <c r="S1989" s="13"/>
      <c r="T1989" s="13"/>
      <c r="U1989" s="13"/>
      <c r="V1989" s="13"/>
      <c r="W1989" s="13"/>
    </row>
    <row r="1990" spans="1:23" x14ac:dyDescent="0.2">
      <c r="A1990"/>
      <c r="B1990"/>
      <c r="C1990"/>
      <c r="D1990"/>
      <c r="E1990"/>
      <c r="F1990"/>
      <c r="G1990"/>
      <c r="H1990"/>
      <c r="I1990"/>
      <c r="J1990"/>
      <c r="K1990" s="13" t="s">
        <v>186</v>
      </c>
      <c r="L1990" s="13" t="s">
        <v>614</v>
      </c>
      <c r="M1990" s="13" t="s">
        <v>447</v>
      </c>
      <c r="N1990" s="15">
        <v>5</v>
      </c>
      <c r="O1990" s="16">
        <v>0</v>
      </c>
      <c r="P1990" s="17">
        <v>0</v>
      </c>
      <c r="Q1990" s="17">
        <v>0</v>
      </c>
      <c r="R1990" s="13"/>
      <c r="S1990" s="13"/>
      <c r="T1990" s="13"/>
      <c r="U1990" s="13"/>
      <c r="V1990" s="13"/>
      <c r="W1990" s="13"/>
    </row>
    <row r="1991" spans="1:23" x14ac:dyDescent="0.2">
      <c r="A1991"/>
      <c r="B1991"/>
      <c r="C1991"/>
      <c r="D1991"/>
      <c r="E1991"/>
      <c r="F1991"/>
      <c r="G1991"/>
      <c r="H1991"/>
      <c r="I1991"/>
      <c r="J1991"/>
      <c r="K1991" s="13" t="s">
        <v>186</v>
      </c>
      <c r="L1991" s="13" t="s">
        <v>612</v>
      </c>
      <c r="M1991" s="13" t="s">
        <v>425</v>
      </c>
      <c r="N1991" s="15">
        <v>1</v>
      </c>
      <c r="O1991" s="16">
        <v>0</v>
      </c>
      <c r="P1991" s="17">
        <v>0</v>
      </c>
      <c r="Q1991" s="17">
        <v>0</v>
      </c>
      <c r="R1991" s="13"/>
      <c r="S1991" s="13"/>
      <c r="T1991" s="13"/>
      <c r="U1991" s="13"/>
      <c r="V1991" s="13"/>
      <c r="W1991" s="13"/>
    </row>
    <row r="1992" spans="1:23" x14ac:dyDescent="0.2">
      <c r="A1992"/>
      <c r="B1992"/>
      <c r="C1992"/>
      <c r="D1992"/>
      <c r="E1992"/>
      <c r="F1992"/>
      <c r="G1992"/>
      <c r="H1992"/>
      <c r="I1992"/>
      <c r="J1992"/>
      <c r="K1992" s="13" t="s">
        <v>188</v>
      </c>
      <c r="L1992" s="13" t="s">
        <v>387</v>
      </c>
      <c r="M1992" s="13" t="s">
        <v>386</v>
      </c>
      <c r="N1992" s="15">
        <v>0</v>
      </c>
      <c r="O1992" s="16">
        <v>0</v>
      </c>
      <c r="P1992" s="17">
        <v>89.326550016619422</v>
      </c>
      <c r="Q1992" s="17">
        <v>0</v>
      </c>
      <c r="R1992" s="13"/>
      <c r="S1992" s="13"/>
      <c r="T1992" s="13"/>
      <c r="U1992" s="13"/>
      <c r="V1992" s="13"/>
      <c r="W1992" s="13"/>
    </row>
    <row r="1993" spans="1:23" x14ac:dyDescent="0.2">
      <c r="A1993"/>
      <c r="B1993"/>
      <c r="C1993"/>
      <c r="D1993"/>
      <c r="E1993"/>
      <c r="F1993"/>
      <c r="G1993"/>
      <c r="H1993"/>
      <c r="I1993"/>
      <c r="J1993"/>
      <c r="K1993" s="13" t="s">
        <v>188</v>
      </c>
      <c r="L1993" s="13" t="s">
        <v>389</v>
      </c>
      <c r="M1993" s="13" t="s">
        <v>388</v>
      </c>
      <c r="N1993" s="15">
        <v>0</v>
      </c>
      <c r="O1993" s="16">
        <v>0</v>
      </c>
      <c r="P1993" s="17">
        <v>179.48090000247609</v>
      </c>
      <c r="Q1993" s="17">
        <v>0</v>
      </c>
      <c r="R1993" s="13"/>
      <c r="S1993" s="13"/>
      <c r="T1993" s="13"/>
      <c r="U1993" s="13"/>
      <c r="V1993" s="13"/>
      <c r="W1993" s="13"/>
    </row>
    <row r="1994" spans="1:23" x14ac:dyDescent="0.2">
      <c r="A1994"/>
      <c r="B1994"/>
      <c r="C1994"/>
      <c r="D1994"/>
      <c r="E1994"/>
      <c r="F1994"/>
      <c r="G1994"/>
      <c r="H1994"/>
      <c r="I1994"/>
      <c r="J1994"/>
      <c r="K1994" s="13" t="s">
        <v>188</v>
      </c>
      <c r="L1994" s="13" t="s">
        <v>391</v>
      </c>
      <c r="M1994" s="13" t="s">
        <v>358</v>
      </c>
      <c r="N1994" s="15">
        <v>0</v>
      </c>
      <c r="O1994" s="16">
        <v>0</v>
      </c>
      <c r="P1994" s="17">
        <v>138.07334999973443</v>
      </c>
      <c r="Q1994" s="17">
        <v>0</v>
      </c>
      <c r="R1994" s="13"/>
      <c r="S1994" s="13"/>
      <c r="T1994" s="13"/>
      <c r="U1994" s="13"/>
      <c r="V1994" s="13"/>
      <c r="W1994" s="13"/>
    </row>
    <row r="1995" spans="1:23" x14ac:dyDescent="0.2">
      <c r="A1995"/>
      <c r="B1995"/>
      <c r="C1995"/>
      <c r="D1995"/>
      <c r="E1995"/>
      <c r="F1995"/>
      <c r="G1995"/>
      <c r="H1995"/>
      <c r="I1995"/>
      <c r="J1995"/>
      <c r="K1995" s="13" t="s">
        <v>188</v>
      </c>
      <c r="L1995" s="13" t="s">
        <v>436</v>
      </c>
      <c r="M1995" s="13" t="s">
        <v>487</v>
      </c>
      <c r="N1995" s="15">
        <v>0</v>
      </c>
      <c r="O1995" s="16">
        <v>0</v>
      </c>
      <c r="P1995" s="17">
        <v>78.318250007898428</v>
      </c>
      <c r="Q1995" s="17">
        <v>0</v>
      </c>
      <c r="R1995" s="13"/>
      <c r="S1995" s="13"/>
      <c r="T1995" s="13"/>
      <c r="U1995" s="13"/>
      <c r="V1995" s="13"/>
      <c r="W1995" s="13"/>
    </row>
    <row r="1996" spans="1:23" x14ac:dyDescent="0.2">
      <c r="A1996"/>
      <c r="B1996"/>
      <c r="C1996"/>
      <c r="D1996"/>
      <c r="E1996"/>
      <c r="F1996"/>
      <c r="G1996"/>
      <c r="H1996"/>
      <c r="I1996"/>
      <c r="J1996"/>
      <c r="K1996" s="13" t="s">
        <v>188</v>
      </c>
      <c r="L1996" s="13" t="s">
        <v>399</v>
      </c>
      <c r="M1996" s="13" t="s">
        <v>400</v>
      </c>
      <c r="N1996" s="15">
        <v>0</v>
      </c>
      <c r="O1996" s="16">
        <v>0</v>
      </c>
      <c r="P1996" s="17">
        <v>8.490049999499508</v>
      </c>
      <c r="Q1996" s="17">
        <v>0</v>
      </c>
      <c r="R1996" s="13"/>
      <c r="S1996" s="13"/>
      <c r="T1996" s="13"/>
      <c r="U1996" s="13"/>
      <c r="V1996" s="13"/>
      <c r="W1996" s="13"/>
    </row>
    <row r="1997" spans="1:23" x14ac:dyDescent="0.2">
      <c r="A1997"/>
      <c r="B1997"/>
      <c r="C1997"/>
      <c r="D1997"/>
      <c r="E1997"/>
      <c r="F1997"/>
      <c r="G1997"/>
      <c r="H1997"/>
      <c r="I1997"/>
      <c r="J1997"/>
      <c r="K1997" s="13" t="s">
        <v>188</v>
      </c>
      <c r="L1997" s="13" t="s">
        <v>401</v>
      </c>
      <c r="M1997" s="13" t="s">
        <v>360</v>
      </c>
      <c r="N1997" s="15">
        <v>0</v>
      </c>
      <c r="O1997" s="16">
        <v>0</v>
      </c>
      <c r="P1997" s="17">
        <v>102.76384997828873</v>
      </c>
      <c r="Q1997" s="17">
        <v>0</v>
      </c>
      <c r="R1997" s="13"/>
      <c r="S1997" s="13"/>
      <c r="T1997" s="13"/>
      <c r="U1997" s="13"/>
      <c r="V1997" s="13"/>
      <c r="W1997" s="13"/>
    </row>
    <row r="1998" spans="1:23" x14ac:dyDescent="0.2">
      <c r="A1998"/>
      <c r="B1998"/>
      <c r="C1998"/>
      <c r="D1998"/>
      <c r="E1998"/>
      <c r="F1998"/>
      <c r="G1998"/>
      <c r="H1998"/>
      <c r="I1998"/>
      <c r="J1998"/>
      <c r="K1998" s="13" t="s">
        <v>188</v>
      </c>
      <c r="L1998" s="13" t="s">
        <v>511</v>
      </c>
      <c r="M1998" s="13" t="s">
        <v>377</v>
      </c>
      <c r="N1998" s="15">
        <v>0</v>
      </c>
      <c r="O1998" s="16">
        <v>0</v>
      </c>
      <c r="P1998" s="17">
        <v>25.369799996884353</v>
      </c>
      <c r="Q1998" s="17">
        <v>0</v>
      </c>
      <c r="R1998" s="13"/>
      <c r="S1998" s="13"/>
      <c r="T1998" s="13"/>
      <c r="U1998" s="13"/>
      <c r="V1998" s="13"/>
      <c r="W1998" s="13"/>
    </row>
    <row r="1999" spans="1:23" x14ac:dyDescent="0.2">
      <c r="A1999"/>
      <c r="B1999"/>
      <c r="C1999"/>
      <c r="D1999"/>
      <c r="E1999"/>
      <c r="F1999"/>
      <c r="G1999"/>
      <c r="H1999"/>
      <c r="I1999"/>
      <c r="J1999"/>
      <c r="K1999" s="13" t="s">
        <v>188</v>
      </c>
      <c r="L1999" s="13" t="s">
        <v>402</v>
      </c>
      <c r="M1999" s="13" t="s">
        <v>403</v>
      </c>
      <c r="N1999" s="15">
        <v>0</v>
      </c>
      <c r="O1999" s="16">
        <v>0</v>
      </c>
      <c r="P1999" s="17">
        <v>876.81689997837464</v>
      </c>
      <c r="Q1999" s="17">
        <v>0</v>
      </c>
      <c r="R1999" s="13"/>
      <c r="S1999" s="13"/>
      <c r="T1999" s="13"/>
      <c r="U1999" s="13"/>
      <c r="V1999" s="13"/>
      <c r="W1999" s="13"/>
    </row>
    <row r="2000" spans="1:23" x14ac:dyDescent="0.2">
      <c r="A2000"/>
      <c r="B2000"/>
      <c r="C2000"/>
      <c r="D2000"/>
      <c r="E2000"/>
      <c r="F2000"/>
      <c r="G2000"/>
      <c r="H2000"/>
      <c r="I2000"/>
      <c r="J2000"/>
      <c r="K2000" s="13" t="s">
        <v>188</v>
      </c>
      <c r="L2000" s="13" t="s">
        <v>471</v>
      </c>
      <c r="M2000" s="13" t="s">
        <v>472</v>
      </c>
      <c r="N2000" s="15">
        <v>0</v>
      </c>
      <c r="O2000" s="16">
        <v>0</v>
      </c>
      <c r="P2000" s="17">
        <v>828.97200000224939</v>
      </c>
      <c r="Q2000" s="17">
        <v>0</v>
      </c>
      <c r="R2000" s="13"/>
      <c r="S2000" s="13"/>
      <c r="T2000" s="13"/>
      <c r="U2000" s="13"/>
      <c r="V2000" s="13"/>
      <c r="W2000" s="13"/>
    </row>
    <row r="2001" spans="1:23" x14ac:dyDescent="0.2">
      <c r="A2001"/>
      <c r="B2001"/>
      <c r="C2001"/>
      <c r="D2001"/>
      <c r="E2001"/>
      <c r="F2001"/>
      <c r="G2001"/>
      <c r="H2001"/>
      <c r="I2001"/>
      <c r="J2001"/>
      <c r="K2001" s="13" t="s">
        <v>188</v>
      </c>
      <c r="L2001" s="13" t="s">
        <v>605</v>
      </c>
      <c r="M2001" s="13" t="s">
        <v>429</v>
      </c>
      <c r="N2001" s="15">
        <v>0</v>
      </c>
      <c r="O2001" s="16">
        <v>2.515313101331706</v>
      </c>
      <c r="P2001" s="17">
        <v>0</v>
      </c>
      <c r="Q2001" s="17">
        <v>0</v>
      </c>
      <c r="R2001" s="13"/>
      <c r="S2001" s="13"/>
      <c r="T2001" s="13"/>
      <c r="U2001" s="13"/>
      <c r="V2001" s="13"/>
      <c r="W2001" s="13"/>
    </row>
    <row r="2002" spans="1:23" x14ac:dyDescent="0.2">
      <c r="A2002"/>
      <c r="B2002"/>
      <c r="C2002"/>
      <c r="D2002"/>
      <c r="E2002"/>
      <c r="F2002"/>
      <c r="G2002"/>
      <c r="H2002"/>
      <c r="I2002"/>
      <c r="J2002"/>
      <c r="K2002" s="13" t="s">
        <v>188</v>
      </c>
      <c r="L2002" s="13" t="s">
        <v>415</v>
      </c>
      <c r="M2002" s="13" t="s">
        <v>412</v>
      </c>
      <c r="N2002" s="15">
        <v>0</v>
      </c>
      <c r="O2002" s="16">
        <v>0</v>
      </c>
      <c r="P2002" s="17">
        <v>5.2294499994593906</v>
      </c>
      <c r="Q2002" s="17">
        <v>0</v>
      </c>
      <c r="R2002" s="13"/>
      <c r="S2002" s="13"/>
      <c r="T2002" s="13"/>
      <c r="U2002" s="13"/>
      <c r="V2002" s="13"/>
      <c r="W2002" s="13"/>
    </row>
    <row r="2003" spans="1:23" x14ac:dyDescent="0.2">
      <c r="A2003"/>
      <c r="B2003"/>
      <c r="C2003"/>
      <c r="D2003"/>
      <c r="E2003"/>
      <c r="F2003"/>
      <c r="G2003"/>
      <c r="H2003"/>
      <c r="I2003"/>
      <c r="J2003"/>
      <c r="K2003" s="13" t="s">
        <v>188</v>
      </c>
      <c r="L2003" s="13" t="s">
        <v>421</v>
      </c>
      <c r="M2003" s="13" t="s">
        <v>443</v>
      </c>
      <c r="N2003" s="15">
        <v>1</v>
      </c>
      <c r="O2003" s="16">
        <v>0</v>
      </c>
      <c r="P2003" s="17">
        <v>0</v>
      </c>
      <c r="Q2003" s="17">
        <v>0</v>
      </c>
      <c r="R2003" s="13"/>
      <c r="S2003" s="13"/>
      <c r="T2003" s="13"/>
      <c r="U2003" s="13"/>
      <c r="V2003" s="13"/>
      <c r="W2003" s="13"/>
    </row>
    <row r="2004" spans="1:23" x14ac:dyDescent="0.2">
      <c r="A2004"/>
      <c r="B2004"/>
      <c r="C2004"/>
      <c r="D2004"/>
      <c r="E2004"/>
      <c r="F2004"/>
      <c r="G2004"/>
      <c r="H2004"/>
      <c r="I2004"/>
      <c r="J2004"/>
      <c r="K2004" s="13" t="s">
        <v>188</v>
      </c>
      <c r="L2004" s="13" t="s">
        <v>613</v>
      </c>
      <c r="M2004" s="13" t="s">
        <v>444</v>
      </c>
      <c r="N2004" s="15">
        <v>0</v>
      </c>
      <c r="O2004" s="16">
        <v>3.624362012184196</v>
      </c>
      <c r="P2004" s="17">
        <v>0</v>
      </c>
      <c r="Q2004" s="17">
        <v>0</v>
      </c>
      <c r="R2004" s="13"/>
      <c r="S2004" s="13"/>
      <c r="T2004" s="13"/>
      <c r="U2004" s="13"/>
      <c r="V2004" s="13"/>
      <c r="W2004" s="13"/>
    </row>
    <row r="2005" spans="1:23" x14ac:dyDescent="0.2">
      <c r="A2005"/>
      <c r="B2005"/>
      <c r="C2005"/>
      <c r="D2005"/>
      <c r="E2005"/>
      <c r="F2005"/>
      <c r="G2005"/>
      <c r="H2005"/>
      <c r="I2005"/>
      <c r="J2005"/>
      <c r="K2005" s="13" t="s">
        <v>190</v>
      </c>
      <c r="L2005" s="13" t="s">
        <v>435</v>
      </c>
      <c r="M2005" s="13" t="s">
        <v>364</v>
      </c>
      <c r="N2005" s="15">
        <v>0</v>
      </c>
      <c r="O2005" s="16">
        <v>0</v>
      </c>
      <c r="P2005" s="17">
        <v>71.956249981331638</v>
      </c>
      <c r="Q2005" s="17">
        <v>0</v>
      </c>
      <c r="R2005" s="13"/>
      <c r="S2005" s="13"/>
      <c r="T2005" s="13"/>
      <c r="U2005" s="13"/>
      <c r="V2005" s="13"/>
      <c r="W2005" s="13"/>
    </row>
    <row r="2006" spans="1:23" x14ac:dyDescent="0.2">
      <c r="A2006"/>
      <c r="B2006"/>
      <c r="C2006"/>
      <c r="D2006"/>
      <c r="E2006"/>
      <c r="F2006"/>
      <c r="G2006"/>
      <c r="H2006"/>
      <c r="I2006"/>
      <c r="J2006"/>
      <c r="K2006" s="13" t="s">
        <v>190</v>
      </c>
      <c r="L2006" s="13" t="s">
        <v>435</v>
      </c>
      <c r="M2006" s="13" t="s">
        <v>364</v>
      </c>
      <c r="N2006" s="15">
        <v>3</v>
      </c>
      <c r="O2006" s="16">
        <v>0</v>
      </c>
      <c r="P2006" s="17">
        <v>0</v>
      </c>
      <c r="Q2006" s="17">
        <v>0</v>
      </c>
      <c r="R2006" s="13"/>
      <c r="S2006" s="13"/>
      <c r="T2006" s="13"/>
      <c r="U2006" s="13"/>
      <c r="V2006" s="13"/>
      <c r="W2006" s="13"/>
    </row>
    <row r="2007" spans="1:23" x14ac:dyDescent="0.2">
      <c r="A2007"/>
      <c r="B2007"/>
      <c r="C2007"/>
      <c r="D2007"/>
      <c r="E2007"/>
      <c r="F2007"/>
      <c r="G2007"/>
      <c r="H2007"/>
      <c r="I2007"/>
      <c r="J2007"/>
      <c r="K2007" s="13" t="s">
        <v>190</v>
      </c>
      <c r="L2007" s="13" t="s">
        <v>481</v>
      </c>
      <c r="M2007" s="13" t="s">
        <v>374</v>
      </c>
      <c r="N2007" s="15">
        <v>0</v>
      </c>
      <c r="O2007" s="16">
        <v>0</v>
      </c>
      <c r="P2007" s="17">
        <v>192.29373734887128</v>
      </c>
      <c r="Q2007" s="17">
        <v>0</v>
      </c>
      <c r="R2007" s="13"/>
      <c r="S2007" s="13"/>
      <c r="T2007" s="13"/>
      <c r="U2007" s="13"/>
      <c r="V2007" s="13"/>
      <c r="W2007" s="13"/>
    </row>
    <row r="2008" spans="1:23" x14ac:dyDescent="0.2">
      <c r="A2008"/>
      <c r="B2008"/>
      <c r="C2008"/>
      <c r="D2008"/>
      <c r="E2008"/>
      <c r="F2008"/>
      <c r="G2008"/>
      <c r="H2008"/>
      <c r="I2008"/>
      <c r="J2008"/>
      <c r="K2008" s="13" t="s">
        <v>190</v>
      </c>
      <c r="L2008" s="13" t="s">
        <v>387</v>
      </c>
      <c r="M2008" s="13" t="s">
        <v>386</v>
      </c>
      <c r="N2008" s="15">
        <v>0</v>
      </c>
      <c r="O2008" s="16">
        <v>0</v>
      </c>
      <c r="P2008" s="17">
        <v>416.04329998327427</v>
      </c>
      <c r="Q2008" s="17">
        <v>0</v>
      </c>
      <c r="R2008" s="13"/>
      <c r="S2008" s="13"/>
      <c r="T2008" s="13"/>
      <c r="U2008" s="13"/>
      <c r="V2008" s="13"/>
      <c r="W2008" s="13"/>
    </row>
    <row r="2009" spans="1:23" x14ac:dyDescent="0.2">
      <c r="A2009"/>
      <c r="B2009"/>
      <c r="C2009"/>
      <c r="D2009"/>
      <c r="E2009"/>
      <c r="F2009"/>
      <c r="G2009"/>
      <c r="H2009"/>
      <c r="I2009"/>
      <c r="J2009"/>
      <c r="K2009" s="13" t="s">
        <v>190</v>
      </c>
      <c r="L2009" s="13" t="s">
        <v>389</v>
      </c>
      <c r="M2009" s="13" t="s">
        <v>388</v>
      </c>
      <c r="N2009" s="15">
        <v>0</v>
      </c>
      <c r="O2009" s="16">
        <v>0</v>
      </c>
      <c r="P2009" s="17">
        <v>19.214362649999433</v>
      </c>
      <c r="Q2009" s="17">
        <v>0</v>
      </c>
      <c r="R2009" s="13"/>
      <c r="S2009" s="13"/>
      <c r="T2009" s="13"/>
      <c r="U2009" s="13"/>
      <c r="V2009" s="13"/>
      <c r="W2009" s="13"/>
    </row>
    <row r="2010" spans="1:23" x14ac:dyDescent="0.2">
      <c r="A2010"/>
      <c r="B2010"/>
      <c r="C2010"/>
      <c r="D2010"/>
      <c r="E2010"/>
      <c r="F2010"/>
      <c r="G2010"/>
      <c r="H2010"/>
      <c r="I2010"/>
      <c r="J2010"/>
      <c r="K2010" s="13" t="s">
        <v>190</v>
      </c>
      <c r="L2010" s="13" t="s">
        <v>401</v>
      </c>
      <c r="M2010" s="13" t="s">
        <v>360</v>
      </c>
      <c r="N2010" s="15">
        <v>0</v>
      </c>
      <c r="O2010" s="16">
        <v>0</v>
      </c>
      <c r="P2010" s="17">
        <v>569.69524997429619</v>
      </c>
      <c r="Q2010" s="17">
        <v>0</v>
      </c>
      <c r="R2010" s="13"/>
      <c r="S2010" s="13"/>
      <c r="T2010" s="13"/>
      <c r="U2010" s="13"/>
      <c r="V2010" s="13"/>
      <c r="W2010" s="13"/>
    </row>
    <row r="2011" spans="1:23" x14ac:dyDescent="0.2">
      <c r="A2011"/>
      <c r="B2011"/>
      <c r="C2011"/>
      <c r="D2011"/>
      <c r="E2011"/>
      <c r="F2011"/>
      <c r="G2011"/>
      <c r="H2011"/>
      <c r="I2011"/>
      <c r="J2011"/>
      <c r="K2011" s="13" t="s">
        <v>190</v>
      </c>
      <c r="L2011" s="13" t="s">
        <v>473</v>
      </c>
      <c r="M2011" s="13" t="s">
        <v>474</v>
      </c>
      <c r="N2011" s="15">
        <v>0</v>
      </c>
      <c r="O2011" s="16">
        <v>0</v>
      </c>
      <c r="P2011" s="17">
        <v>826.38730000987221</v>
      </c>
      <c r="Q2011" s="17">
        <v>0</v>
      </c>
      <c r="R2011" s="13"/>
      <c r="S2011" s="13"/>
      <c r="T2011" s="13"/>
      <c r="U2011" s="13"/>
      <c r="V2011" s="13"/>
      <c r="W2011" s="13"/>
    </row>
    <row r="2012" spans="1:23" x14ac:dyDescent="0.2">
      <c r="A2012"/>
      <c r="B2012"/>
      <c r="C2012"/>
      <c r="D2012"/>
      <c r="E2012"/>
      <c r="F2012"/>
      <c r="G2012"/>
      <c r="H2012"/>
      <c r="I2012"/>
      <c r="J2012"/>
      <c r="K2012" s="13" t="s">
        <v>190</v>
      </c>
      <c r="L2012" s="13" t="s">
        <v>448</v>
      </c>
      <c r="M2012" s="13" t="s">
        <v>366</v>
      </c>
      <c r="N2012" s="15">
        <v>0</v>
      </c>
      <c r="O2012" s="16">
        <v>0</v>
      </c>
      <c r="P2012" s="17">
        <v>594.74030000283392</v>
      </c>
      <c r="Q2012" s="17">
        <v>0</v>
      </c>
      <c r="R2012" s="13"/>
      <c r="S2012" s="13"/>
      <c r="T2012" s="13"/>
      <c r="U2012" s="13"/>
      <c r="V2012" s="13"/>
      <c r="W2012" s="13"/>
    </row>
    <row r="2013" spans="1:23" x14ac:dyDescent="0.2">
      <c r="A2013"/>
      <c r="B2013"/>
      <c r="C2013"/>
      <c r="D2013"/>
      <c r="E2013"/>
      <c r="F2013"/>
      <c r="G2013"/>
      <c r="H2013"/>
      <c r="I2013"/>
      <c r="J2013"/>
      <c r="K2013" s="13" t="s">
        <v>190</v>
      </c>
      <c r="L2013" s="13" t="s">
        <v>381</v>
      </c>
      <c r="M2013" s="13" t="s">
        <v>382</v>
      </c>
      <c r="N2013" s="15">
        <v>21</v>
      </c>
      <c r="O2013" s="16">
        <v>0</v>
      </c>
      <c r="P2013" s="17">
        <v>0</v>
      </c>
      <c r="Q2013" s="17">
        <v>0</v>
      </c>
      <c r="R2013" s="13"/>
      <c r="S2013" s="13"/>
      <c r="T2013" s="13"/>
      <c r="U2013" s="13"/>
      <c r="V2013" s="13"/>
      <c r="W2013" s="13"/>
    </row>
    <row r="2014" spans="1:23" x14ac:dyDescent="0.2">
      <c r="A2014"/>
      <c r="B2014"/>
      <c r="C2014"/>
      <c r="D2014"/>
      <c r="E2014"/>
      <c r="F2014"/>
      <c r="G2014"/>
      <c r="H2014"/>
      <c r="I2014"/>
      <c r="J2014"/>
      <c r="K2014" s="13" t="s">
        <v>190</v>
      </c>
      <c r="L2014" s="13" t="s">
        <v>607</v>
      </c>
      <c r="M2014" s="13" t="s">
        <v>431</v>
      </c>
      <c r="N2014" s="15">
        <v>2</v>
      </c>
      <c r="O2014" s="16">
        <v>0</v>
      </c>
      <c r="P2014" s="17">
        <v>0</v>
      </c>
      <c r="Q2014" s="17">
        <v>0</v>
      </c>
      <c r="R2014" s="13"/>
      <c r="S2014" s="13"/>
      <c r="T2014" s="13"/>
      <c r="U2014" s="13"/>
      <c r="V2014" s="13"/>
      <c r="W2014" s="13"/>
    </row>
    <row r="2015" spans="1:23" x14ac:dyDescent="0.2">
      <c r="A2015"/>
      <c r="B2015"/>
      <c r="C2015"/>
      <c r="D2015"/>
      <c r="E2015"/>
      <c r="F2015"/>
      <c r="G2015"/>
      <c r="H2015"/>
      <c r="I2015"/>
      <c r="J2015"/>
      <c r="K2015" s="13" t="s">
        <v>190</v>
      </c>
      <c r="L2015" s="13" t="s">
        <v>415</v>
      </c>
      <c r="M2015" s="13" t="s">
        <v>412</v>
      </c>
      <c r="N2015" s="15">
        <v>0</v>
      </c>
      <c r="O2015" s="16">
        <v>0</v>
      </c>
      <c r="P2015" s="17">
        <v>2.3936499995073772</v>
      </c>
      <c r="Q2015" s="17">
        <v>0</v>
      </c>
      <c r="R2015" s="13"/>
      <c r="S2015" s="13"/>
      <c r="T2015" s="13"/>
      <c r="U2015" s="13"/>
      <c r="V2015" s="13"/>
      <c r="W2015" s="13"/>
    </row>
    <row r="2016" spans="1:23" x14ac:dyDescent="0.2">
      <c r="A2016"/>
      <c r="B2016"/>
      <c r="C2016"/>
      <c r="D2016"/>
      <c r="E2016"/>
      <c r="F2016"/>
      <c r="G2016"/>
      <c r="H2016"/>
      <c r="I2016"/>
      <c r="J2016"/>
      <c r="K2016" s="13" t="s">
        <v>190</v>
      </c>
      <c r="L2016" s="13" t="s">
        <v>446</v>
      </c>
      <c r="M2016" s="13" t="s">
        <v>371</v>
      </c>
      <c r="N2016" s="15">
        <v>1</v>
      </c>
      <c r="O2016" s="16">
        <v>0</v>
      </c>
      <c r="P2016" s="17">
        <v>0</v>
      </c>
      <c r="Q2016" s="17">
        <v>0</v>
      </c>
      <c r="R2016" s="13"/>
      <c r="S2016" s="13"/>
      <c r="T2016" s="13"/>
      <c r="U2016" s="13"/>
      <c r="V2016" s="13"/>
      <c r="W2016" s="13"/>
    </row>
    <row r="2017" spans="1:23" x14ac:dyDescent="0.2">
      <c r="A2017"/>
      <c r="B2017"/>
      <c r="C2017"/>
      <c r="D2017"/>
      <c r="E2017"/>
      <c r="F2017"/>
      <c r="G2017"/>
      <c r="H2017"/>
      <c r="I2017"/>
      <c r="J2017"/>
      <c r="K2017" s="13" t="s">
        <v>192</v>
      </c>
      <c r="L2017" s="13" t="s">
        <v>435</v>
      </c>
      <c r="M2017" s="13" t="s">
        <v>364</v>
      </c>
      <c r="N2017" s="15">
        <v>0</v>
      </c>
      <c r="O2017" s="16">
        <v>0</v>
      </c>
      <c r="P2017" s="17">
        <v>40.41870000162681</v>
      </c>
      <c r="Q2017" s="17">
        <v>0</v>
      </c>
      <c r="R2017" s="13"/>
      <c r="S2017" s="13"/>
      <c r="T2017" s="13"/>
      <c r="U2017" s="13"/>
      <c r="V2017" s="13"/>
      <c r="W2017" s="13"/>
    </row>
    <row r="2018" spans="1:23" x14ac:dyDescent="0.2">
      <c r="A2018"/>
      <c r="B2018"/>
      <c r="C2018"/>
      <c r="D2018"/>
      <c r="E2018"/>
      <c r="F2018"/>
      <c r="G2018"/>
      <c r="H2018"/>
      <c r="I2018"/>
      <c r="J2018"/>
      <c r="K2018" s="13" t="s">
        <v>192</v>
      </c>
      <c r="L2018" s="13" t="s">
        <v>387</v>
      </c>
      <c r="M2018" s="13" t="s">
        <v>386</v>
      </c>
      <c r="N2018" s="15">
        <v>0</v>
      </c>
      <c r="O2018" s="16">
        <v>0</v>
      </c>
      <c r="P2018" s="17">
        <v>2487.7403499953252</v>
      </c>
      <c r="Q2018" s="17">
        <v>0</v>
      </c>
      <c r="R2018" s="13"/>
      <c r="S2018" s="13"/>
      <c r="T2018" s="13"/>
      <c r="U2018" s="13"/>
      <c r="V2018" s="13"/>
      <c r="W2018" s="13"/>
    </row>
    <row r="2019" spans="1:23" x14ac:dyDescent="0.2">
      <c r="A2019"/>
      <c r="B2019"/>
      <c r="C2019"/>
      <c r="D2019"/>
      <c r="E2019"/>
      <c r="F2019"/>
      <c r="G2019"/>
      <c r="H2019"/>
      <c r="I2019"/>
      <c r="J2019"/>
      <c r="K2019" s="13" t="s">
        <v>192</v>
      </c>
      <c r="L2019" s="13" t="s">
        <v>389</v>
      </c>
      <c r="M2019" s="13" t="s">
        <v>388</v>
      </c>
      <c r="N2019" s="15">
        <v>0</v>
      </c>
      <c r="O2019" s="16">
        <v>0</v>
      </c>
      <c r="P2019" s="17">
        <v>631.8399499735068</v>
      </c>
      <c r="Q2019" s="17">
        <v>0</v>
      </c>
      <c r="R2019" s="13"/>
      <c r="S2019" s="13"/>
      <c r="T2019" s="13"/>
      <c r="U2019" s="13"/>
      <c r="V2019" s="13"/>
      <c r="W2019" s="13"/>
    </row>
    <row r="2020" spans="1:23" x14ac:dyDescent="0.2">
      <c r="A2020"/>
      <c r="B2020"/>
      <c r="C2020"/>
      <c r="D2020"/>
      <c r="E2020"/>
      <c r="F2020"/>
      <c r="G2020"/>
      <c r="H2020"/>
      <c r="I2020"/>
      <c r="J2020"/>
      <c r="K2020" s="13" t="s">
        <v>192</v>
      </c>
      <c r="L2020" s="13" t="s">
        <v>542</v>
      </c>
      <c r="M2020" s="13" t="s">
        <v>390</v>
      </c>
      <c r="N2020" s="15">
        <v>0</v>
      </c>
      <c r="O2020" s="16">
        <v>0</v>
      </c>
      <c r="P2020" s="17">
        <v>26.792549999984949</v>
      </c>
      <c r="Q2020" s="17">
        <v>0</v>
      </c>
      <c r="R2020" s="13"/>
      <c r="S2020" s="13"/>
      <c r="T2020" s="13"/>
      <c r="U2020" s="13"/>
      <c r="V2020" s="13"/>
      <c r="W2020" s="13"/>
    </row>
    <row r="2021" spans="1:23" x14ac:dyDescent="0.2">
      <c r="A2021"/>
      <c r="B2021"/>
      <c r="C2021"/>
      <c r="D2021"/>
      <c r="E2021"/>
      <c r="F2021"/>
      <c r="G2021"/>
      <c r="H2021"/>
      <c r="I2021"/>
      <c r="J2021"/>
      <c r="K2021" s="13" t="s">
        <v>192</v>
      </c>
      <c r="L2021" s="13" t="s">
        <v>391</v>
      </c>
      <c r="M2021" s="13" t="s">
        <v>358</v>
      </c>
      <c r="N2021" s="15">
        <v>0</v>
      </c>
      <c r="O2021" s="16">
        <v>0</v>
      </c>
      <c r="P2021" s="17">
        <v>63.124499996748753</v>
      </c>
      <c r="Q2021" s="17">
        <v>0</v>
      </c>
      <c r="R2021" s="13"/>
      <c r="S2021" s="13"/>
      <c r="T2021" s="13"/>
      <c r="U2021" s="13"/>
      <c r="V2021" s="13"/>
      <c r="W2021" s="13"/>
    </row>
    <row r="2022" spans="1:23" x14ac:dyDescent="0.2">
      <c r="A2022"/>
      <c r="B2022"/>
      <c r="C2022"/>
      <c r="D2022"/>
      <c r="E2022"/>
      <c r="F2022"/>
      <c r="G2022"/>
      <c r="H2022"/>
      <c r="I2022"/>
      <c r="J2022"/>
      <c r="K2022" s="13" t="s">
        <v>192</v>
      </c>
      <c r="L2022" s="13" t="s">
        <v>486</v>
      </c>
      <c r="M2022" s="13" t="s">
        <v>439</v>
      </c>
      <c r="N2022" s="15">
        <v>0</v>
      </c>
      <c r="O2022" s="16">
        <v>0</v>
      </c>
      <c r="P2022" s="17">
        <v>9.4831500013877186</v>
      </c>
      <c r="Q2022" s="17">
        <v>0</v>
      </c>
      <c r="R2022" s="13"/>
      <c r="S2022" s="13"/>
      <c r="T2022" s="13"/>
      <c r="U2022" s="13"/>
      <c r="V2022" s="13"/>
      <c r="W2022" s="13"/>
    </row>
    <row r="2023" spans="1:23" x14ac:dyDescent="0.2">
      <c r="A2023"/>
      <c r="B2023"/>
      <c r="C2023"/>
      <c r="D2023"/>
      <c r="E2023"/>
      <c r="F2023"/>
      <c r="G2023"/>
      <c r="H2023"/>
      <c r="I2023"/>
      <c r="J2023"/>
      <c r="K2023" s="13" t="s">
        <v>192</v>
      </c>
      <c r="L2023" s="13" t="s">
        <v>519</v>
      </c>
      <c r="M2023" s="13" t="s">
        <v>478</v>
      </c>
      <c r="N2023" s="15">
        <v>0</v>
      </c>
      <c r="O2023" s="16">
        <v>0</v>
      </c>
      <c r="P2023" s="17">
        <v>61.061099990763324</v>
      </c>
      <c r="Q2023" s="17">
        <v>0</v>
      </c>
      <c r="R2023" s="13"/>
      <c r="S2023" s="13"/>
      <c r="T2023" s="13"/>
      <c r="U2023" s="13"/>
      <c r="V2023" s="13"/>
      <c r="W2023" s="13"/>
    </row>
    <row r="2024" spans="1:23" x14ac:dyDescent="0.2">
      <c r="A2024"/>
      <c r="B2024"/>
      <c r="C2024"/>
      <c r="D2024"/>
      <c r="E2024"/>
      <c r="F2024"/>
      <c r="G2024"/>
      <c r="H2024"/>
      <c r="I2024"/>
      <c r="J2024"/>
      <c r="K2024" s="13" t="s">
        <v>192</v>
      </c>
      <c r="L2024" s="13" t="s">
        <v>397</v>
      </c>
      <c r="M2024" s="13" t="s">
        <v>398</v>
      </c>
      <c r="N2024" s="15">
        <v>0</v>
      </c>
      <c r="O2024" s="16">
        <v>0</v>
      </c>
      <c r="P2024" s="17">
        <v>87.941400002957224</v>
      </c>
      <c r="Q2024" s="17">
        <v>0</v>
      </c>
      <c r="R2024" s="13"/>
      <c r="S2024" s="13"/>
      <c r="T2024" s="13"/>
      <c r="U2024" s="13"/>
      <c r="V2024" s="13"/>
      <c r="W2024" s="13"/>
    </row>
    <row r="2025" spans="1:23" x14ac:dyDescent="0.2">
      <c r="A2025"/>
      <c r="B2025"/>
      <c r="C2025"/>
      <c r="D2025"/>
      <c r="E2025"/>
      <c r="F2025"/>
      <c r="G2025"/>
      <c r="H2025"/>
      <c r="I2025"/>
      <c r="J2025"/>
      <c r="K2025" s="13" t="s">
        <v>192</v>
      </c>
      <c r="L2025" s="13" t="s">
        <v>399</v>
      </c>
      <c r="M2025" s="13" t="s">
        <v>400</v>
      </c>
      <c r="N2025" s="15">
        <v>0</v>
      </c>
      <c r="O2025" s="16">
        <v>0</v>
      </c>
      <c r="P2025" s="17">
        <v>3.5999500000965305</v>
      </c>
      <c r="Q2025" s="17">
        <v>0</v>
      </c>
      <c r="R2025" s="13"/>
      <c r="S2025" s="13"/>
      <c r="T2025" s="13"/>
      <c r="U2025" s="13"/>
      <c r="V2025" s="13"/>
      <c r="W2025" s="13"/>
    </row>
    <row r="2026" spans="1:23" x14ac:dyDescent="0.2">
      <c r="A2026"/>
      <c r="B2026"/>
      <c r="C2026"/>
      <c r="D2026"/>
      <c r="E2026"/>
      <c r="F2026"/>
      <c r="G2026"/>
      <c r="H2026"/>
      <c r="I2026"/>
      <c r="J2026"/>
      <c r="K2026" s="13" t="s">
        <v>192</v>
      </c>
      <c r="L2026" s="13" t="s">
        <v>401</v>
      </c>
      <c r="M2026" s="13" t="s">
        <v>360</v>
      </c>
      <c r="N2026" s="15">
        <v>0</v>
      </c>
      <c r="O2026" s="16">
        <v>0</v>
      </c>
      <c r="P2026" s="17">
        <v>90.369266857824385</v>
      </c>
      <c r="Q2026" s="17">
        <v>0</v>
      </c>
      <c r="R2026" s="13"/>
      <c r="S2026" s="13"/>
      <c r="T2026" s="13"/>
      <c r="U2026" s="13"/>
      <c r="V2026" s="13"/>
      <c r="W2026" s="13"/>
    </row>
    <row r="2027" spans="1:23" x14ac:dyDescent="0.2">
      <c r="A2027"/>
      <c r="B2027"/>
      <c r="C2027"/>
      <c r="D2027"/>
      <c r="E2027"/>
      <c r="F2027"/>
      <c r="G2027"/>
      <c r="H2027"/>
      <c r="I2027"/>
      <c r="J2027"/>
      <c r="K2027" s="13" t="s">
        <v>192</v>
      </c>
      <c r="L2027" s="13" t="s">
        <v>511</v>
      </c>
      <c r="M2027" s="13" t="s">
        <v>377</v>
      </c>
      <c r="N2027" s="15">
        <v>0</v>
      </c>
      <c r="O2027" s="16">
        <v>0</v>
      </c>
      <c r="P2027" s="17">
        <v>85.539750005599686</v>
      </c>
      <c r="Q2027" s="17">
        <v>0</v>
      </c>
      <c r="R2027" s="13"/>
      <c r="S2027" s="13"/>
      <c r="T2027" s="13"/>
      <c r="U2027" s="13"/>
      <c r="V2027" s="13"/>
      <c r="W2027" s="13"/>
    </row>
    <row r="2028" spans="1:23" x14ac:dyDescent="0.2">
      <c r="A2028"/>
      <c r="B2028"/>
      <c r="C2028"/>
      <c r="D2028"/>
      <c r="E2028"/>
      <c r="F2028"/>
      <c r="G2028"/>
      <c r="H2028"/>
      <c r="I2028"/>
      <c r="J2028"/>
      <c r="K2028" s="13" t="s">
        <v>192</v>
      </c>
      <c r="L2028" s="13" t="s">
        <v>402</v>
      </c>
      <c r="M2028" s="13" t="s">
        <v>403</v>
      </c>
      <c r="N2028" s="15">
        <v>0</v>
      </c>
      <c r="O2028" s="16">
        <v>0</v>
      </c>
      <c r="P2028" s="17">
        <v>259.00959999419069</v>
      </c>
      <c r="Q2028" s="17">
        <v>0</v>
      </c>
      <c r="R2028" s="13"/>
      <c r="S2028" s="13"/>
      <c r="T2028" s="13"/>
      <c r="U2028" s="13"/>
      <c r="V2028" s="13"/>
      <c r="W2028" s="13"/>
    </row>
    <row r="2029" spans="1:23" x14ac:dyDescent="0.2">
      <c r="A2029"/>
      <c r="B2029"/>
      <c r="C2029"/>
      <c r="D2029"/>
      <c r="E2029"/>
      <c r="F2029"/>
      <c r="G2029"/>
      <c r="H2029"/>
      <c r="I2029"/>
      <c r="J2029"/>
      <c r="K2029" s="13" t="s">
        <v>192</v>
      </c>
      <c r="L2029" s="13" t="s">
        <v>473</v>
      </c>
      <c r="M2029" s="13" t="s">
        <v>474</v>
      </c>
      <c r="N2029" s="15">
        <v>0</v>
      </c>
      <c r="O2029" s="16">
        <v>0</v>
      </c>
      <c r="P2029" s="17">
        <v>14.987200023430933</v>
      </c>
      <c r="Q2029" s="17">
        <v>0</v>
      </c>
      <c r="R2029" s="13"/>
      <c r="S2029" s="13"/>
      <c r="T2029" s="13"/>
      <c r="U2029" s="13"/>
      <c r="V2029" s="13"/>
      <c r="W2029" s="13"/>
    </row>
    <row r="2030" spans="1:23" x14ac:dyDescent="0.2">
      <c r="A2030"/>
      <c r="B2030"/>
      <c r="C2030"/>
      <c r="D2030"/>
      <c r="E2030"/>
      <c r="F2030"/>
      <c r="G2030"/>
      <c r="H2030"/>
      <c r="I2030"/>
      <c r="J2030"/>
      <c r="K2030" s="13" t="s">
        <v>192</v>
      </c>
      <c r="L2030" s="13" t="s">
        <v>448</v>
      </c>
      <c r="M2030" s="13" t="s">
        <v>366</v>
      </c>
      <c r="N2030" s="15">
        <v>0</v>
      </c>
      <c r="O2030" s="16">
        <v>0</v>
      </c>
      <c r="P2030" s="17">
        <v>237.47143312386297</v>
      </c>
      <c r="Q2030" s="17">
        <v>0</v>
      </c>
      <c r="R2030" s="13"/>
      <c r="S2030" s="13"/>
      <c r="T2030" s="13"/>
      <c r="U2030" s="13"/>
      <c r="V2030" s="13"/>
      <c r="W2030" s="13"/>
    </row>
    <row r="2031" spans="1:23" x14ac:dyDescent="0.2">
      <c r="A2031"/>
      <c r="B2031"/>
      <c r="C2031"/>
      <c r="D2031"/>
      <c r="E2031"/>
      <c r="F2031"/>
      <c r="G2031"/>
      <c r="H2031"/>
      <c r="I2031"/>
      <c r="J2031"/>
      <c r="K2031" s="13" t="s">
        <v>192</v>
      </c>
      <c r="L2031" s="13" t="s">
        <v>456</v>
      </c>
      <c r="M2031" s="13" t="s">
        <v>457</v>
      </c>
      <c r="N2031" s="15">
        <v>0</v>
      </c>
      <c r="O2031" s="16">
        <v>0</v>
      </c>
      <c r="P2031" s="17">
        <v>100.93160001447168</v>
      </c>
      <c r="Q2031" s="17">
        <v>0</v>
      </c>
      <c r="R2031" s="13"/>
      <c r="S2031" s="13"/>
      <c r="T2031" s="13"/>
      <c r="U2031" s="13"/>
      <c r="V2031" s="13"/>
      <c r="W2031" s="13"/>
    </row>
    <row r="2032" spans="1:23" x14ac:dyDescent="0.2">
      <c r="A2032"/>
      <c r="B2032"/>
      <c r="C2032"/>
      <c r="D2032"/>
      <c r="E2032"/>
      <c r="F2032"/>
      <c r="G2032"/>
      <c r="H2032"/>
      <c r="I2032"/>
      <c r="J2032"/>
      <c r="K2032" s="13" t="s">
        <v>192</v>
      </c>
      <c r="L2032" s="13" t="s">
        <v>404</v>
      </c>
      <c r="M2032" s="13" t="s">
        <v>405</v>
      </c>
      <c r="N2032" s="15">
        <v>0</v>
      </c>
      <c r="O2032" s="16">
        <v>0</v>
      </c>
      <c r="P2032" s="17">
        <v>78.767699976875051</v>
      </c>
      <c r="Q2032" s="17">
        <v>321.9262989521838</v>
      </c>
      <c r="R2032" s="13"/>
      <c r="S2032" s="13"/>
      <c r="T2032" s="13"/>
      <c r="U2032" s="13"/>
      <c r="V2032" s="13"/>
      <c r="W2032" s="13"/>
    </row>
    <row r="2033" spans="1:23" x14ac:dyDescent="0.2">
      <c r="A2033"/>
      <c r="B2033"/>
      <c r="C2033"/>
      <c r="D2033"/>
      <c r="E2033"/>
      <c r="F2033"/>
      <c r="G2033"/>
      <c r="H2033"/>
      <c r="I2033"/>
      <c r="J2033"/>
      <c r="K2033" s="13" t="s">
        <v>192</v>
      </c>
      <c r="L2033" s="13" t="s">
        <v>381</v>
      </c>
      <c r="M2033" s="13" t="s">
        <v>382</v>
      </c>
      <c r="N2033" s="15">
        <v>9</v>
      </c>
      <c r="O2033" s="16">
        <v>0</v>
      </c>
      <c r="P2033" s="17">
        <v>0</v>
      </c>
      <c r="Q2033" s="17">
        <v>0</v>
      </c>
      <c r="R2033" s="13"/>
      <c r="S2033" s="13"/>
      <c r="T2033" s="13"/>
      <c r="U2033" s="13"/>
      <c r="V2033" s="13"/>
      <c r="W2033" s="13"/>
    </row>
    <row r="2034" spans="1:23" x14ac:dyDescent="0.2">
      <c r="A2034"/>
      <c r="B2034"/>
      <c r="C2034"/>
      <c r="D2034"/>
      <c r="E2034"/>
      <c r="F2034"/>
      <c r="G2034"/>
      <c r="H2034"/>
      <c r="I2034"/>
      <c r="J2034"/>
      <c r="K2034" s="13" t="s">
        <v>192</v>
      </c>
      <c r="L2034" s="13" t="s">
        <v>409</v>
      </c>
      <c r="M2034" s="13" t="s">
        <v>410</v>
      </c>
      <c r="N2034" s="15">
        <v>1</v>
      </c>
      <c r="O2034" s="16">
        <v>0</v>
      </c>
      <c r="P2034" s="17">
        <v>0</v>
      </c>
      <c r="Q2034" s="17">
        <v>0</v>
      </c>
      <c r="R2034" s="13"/>
      <c r="S2034" s="13"/>
      <c r="T2034" s="13"/>
      <c r="U2034" s="13"/>
      <c r="V2034" s="13"/>
      <c r="W2034" s="13"/>
    </row>
    <row r="2035" spans="1:23" x14ac:dyDescent="0.2">
      <c r="A2035"/>
      <c r="B2035"/>
      <c r="C2035"/>
      <c r="D2035"/>
      <c r="E2035"/>
      <c r="F2035"/>
      <c r="G2035"/>
      <c r="H2035"/>
      <c r="I2035"/>
      <c r="J2035"/>
      <c r="K2035" s="13" t="s">
        <v>192</v>
      </c>
      <c r="L2035" s="13" t="s">
        <v>411</v>
      </c>
      <c r="M2035" s="13" t="s">
        <v>362</v>
      </c>
      <c r="N2035" s="15">
        <v>0</v>
      </c>
      <c r="O2035" s="16">
        <v>0</v>
      </c>
      <c r="P2035" s="17">
        <v>79.433899993787776</v>
      </c>
      <c r="Q2035" s="17">
        <v>0</v>
      </c>
      <c r="R2035" s="13"/>
      <c r="S2035" s="13"/>
      <c r="T2035" s="13"/>
      <c r="U2035" s="13"/>
      <c r="V2035" s="13"/>
      <c r="W2035" s="13"/>
    </row>
    <row r="2036" spans="1:23" x14ac:dyDescent="0.2">
      <c r="A2036"/>
      <c r="B2036"/>
      <c r="C2036"/>
      <c r="D2036"/>
      <c r="E2036"/>
      <c r="F2036"/>
      <c r="G2036"/>
      <c r="H2036"/>
      <c r="I2036"/>
      <c r="J2036"/>
      <c r="K2036" s="13" t="s">
        <v>192</v>
      </c>
      <c r="L2036" s="13" t="s">
        <v>411</v>
      </c>
      <c r="M2036" s="13" t="s">
        <v>362</v>
      </c>
      <c r="N2036" s="15">
        <v>0</v>
      </c>
      <c r="O2036" s="16">
        <v>68.894044704923004</v>
      </c>
      <c r="P2036" s="17">
        <v>0</v>
      </c>
      <c r="Q2036" s="17">
        <v>0</v>
      </c>
      <c r="R2036" s="13"/>
      <c r="S2036" s="13"/>
      <c r="T2036" s="13"/>
      <c r="U2036" s="13"/>
      <c r="V2036" s="13"/>
      <c r="W2036" s="13"/>
    </row>
    <row r="2037" spans="1:23" x14ac:dyDescent="0.2">
      <c r="A2037"/>
      <c r="B2037"/>
      <c r="C2037"/>
      <c r="D2037"/>
      <c r="E2037"/>
      <c r="F2037"/>
      <c r="G2037"/>
      <c r="H2037"/>
      <c r="I2037"/>
      <c r="J2037"/>
      <c r="K2037" s="13" t="s">
        <v>192</v>
      </c>
      <c r="L2037" s="13" t="s">
        <v>411</v>
      </c>
      <c r="M2037" s="13" t="s">
        <v>362</v>
      </c>
      <c r="N2037" s="15">
        <v>1</v>
      </c>
      <c r="O2037" s="16">
        <v>0</v>
      </c>
      <c r="P2037" s="17">
        <v>0</v>
      </c>
      <c r="Q2037" s="17">
        <v>0</v>
      </c>
      <c r="R2037" s="13"/>
      <c r="S2037" s="13"/>
      <c r="T2037" s="13"/>
      <c r="U2037" s="13"/>
      <c r="V2037" s="13"/>
      <c r="W2037" s="13"/>
    </row>
    <row r="2038" spans="1:23" x14ac:dyDescent="0.2">
      <c r="A2038"/>
      <c r="B2038"/>
      <c r="C2038"/>
      <c r="D2038"/>
      <c r="E2038"/>
      <c r="F2038"/>
      <c r="G2038"/>
      <c r="H2038"/>
      <c r="I2038"/>
      <c r="J2038"/>
      <c r="K2038" s="13" t="s">
        <v>192</v>
      </c>
      <c r="L2038" s="13" t="s">
        <v>413</v>
      </c>
      <c r="M2038" s="13" t="s">
        <v>428</v>
      </c>
      <c r="N2038" s="15">
        <v>1</v>
      </c>
      <c r="O2038" s="16">
        <v>0</v>
      </c>
      <c r="P2038" s="17">
        <v>0</v>
      </c>
      <c r="Q2038" s="17">
        <v>0</v>
      </c>
      <c r="R2038" s="13"/>
      <c r="S2038" s="13"/>
      <c r="T2038" s="13"/>
      <c r="U2038" s="13"/>
      <c r="V2038" s="13"/>
      <c r="W2038" s="13"/>
    </row>
    <row r="2039" spans="1:23" x14ac:dyDescent="0.2">
      <c r="A2039"/>
      <c r="B2039"/>
      <c r="C2039"/>
      <c r="D2039"/>
      <c r="E2039"/>
      <c r="F2039"/>
      <c r="G2039"/>
      <c r="H2039"/>
      <c r="I2039"/>
      <c r="J2039"/>
      <c r="K2039" s="13" t="s">
        <v>192</v>
      </c>
      <c r="L2039" s="13" t="s">
        <v>606</v>
      </c>
      <c r="M2039" s="13" t="s">
        <v>430</v>
      </c>
      <c r="N2039" s="15">
        <v>5</v>
      </c>
      <c r="O2039" s="16">
        <v>0</v>
      </c>
      <c r="P2039" s="17">
        <v>0</v>
      </c>
      <c r="Q2039" s="17">
        <v>0</v>
      </c>
      <c r="R2039" s="13"/>
      <c r="S2039" s="13"/>
      <c r="T2039" s="13"/>
      <c r="U2039" s="13"/>
      <c r="V2039" s="13"/>
      <c r="W2039" s="13"/>
    </row>
    <row r="2040" spans="1:23" x14ac:dyDescent="0.2">
      <c r="A2040"/>
      <c r="B2040"/>
      <c r="C2040"/>
      <c r="D2040"/>
      <c r="E2040"/>
      <c r="F2040"/>
      <c r="G2040"/>
      <c r="H2040"/>
      <c r="I2040"/>
      <c r="J2040"/>
      <c r="K2040" s="13" t="s">
        <v>192</v>
      </c>
      <c r="L2040" s="13" t="s">
        <v>623</v>
      </c>
      <c r="M2040" s="13" t="s">
        <v>530</v>
      </c>
      <c r="N2040" s="15">
        <v>0</v>
      </c>
      <c r="O2040" s="16">
        <v>103.3570577139366</v>
      </c>
      <c r="P2040" s="17">
        <v>0</v>
      </c>
      <c r="Q2040" s="17">
        <v>0</v>
      </c>
      <c r="R2040" s="13"/>
      <c r="S2040" s="13"/>
      <c r="T2040" s="13"/>
      <c r="U2040" s="13"/>
      <c r="V2040" s="13"/>
      <c r="W2040" s="13"/>
    </row>
    <row r="2041" spans="1:23" x14ac:dyDescent="0.2">
      <c r="A2041"/>
      <c r="B2041"/>
      <c r="C2041"/>
      <c r="D2041"/>
      <c r="E2041"/>
      <c r="F2041"/>
      <c r="G2041"/>
      <c r="H2041"/>
      <c r="I2041"/>
      <c r="J2041"/>
      <c r="K2041" s="13" t="s">
        <v>192</v>
      </c>
      <c r="L2041" s="13" t="s">
        <v>607</v>
      </c>
      <c r="M2041" s="13" t="s">
        <v>431</v>
      </c>
      <c r="N2041" s="15">
        <v>2</v>
      </c>
      <c r="O2041" s="16">
        <v>0</v>
      </c>
      <c r="P2041" s="17">
        <v>0</v>
      </c>
      <c r="Q2041" s="17">
        <v>0</v>
      </c>
      <c r="R2041" s="13"/>
      <c r="S2041" s="13"/>
      <c r="T2041" s="13"/>
      <c r="U2041" s="13"/>
      <c r="V2041" s="13"/>
      <c r="W2041" s="13"/>
    </row>
    <row r="2042" spans="1:23" x14ac:dyDescent="0.2">
      <c r="A2042"/>
      <c r="B2042"/>
      <c r="C2042"/>
      <c r="D2042"/>
      <c r="E2042"/>
      <c r="F2042"/>
      <c r="G2042"/>
      <c r="H2042"/>
      <c r="I2042"/>
      <c r="J2042"/>
      <c r="K2042" s="13" t="s">
        <v>192</v>
      </c>
      <c r="L2042" s="13" t="s">
        <v>608</v>
      </c>
      <c r="M2042" s="13" t="s">
        <v>432</v>
      </c>
      <c r="N2042" s="15">
        <v>1</v>
      </c>
      <c r="O2042" s="16">
        <v>0</v>
      </c>
      <c r="P2042" s="17">
        <v>0</v>
      </c>
      <c r="Q2042" s="17">
        <v>0</v>
      </c>
      <c r="R2042" s="13"/>
      <c r="S2042" s="13"/>
      <c r="T2042" s="13"/>
      <c r="U2042" s="13"/>
      <c r="V2042" s="13"/>
      <c r="W2042" s="13"/>
    </row>
    <row r="2043" spans="1:23" x14ac:dyDescent="0.2">
      <c r="A2043"/>
      <c r="B2043"/>
      <c r="C2043"/>
      <c r="D2043"/>
      <c r="E2043"/>
      <c r="F2043"/>
      <c r="G2043"/>
      <c r="H2043"/>
      <c r="I2043"/>
      <c r="J2043"/>
      <c r="K2043" s="13" t="s">
        <v>192</v>
      </c>
      <c r="L2043" s="13" t="s">
        <v>615</v>
      </c>
      <c r="M2043" s="13" t="s">
        <v>449</v>
      </c>
      <c r="N2043" s="15">
        <v>1</v>
      </c>
      <c r="O2043" s="16">
        <v>0</v>
      </c>
      <c r="P2043" s="17">
        <v>0</v>
      </c>
      <c r="Q2043" s="17">
        <v>0</v>
      </c>
      <c r="R2043" s="13"/>
      <c r="S2043" s="13"/>
      <c r="T2043" s="13"/>
      <c r="U2043" s="13"/>
      <c r="V2043" s="13"/>
      <c r="W2043" s="13"/>
    </row>
    <row r="2044" spans="1:23" x14ac:dyDescent="0.2">
      <c r="A2044"/>
      <c r="B2044"/>
      <c r="C2044"/>
      <c r="D2044"/>
      <c r="E2044"/>
      <c r="F2044"/>
      <c r="G2044"/>
      <c r="H2044"/>
      <c r="I2044"/>
      <c r="J2044"/>
      <c r="K2044" s="13" t="s">
        <v>192</v>
      </c>
      <c r="L2044" s="13" t="s">
        <v>415</v>
      </c>
      <c r="M2044" s="13" t="s">
        <v>412</v>
      </c>
      <c r="N2044" s="15">
        <v>0</v>
      </c>
      <c r="O2044" s="16">
        <v>0</v>
      </c>
      <c r="P2044" s="17">
        <v>1.1270999993822537</v>
      </c>
      <c r="Q2044" s="17">
        <v>0</v>
      </c>
      <c r="R2044" s="13"/>
      <c r="S2044" s="13"/>
      <c r="T2044" s="13"/>
      <c r="U2044" s="13"/>
      <c r="V2044" s="13"/>
      <c r="W2044" s="13"/>
    </row>
    <row r="2045" spans="1:23" x14ac:dyDescent="0.2">
      <c r="A2045"/>
      <c r="B2045"/>
      <c r="C2045"/>
      <c r="D2045"/>
      <c r="E2045"/>
      <c r="F2045"/>
      <c r="G2045"/>
      <c r="H2045"/>
      <c r="I2045"/>
      <c r="J2045"/>
      <c r="K2045" s="13" t="s">
        <v>192</v>
      </c>
      <c r="L2045" s="13" t="s">
        <v>417</v>
      </c>
      <c r="M2045" s="13" t="s">
        <v>414</v>
      </c>
      <c r="N2045" s="15">
        <v>0</v>
      </c>
      <c r="O2045" s="16">
        <v>0</v>
      </c>
      <c r="P2045" s="17">
        <v>97.813099997123913</v>
      </c>
      <c r="Q2045" s="17">
        <v>0</v>
      </c>
      <c r="R2045" s="13"/>
      <c r="S2045" s="13"/>
      <c r="T2045" s="13"/>
      <c r="U2045" s="13"/>
      <c r="V2045" s="13"/>
      <c r="W2045" s="13"/>
    </row>
    <row r="2046" spans="1:23" x14ac:dyDescent="0.2">
      <c r="A2046"/>
      <c r="B2046"/>
      <c r="C2046"/>
      <c r="D2046"/>
      <c r="E2046"/>
      <c r="F2046"/>
      <c r="G2046"/>
      <c r="H2046"/>
      <c r="I2046"/>
      <c r="J2046"/>
      <c r="K2046" s="13" t="s">
        <v>192</v>
      </c>
      <c r="L2046" s="13" t="s">
        <v>523</v>
      </c>
      <c r="M2046" s="13" t="s">
        <v>476</v>
      </c>
      <c r="N2046" s="15">
        <v>0</v>
      </c>
      <c r="O2046" s="16">
        <v>0</v>
      </c>
      <c r="P2046" s="17">
        <v>55.778899998431584</v>
      </c>
      <c r="Q2046" s="17">
        <v>0</v>
      </c>
      <c r="R2046" s="13"/>
      <c r="S2046" s="13"/>
      <c r="T2046" s="13"/>
      <c r="U2046" s="13"/>
      <c r="V2046" s="13"/>
      <c r="W2046" s="13"/>
    </row>
    <row r="2047" spans="1:23" x14ac:dyDescent="0.2">
      <c r="A2047"/>
      <c r="B2047"/>
      <c r="C2047"/>
      <c r="D2047"/>
      <c r="E2047"/>
      <c r="F2047"/>
      <c r="G2047"/>
      <c r="H2047"/>
      <c r="I2047"/>
      <c r="J2047"/>
      <c r="K2047" s="13" t="s">
        <v>192</v>
      </c>
      <c r="L2047" s="13" t="s">
        <v>609</v>
      </c>
      <c r="M2047" s="13" t="s">
        <v>416</v>
      </c>
      <c r="N2047" s="15">
        <v>0</v>
      </c>
      <c r="O2047" s="16">
        <v>153.94158682815643</v>
      </c>
      <c r="P2047" s="17">
        <v>0</v>
      </c>
      <c r="Q2047" s="17">
        <v>0</v>
      </c>
      <c r="R2047" s="13"/>
      <c r="S2047" s="13"/>
      <c r="T2047" s="13"/>
      <c r="U2047" s="13"/>
      <c r="V2047" s="13"/>
      <c r="W2047" s="13"/>
    </row>
    <row r="2048" spans="1:23" x14ac:dyDescent="0.2">
      <c r="A2048"/>
      <c r="B2048"/>
      <c r="C2048"/>
      <c r="D2048"/>
      <c r="E2048"/>
      <c r="F2048"/>
      <c r="G2048"/>
      <c r="H2048"/>
      <c r="I2048"/>
      <c r="J2048"/>
      <c r="K2048" s="13" t="s">
        <v>192</v>
      </c>
      <c r="L2048" s="13" t="s">
        <v>622</v>
      </c>
      <c r="M2048" s="13" t="s">
        <v>524</v>
      </c>
      <c r="N2048" s="15">
        <v>0</v>
      </c>
      <c r="O2048" s="16">
        <v>18.8760763538532</v>
      </c>
      <c r="P2048" s="17">
        <v>0</v>
      </c>
      <c r="Q2048" s="17">
        <v>0</v>
      </c>
      <c r="R2048" s="13"/>
      <c r="S2048" s="13"/>
      <c r="T2048" s="13"/>
      <c r="U2048" s="13"/>
      <c r="V2048" s="13"/>
      <c r="W2048" s="13"/>
    </row>
    <row r="2049" spans="1:23" x14ac:dyDescent="0.2">
      <c r="A2049"/>
      <c r="B2049"/>
      <c r="C2049"/>
      <c r="D2049"/>
      <c r="E2049"/>
      <c r="F2049"/>
      <c r="G2049"/>
      <c r="H2049"/>
      <c r="I2049"/>
      <c r="J2049"/>
      <c r="K2049" s="13" t="s">
        <v>192</v>
      </c>
      <c r="L2049" s="13" t="s">
        <v>421</v>
      </c>
      <c r="M2049" s="13" t="s">
        <v>443</v>
      </c>
      <c r="N2049" s="15">
        <v>2</v>
      </c>
      <c r="O2049" s="16">
        <v>0</v>
      </c>
      <c r="P2049" s="17">
        <v>0</v>
      </c>
      <c r="Q2049" s="17">
        <v>0</v>
      </c>
      <c r="R2049" s="13"/>
      <c r="S2049" s="13"/>
      <c r="T2049" s="13"/>
      <c r="U2049" s="13"/>
      <c r="V2049" s="13"/>
      <c r="W2049" s="13"/>
    </row>
    <row r="2050" spans="1:23" x14ac:dyDescent="0.2">
      <c r="A2050"/>
      <c r="B2050"/>
      <c r="C2050"/>
      <c r="D2050"/>
      <c r="E2050"/>
      <c r="F2050"/>
      <c r="G2050"/>
      <c r="H2050"/>
      <c r="I2050"/>
      <c r="J2050"/>
      <c r="K2050" s="13" t="s">
        <v>192</v>
      </c>
      <c r="L2050" s="13" t="s">
        <v>383</v>
      </c>
      <c r="M2050" s="13" t="s">
        <v>420</v>
      </c>
      <c r="N2050" s="15">
        <v>2</v>
      </c>
      <c r="O2050" s="16">
        <v>0</v>
      </c>
      <c r="P2050" s="17">
        <v>0</v>
      </c>
      <c r="Q2050" s="17">
        <v>0</v>
      </c>
      <c r="R2050" s="13"/>
      <c r="S2050" s="13"/>
      <c r="T2050" s="13"/>
      <c r="U2050" s="13"/>
      <c r="V2050" s="13"/>
      <c r="W2050" s="13"/>
    </row>
    <row r="2051" spans="1:23" x14ac:dyDescent="0.2">
      <c r="A2051"/>
      <c r="B2051"/>
      <c r="C2051"/>
      <c r="D2051"/>
      <c r="E2051"/>
      <c r="F2051"/>
      <c r="G2051"/>
      <c r="H2051"/>
      <c r="I2051"/>
      <c r="J2051"/>
      <c r="K2051" s="13" t="s">
        <v>192</v>
      </c>
      <c r="L2051" s="13" t="s">
        <v>528</v>
      </c>
      <c r="M2051" s="13" t="s">
        <v>384</v>
      </c>
      <c r="N2051" s="15">
        <v>0</v>
      </c>
      <c r="O2051" s="16">
        <v>28.074763976493887</v>
      </c>
      <c r="P2051" s="17">
        <v>0</v>
      </c>
      <c r="Q2051" s="17">
        <v>0</v>
      </c>
      <c r="R2051" s="13"/>
      <c r="S2051" s="13"/>
      <c r="T2051" s="13"/>
      <c r="U2051" s="13"/>
      <c r="V2051" s="13"/>
      <c r="W2051" s="13"/>
    </row>
    <row r="2052" spans="1:23" x14ac:dyDescent="0.2">
      <c r="A2052"/>
      <c r="B2052"/>
      <c r="C2052"/>
      <c r="D2052"/>
      <c r="E2052"/>
      <c r="F2052"/>
      <c r="G2052"/>
      <c r="H2052"/>
      <c r="I2052"/>
      <c r="J2052"/>
      <c r="K2052" s="13" t="s">
        <v>192</v>
      </c>
      <c r="L2052" s="13" t="s">
        <v>613</v>
      </c>
      <c r="M2052" s="13" t="s">
        <v>444</v>
      </c>
      <c r="N2052" s="15">
        <v>0</v>
      </c>
      <c r="O2052" s="16">
        <v>59.645174992057328</v>
      </c>
      <c r="P2052" s="17">
        <v>0</v>
      </c>
      <c r="Q2052" s="17">
        <v>0</v>
      </c>
      <c r="R2052" s="13"/>
      <c r="S2052" s="13"/>
      <c r="T2052" s="13"/>
      <c r="U2052" s="13"/>
      <c r="V2052" s="13"/>
      <c r="W2052" s="13"/>
    </row>
    <row r="2053" spans="1:23" x14ac:dyDescent="0.2">
      <c r="A2053"/>
      <c r="B2053"/>
      <c r="C2053"/>
      <c r="D2053"/>
      <c r="E2053"/>
      <c r="F2053"/>
      <c r="G2053"/>
      <c r="H2053"/>
      <c r="I2053"/>
      <c r="J2053"/>
      <c r="K2053" s="13" t="s">
        <v>192</v>
      </c>
      <c r="L2053" s="13" t="s">
        <v>446</v>
      </c>
      <c r="M2053" s="13" t="s">
        <v>371</v>
      </c>
      <c r="N2053" s="15">
        <v>2</v>
      </c>
      <c r="O2053" s="16">
        <v>0</v>
      </c>
      <c r="P2053" s="17">
        <v>0</v>
      </c>
      <c r="Q2053" s="17">
        <v>0</v>
      </c>
      <c r="R2053" s="13"/>
      <c r="S2053" s="13"/>
      <c r="T2053" s="13"/>
      <c r="U2053" s="13"/>
      <c r="V2053" s="13"/>
      <c r="W2053" s="13"/>
    </row>
    <row r="2054" spans="1:23" x14ac:dyDescent="0.2">
      <c r="A2054"/>
      <c r="B2054"/>
      <c r="C2054"/>
      <c r="D2054"/>
      <c r="E2054"/>
      <c r="F2054"/>
      <c r="G2054"/>
      <c r="H2054"/>
      <c r="I2054"/>
      <c r="J2054"/>
      <c r="K2054" s="13" t="s">
        <v>192</v>
      </c>
      <c r="L2054" s="13" t="s">
        <v>614</v>
      </c>
      <c r="M2054" s="13" t="s">
        <v>447</v>
      </c>
      <c r="N2054" s="15">
        <v>3</v>
      </c>
      <c r="O2054" s="16">
        <v>0</v>
      </c>
      <c r="P2054" s="17">
        <v>0</v>
      </c>
      <c r="Q2054" s="17">
        <v>0</v>
      </c>
      <c r="R2054" s="13"/>
      <c r="S2054" s="13"/>
      <c r="T2054" s="13"/>
      <c r="U2054" s="13"/>
      <c r="V2054" s="13"/>
      <c r="W2054" s="13"/>
    </row>
    <row r="2055" spans="1:23" x14ac:dyDescent="0.2">
      <c r="A2055"/>
      <c r="B2055"/>
      <c r="C2055"/>
      <c r="D2055"/>
      <c r="E2055"/>
      <c r="F2055"/>
      <c r="G2055"/>
      <c r="H2055"/>
      <c r="I2055"/>
      <c r="J2055"/>
      <c r="K2055" s="13" t="s">
        <v>192</v>
      </c>
      <c r="L2055" s="13" t="s">
        <v>469</v>
      </c>
      <c r="M2055" s="13" t="s">
        <v>426</v>
      </c>
      <c r="N2055" s="15">
        <v>3</v>
      </c>
      <c r="O2055" s="16">
        <v>0</v>
      </c>
      <c r="P2055" s="17">
        <v>0</v>
      </c>
      <c r="Q2055" s="17">
        <v>0</v>
      </c>
      <c r="R2055" s="13"/>
      <c r="S2055" s="13"/>
      <c r="T2055" s="13"/>
      <c r="U2055" s="13"/>
      <c r="V2055" s="13"/>
      <c r="W2055" s="13"/>
    </row>
    <row r="2056" spans="1:23" x14ac:dyDescent="0.2">
      <c r="A2056"/>
      <c r="B2056"/>
      <c r="C2056"/>
      <c r="D2056"/>
      <c r="E2056"/>
      <c r="F2056"/>
      <c r="G2056"/>
      <c r="H2056"/>
      <c r="I2056"/>
      <c r="J2056"/>
      <c r="K2056" s="13" t="s">
        <v>194</v>
      </c>
      <c r="L2056" s="13" t="s">
        <v>435</v>
      </c>
      <c r="M2056" s="13" t="s">
        <v>364</v>
      </c>
      <c r="N2056" s="15">
        <v>0</v>
      </c>
      <c r="O2056" s="16">
        <v>0</v>
      </c>
      <c r="P2056" s="17">
        <v>55.444949996567985</v>
      </c>
      <c r="Q2056" s="17">
        <v>0</v>
      </c>
      <c r="R2056" s="13"/>
      <c r="S2056" s="13"/>
      <c r="T2056" s="13"/>
      <c r="U2056" s="13"/>
      <c r="V2056" s="13"/>
      <c r="W2056" s="13"/>
    </row>
    <row r="2057" spans="1:23" x14ac:dyDescent="0.2">
      <c r="A2057"/>
      <c r="B2057"/>
      <c r="C2057"/>
      <c r="D2057"/>
      <c r="E2057"/>
      <c r="F2057"/>
      <c r="G2057"/>
      <c r="H2057"/>
      <c r="I2057"/>
      <c r="J2057"/>
      <c r="K2057" s="13" t="s">
        <v>194</v>
      </c>
      <c r="L2057" s="13" t="s">
        <v>435</v>
      </c>
      <c r="M2057" s="13" t="s">
        <v>364</v>
      </c>
      <c r="N2057" s="15">
        <v>0</v>
      </c>
      <c r="O2057" s="16">
        <v>20.958999528520604</v>
      </c>
      <c r="P2057" s="17">
        <v>0</v>
      </c>
      <c r="Q2057" s="17">
        <v>0</v>
      </c>
      <c r="R2057" s="13"/>
      <c r="S2057" s="13"/>
      <c r="T2057" s="13"/>
      <c r="U2057" s="13"/>
      <c r="V2057" s="13"/>
      <c r="W2057" s="13"/>
    </row>
    <row r="2058" spans="1:23" x14ac:dyDescent="0.2">
      <c r="A2058"/>
      <c r="B2058"/>
      <c r="C2058"/>
      <c r="D2058"/>
      <c r="E2058"/>
      <c r="F2058"/>
      <c r="G2058"/>
      <c r="H2058"/>
      <c r="I2058"/>
      <c r="J2058"/>
      <c r="K2058" s="13" t="s">
        <v>194</v>
      </c>
      <c r="L2058" s="13" t="s">
        <v>387</v>
      </c>
      <c r="M2058" s="13" t="s">
        <v>386</v>
      </c>
      <c r="N2058" s="15">
        <v>0</v>
      </c>
      <c r="O2058" s="16">
        <v>0</v>
      </c>
      <c r="P2058" s="17">
        <v>1231.7351769201305</v>
      </c>
      <c r="Q2058" s="17">
        <v>0</v>
      </c>
      <c r="R2058" s="13"/>
      <c r="S2058" s="13"/>
      <c r="T2058" s="13"/>
      <c r="U2058" s="13"/>
      <c r="V2058" s="13"/>
      <c r="W2058" s="13"/>
    </row>
    <row r="2059" spans="1:23" x14ac:dyDescent="0.2">
      <c r="A2059"/>
      <c r="B2059"/>
      <c r="C2059"/>
      <c r="D2059"/>
      <c r="E2059"/>
      <c r="F2059"/>
      <c r="G2059"/>
      <c r="H2059"/>
      <c r="I2059"/>
      <c r="J2059"/>
      <c r="K2059" s="13" t="s">
        <v>194</v>
      </c>
      <c r="L2059" s="13" t="s">
        <v>389</v>
      </c>
      <c r="M2059" s="13" t="s">
        <v>388</v>
      </c>
      <c r="N2059" s="15">
        <v>0</v>
      </c>
      <c r="O2059" s="16">
        <v>0</v>
      </c>
      <c r="P2059" s="17">
        <v>2907.837127114296</v>
      </c>
      <c r="Q2059" s="17">
        <v>0</v>
      </c>
      <c r="R2059" s="13"/>
      <c r="S2059" s="13"/>
      <c r="T2059" s="13"/>
      <c r="U2059" s="13"/>
      <c r="V2059" s="13"/>
      <c r="W2059" s="13"/>
    </row>
    <row r="2060" spans="1:23" x14ac:dyDescent="0.2">
      <c r="A2060"/>
      <c r="B2060"/>
      <c r="C2060"/>
      <c r="D2060"/>
      <c r="E2060"/>
      <c r="F2060"/>
      <c r="G2060"/>
      <c r="H2060"/>
      <c r="I2060"/>
      <c r="J2060"/>
      <c r="K2060" s="13" t="s">
        <v>194</v>
      </c>
      <c r="L2060" s="13" t="s">
        <v>542</v>
      </c>
      <c r="M2060" s="13" t="s">
        <v>390</v>
      </c>
      <c r="N2060" s="15">
        <v>0</v>
      </c>
      <c r="O2060" s="16">
        <v>0</v>
      </c>
      <c r="P2060" s="17">
        <v>10.225349999692737</v>
      </c>
      <c r="Q2060" s="17">
        <v>0</v>
      </c>
      <c r="R2060" s="13"/>
      <c r="S2060" s="13"/>
      <c r="T2060" s="13"/>
      <c r="U2060" s="13"/>
      <c r="V2060" s="13"/>
      <c r="W2060" s="13"/>
    </row>
    <row r="2061" spans="1:23" x14ac:dyDescent="0.2">
      <c r="A2061"/>
      <c r="B2061"/>
      <c r="C2061"/>
      <c r="D2061"/>
      <c r="E2061"/>
      <c r="F2061"/>
      <c r="G2061"/>
      <c r="H2061"/>
      <c r="I2061"/>
      <c r="J2061"/>
      <c r="K2061" s="13" t="s">
        <v>194</v>
      </c>
      <c r="L2061" s="13" t="s">
        <v>391</v>
      </c>
      <c r="M2061" s="13" t="s">
        <v>358</v>
      </c>
      <c r="N2061" s="15">
        <v>0</v>
      </c>
      <c r="O2061" s="16">
        <v>0</v>
      </c>
      <c r="P2061" s="17">
        <v>7.9161500030172993</v>
      </c>
      <c r="Q2061" s="17">
        <v>0</v>
      </c>
      <c r="R2061" s="13"/>
      <c r="S2061" s="13"/>
      <c r="T2061" s="13"/>
      <c r="U2061" s="13"/>
      <c r="V2061" s="13"/>
      <c r="W2061" s="13"/>
    </row>
    <row r="2062" spans="1:23" x14ac:dyDescent="0.2">
      <c r="A2062"/>
      <c r="B2062"/>
      <c r="C2062"/>
      <c r="D2062"/>
      <c r="E2062"/>
      <c r="F2062"/>
      <c r="G2062"/>
      <c r="H2062"/>
      <c r="I2062"/>
      <c r="J2062"/>
      <c r="K2062" s="13" t="s">
        <v>194</v>
      </c>
      <c r="L2062" s="13" t="s">
        <v>450</v>
      </c>
      <c r="M2062" s="13" t="s">
        <v>368</v>
      </c>
      <c r="N2062" s="15">
        <v>0</v>
      </c>
      <c r="O2062" s="16">
        <v>0</v>
      </c>
      <c r="P2062" s="17">
        <v>165.07629998619674</v>
      </c>
      <c r="Q2062" s="17">
        <v>0</v>
      </c>
      <c r="R2062" s="13"/>
      <c r="S2062" s="13"/>
      <c r="T2062" s="13"/>
      <c r="U2062" s="13"/>
      <c r="V2062" s="13"/>
      <c r="W2062" s="13"/>
    </row>
    <row r="2063" spans="1:23" x14ac:dyDescent="0.2">
      <c r="A2063"/>
      <c r="B2063"/>
      <c r="C2063"/>
      <c r="D2063"/>
      <c r="E2063"/>
      <c r="F2063"/>
      <c r="G2063"/>
      <c r="H2063"/>
      <c r="I2063"/>
      <c r="J2063"/>
      <c r="K2063" s="13" t="s">
        <v>194</v>
      </c>
      <c r="L2063" s="13" t="s">
        <v>436</v>
      </c>
      <c r="M2063" s="13" t="s">
        <v>487</v>
      </c>
      <c r="N2063" s="15">
        <v>0</v>
      </c>
      <c r="O2063" s="16">
        <v>0</v>
      </c>
      <c r="P2063" s="17">
        <v>3.5957999993425793</v>
      </c>
      <c r="Q2063" s="17">
        <v>0</v>
      </c>
      <c r="R2063" s="13"/>
      <c r="S2063" s="13"/>
      <c r="T2063" s="13"/>
      <c r="U2063" s="13"/>
      <c r="V2063" s="13"/>
      <c r="W2063" s="13"/>
    </row>
    <row r="2064" spans="1:23" x14ac:dyDescent="0.2">
      <c r="A2064"/>
      <c r="B2064"/>
      <c r="C2064"/>
      <c r="D2064"/>
      <c r="E2064"/>
      <c r="F2064"/>
      <c r="G2064"/>
      <c r="H2064"/>
      <c r="I2064"/>
      <c r="J2064"/>
      <c r="K2064" s="13" t="s">
        <v>194</v>
      </c>
      <c r="L2064" s="13" t="s">
        <v>621</v>
      </c>
      <c r="M2064" s="13" t="s">
        <v>520</v>
      </c>
      <c r="N2064" s="15">
        <v>0</v>
      </c>
      <c r="O2064" s="16">
        <v>0</v>
      </c>
      <c r="P2064" s="17">
        <v>1966.8842499650157</v>
      </c>
      <c r="Q2064" s="17">
        <v>0</v>
      </c>
      <c r="R2064" s="13"/>
      <c r="S2064" s="13"/>
      <c r="T2064" s="13"/>
      <c r="U2064" s="13"/>
      <c r="V2064" s="13"/>
      <c r="W2064" s="13"/>
    </row>
    <row r="2065" spans="1:23" x14ac:dyDescent="0.2">
      <c r="A2065"/>
      <c r="B2065"/>
      <c r="C2065"/>
      <c r="D2065"/>
      <c r="E2065"/>
      <c r="F2065"/>
      <c r="G2065"/>
      <c r="H2065"/>
      <c r="I2065"/>
      <c r="J2065"/>
      <c r="K2065" s="13" t="s">
        <v>194</v>
      </c>
      <c r="L2065" s="13" t="s">
        <v>512</v>
      </c>
      <c r="M2065" s="13" t="s">
        <v>466</v>
      </c>
      <c r="N2065" s="15">
        <v>0</v>
      </c>
      <c r="O2065" s="16">
        <v>0</v>
      </c>
      <c r="P2065" s="17">
        <v>129.20874999744407</v>
      </c>
      <c r="Q2065" s="17">
        <v>0</v>
      </c>
      <c r="R2065" s="13"/>
      <c r="S2065" s="13"/>
      <c r="T2065" s="13"/>
      <c r="U2065" s="13"/>
      <c r="V2065" s="13"/>
      <c r="W2065" s="13"/>
    </row>
    <row r="2066" spans="1:23" x14ac:dyDescent="0.2">
      <c r="A2066"/>
      <c r="B2066"/>
      <c r="C2066"/>
      <c r="D2066"/>
      <c r="E2066"/>
      <c r="F2066"/>
      <c r="G2066"/>
      <c r="H2066"/>
      <c r="I2066"/>
      <c r="J2066"/>
      <c r="K2066" s="13" t="s">
        <v>194</v>
      </c>
      <c r="L2066" s="13" t="s">
        <v>532</v>
      </c>
      <c r="M2066" s="13" t="s">
        <v>620</v>
      </c>
      <c r="N2066" s="15">
        <v>0</v>
      </c>
      <c r="O2066" s="16">
        <v>0</v>
      </c>
      <c r="P2066" s="17">
        <v>134.22359999477737</v>
      </c>
      <c r="Q2066" s="17">
        <v>0</v>
      </c>
      <c r="R2066" s="13"/>
      <c r="S2066" s="13"/>
      <c r="T2066" s="13"/>
      <c r="U2066" s="13"/>
      <c r="V2066" s="13"/>
      <c r="W2066" s="13"/>
    </row>
    <row r="2067" spans="1:23" x14ac:dyDescent="0.2">
      <c r="A2067"/>
      <c r="B2067"/>
      <c r="C2067"/>
      <c r="D2067"/>
      <c r="E2067"/>
      <c r="F2067"/>
      <c r="G2067"/>
      <c r="H2067"/>
      <c r="I2067"/>
      <c r="J2067"/>
      <c r="K2067" s="13" t="s">
        <v>194</v>
      </c>
      <c r="L2067" s="13" t="s">
        <v>440</v>
      </c>
      <c r="M2067" s="13" t="s">
        <v>441</v>
      </c>
      <c r="N2067" s="15">
        <v>3</v>
      </c>
      <c r="O2067" s="16">
        <v>0</v>
      </c>
      <c r="P2067" s="17">
        <v>0</v>
      </c>
      <c r="Q2067" s="17">
        <v>0</v>
      </c>
      <c r="R2067" s="13"/>
      <c r="S2067" s="13"/>
      <c r="T2067" s="13"/>
      <c r="U2067" s="13"/>
      <c r="V2067" s="13"/>
      <c r="W2067" s="13"/>
    </row>
    <row r="2068" spans="1:23" x14ac:dyDescent="0.2">
      <c r="A2068"/>
      <c r="B2068"/>
      <c r="C2068"/>
      <c r="D2068"/>
      <c r="E2068"/>
      <c r="F2068"/>
      <c r="G2068"/>
      <c r="H2068"/>
      <c r="I2068"/>
      <c r="J2068"/>
      <c r="K2068" s="13" t="s">
        <v>194</v>
      </c>
      <c r="L2068" s="13" t="s">
        <v>394</v>
      </c>
      <c r="M2068" s="13" t="s">
        <v>359</v>
      </c>
      <c r="N2068" s="15">
        <v>0</v>
      </c>
      <c r="O2068" s="16">
        <v>0</v>
      </c>
      <c r="P2068" s="17">
        <v>129.40944999784529</v>
      </c>
      <c r="Q2068" s="17">
        <v>0</v>
      </c>
      <c r="R2068" s="13"/>
      <c r="S2068" s="13"/>
      <c r="T2068" s="13"/>
      <c r="U2068" s="13"/>
      <c r="V2068" s="13"/>
      <c r="W2068" s="13"/>
    </row>
    <row r="2069" spans="1:23" x14ac:dyDescent="0.2">
      <c r="A2069"/>
      <c r="B2069"/>
      <c r="C2069"/>
      <c r="D2069"/>
      <c r="E2069"/>
      <c r="F2069"/>
      <c r="G2069"/>
      <c r="H2069"/>
      <c r="I2069"/>
      <c r="J2069"/>
      <c r="K2069" s="13" t="s">
        <v>194</v>
      </c>
      <c r="L2069" s="13" t="s">
        <v>395</v>
      </c>
      <c r="M2069" s="13" t="s">
        <v>602</v>
      </c>
      <c r="N2069" s="15">
        <v>38</v>
      </c>
      <c r="O2069" s="16">
        <v>0</v>
      </c>
      <c r="P2069" s="17">
        <v>0</v>
      </c>
      <c r="Q2069" s="17">
        <v>0</v>
      </c>
      <c r="R2069" s="13"/>
      <c r="S2069" s="13"/>
      <c r="T2069" s="13"/>
      <c r="U2069" s="13"/>
      <c r="V2069" s="13"/>
      <c r="W2069" s="13"/>
    </row>
    <row r="2070" spans="1:23" x14ac:dyDescent="0.2">
      <c r="A2070"/>
      <c r="B2070"/>
      <c r="C2070"/>
      <c r="D2070"/>
      <c r="E2070"/>
      <c r="F2070"/>
      <c r="G2070"/>
      <c r="H2070"/>
      <c r="I2070"/>
      <c r="J2070"/>
      <c r="K2070" s="13" t="s">
        <v>194</v>
      </c>
      <c r="L2070" s="13" t="s">
        <v>397</v>
      </c>
      <c r="M2070" s="13" t="s">
        <v>398</v>
      </c>
      <c r="N2070" s="15">
        <v>0</v>
      </c>
      <c r="O2070" s="16">
        <v>0</v>
      </c>
      <c r="P2070" s="17">
        <v>29.261500004037753</v>
      </c>
      <c r="Q2070" s="17">
        <v>0</v>
      </c>
      <c r="R2070" s="13"/>
      <c r="S2070" s="13"/>
      <c r="T2070" s="13"/>
      <c r="U2070" s="13"/>
      <c r="V2070" s="13"/>
      <c r="W2070" s="13"/>
    </row>
    <row r="2071" spans="1:23" x14ac:dyDescent="0.2">
      <c r="A2071"/>
      <c r="B2071"/>
      <c r="C2071"/>
      <c r="D2071"/>
      <c r="E2071"/>
      <c r="F2071"/>
      <c r="G2071"/>
      <c r="H2071"/>
      <c r="I2071"/>
      <c r="J2071"/>
      <c r="K2071" s="13" t="s">
        <v>194</v>
      </c>
      <c r="L2071" s="13" t="s">
        <v>399</v>
      </c>
      <c r="M2071" s="13" t="s">
        <v>400</v>
      </c>
      <c r="N2071" s="15">
        <v>0</v>
      </c>
      <c r="O2071" s="16">
        <v>0</v>
      </c>
      <c r="P2071" s="17">
        <v>22.258837301672678</v>
      </c>
      <c r="Q2071" s="17">
        <v>0</v>
      </c>
      <c r="R2071" s="13"/>
      <c r="S2071" s="13"/>
      <c r="T2071" s="13"/>
      <c r="U2071" s="13"/>
      <c r="V2071" s="13"/>
      <c r="W2071" s="13"/>
    </row>
    <row r="2072" spans="1:23" x14ac:dyDescent="0.2">
      <c r="A2072"/>
      <c r="B2072"/>
      <c r="C2072"/>
      <c r="D2072"/>
      <c r="E2072"/>
      <c r="F2072"/>
      <c r="G2072"/>
      <c r="H2072"/>
      <c r="I2072"/>
      <c r="J2072"/>
      <c r="K2072" s="13" t="s">
        <v>194</v>
      </c>
      <c r="L2072" s="13" t="s">
        <v>401</v>
      </c>
      <c r="M2072" s="13" t="s">
        <v>360</v>
      </c>
      <c r="N2072" s="15">
        <v>0</v>
      </c>
      <c r="O2072" s="16">
        <v>0</v>
      </c>
      <c r="P2072" s="17">
        <v>357.77349346661453</v>
      </c>
      <c r="Q2072" s="17">
        <v>0</v>
      </c>
      <c r="R2072" s="13"/>
      <c r="S2072" s="13"/>
      <c r="T2072" s="13"/>
      <c r="U2072" s="13"/>
      <c r="V2072" s="13"/>
      <c r="W2072" s="13"/>
    </row>
    <row r="2073" spans="1:23" x14ac:dyDescent="0.2">
      <c r="A2073"/>
      <c r="B2073"/>
      <c r="C2073"/>
      <c r="D2073"/>
      <c r="E2073"/>
      <c r="F2073"/>
      <c r="G2073"/>
      <c r="H2073"/>
      <c r="I2073"/>
      <c r="J2073"/>
      <c r="K2073" s="13" t="s">
        <v>194</v>
      </c>
      <c r="L2073" s="13" t="s">
        <v>511</v>
      </c>
      <c r="M2073" s="13" t="s">
        <v>377</v>
      </c>
      <c r="N2073" s="15">
        <v>0</v>
      </c>
      <c r="O2073" s="16">
        <v>0</v>
      </c>
      <c r="P2073" s="17">
        <v>35.346949990547799</v>
      </c>
      <c r="Q2073" s="17">
        <v>0</v>
      </c>
      <c r="R2073" s="13"/>
      <c r="S2073" s="13"/>
      <c r="T2073" s="13"/>
      <c r="U2073" s="13"/>
      <c r="V2073" s="13"/>
      <c r="W2073" s="13"/>
    </row>
    <row r="2074" spans="1:23" x14ac:dyDescent="0.2">
      <c r="A2074"/>
      <c r="B2074"/>
      <c r="C2074"/>
      <c r="D2074"/>
      <c r="E2074"/>
      <c r="F2074"/>
      <c r="G2074"/>
      <c r="H2074"/>
      <c r="I2074"/>
      <c r="J2074"/>
      <c r="K2074" s="13" t="s">
        <v>194</v>
      </c>
      <c r="L2074" s="13" t="s">
        <v>402</v>
      </c>
      <c r="M2074" s="13" t="s">
        <v>403</v>
      </c>
      <c r="N2074" s="15">
        <v>0</v>
      </c>
      <c r="O2074" s="16">
        <v>0</v>
      </c>
      <c r="P2074" s="17">
        <v>7249.8657710593188</v>
      </c>
      <c r="Q2074" s="17">
        <v>0</v>
      </c>
      <c r="R2074" s="13"/>
      <c r="S2074" s="13"/>
      <c r="T2074" s="13"/>
      <c r="U2074" s="13"/>
      <c r="V2074" s="13"/>
      <c r="W2074" s="13"/>
    </row>
    <row r="2075" spans="1:23" x14ac:dyDescent="0.2">
      <c r="A2075"/>
      <c r="B2075"/>
      <c r="C2075"/>
      <c r="D2075"/>
      <c r="E2075"/>
      <c r="F2075"/>
      <c r="G2075"/>
      <c r="H2075"/>
      <c r="I2075"/>
      <c r="J2075"/>
      <c r="K2075" s="13" t="s">
        <v>194</v>
      </c>
      <c r="L2075" s="13" t="s">
        <v>448</v>
      </c>
      <c r="M2075" s="13" t="s">
        <v>366</v>
      </c>
      <c r="N2075" s="15">
        <v>0</v>
      </c>
      <c r="O2075" s="16">
        <v>0</v>
      </c>
      <c r="P2075" s="17">
        <v>188.17725001558</v>
      </c>
      <c r="Q2075" s="17">
        <v>0</v>
      </c>
      <c r="R2075" s="13"/>
      <c r="S2075" s="13"/>
      <c r="T2075" s="13"/>
      <c r="U2075" s="13"/>
      <c r="V2075" s="13"/>
      <c r="W2075" s="13"/>
    </row>
    <row r="2076" spans="1:23" x14ac:dyDescent="0.2">
      <c r="A2076"/>
      <c r="B2076"/>
      <c r="C2076"/>
      <c r="D2076"/>
      <c r="E2076"/>
      <c r="F2076"/>
      <c r="G2076"/>
      <c r="H2076"/>
      <c r="I2076"/>
      <c r="J2076"/>
      <c r="K2076" s="13" t="s">
        <v>194</v>
      </c>
      <c r="L2076" s="13" t="s">
        <v>462</v>
      </c>
      <c r="M2076" s="13" t="s">
        <v>370</v>
      </c>
      <c r="N2076" s="15">
        <v>0</v>
      </c>
      <c r="O2076" s="16">
        <v>0</v>
      </c>
      <c r="P2076" s="17">
        <v>5.288299997819867</v>
      </c>
      <c r="Q2076" s="17">
        <v>0</v>
      </c>
      <c r="R2076" s="13"/>
      <c r="S2076" s="13"/>
      <c r="T2076" s="13"/>
      <c r="U2076" s="13"/>
      <c r="V2076" s="13"/>
      <c r="W2076" s="13"/>
    </row>
    <row r="2077" spans="1:23" x14ac:dyDescent="0.2">
      <c r="A2077"/>
      <c r="B2077"/>
      <c r="C2077"/>
      <c r="D2077"/>
      <c r="E2077"/>
      <c r="F2077"/>
      <c r="G2077"/>
      <c r="H2077"/>
      <c r="I2077"/>
      <c r="J2077"/>
      <c r="K2077" s="13" t="s">
        <v>194</v>
      </c>
      <c r="L2077" s="13" t="s">
        <v>404</v>
      </c>
      <c r="M2077" s="13" t="s">
        <v>405</v>
      </c>
      <c r="N2077" s="15">
        <v>0</v>
      </c>
      <c r="O2077" s="16">
        <v>0</v>
      </c>
      <c r="P2077" s="17">
        <v>216.84139999332388</v>
      </c>
      <c r="Q2077" s="17">
        <v>704.1181606606732</v>
      </c>
      <c r="R2077" s="13"/>
      <c r="S2077" s="13"/>
      <c r="T2077" s="13"/>
      <c r="U2077" s="13"/>
      <c r="V2077" s="13"/>
      <c r="W2077" s="13"/>
    </row>
    <row r="2078" spans="1:23" x14ac:dyDescent="0.2">
      <c r="A2078"/>
      <c r="B2078"/>
      <c r="C2078"/>
      <c r="D2078"/>
      <c r="E2078"/>
      <c r="F2078"/>
      <c r="G2078"/>
      <c r="H2078"/>
      <c r="I2078"/>
      <c r="J2078"/>
      <c r="K2078" s="13" t="s">
        <v>194</v>
      </c>
      <c r="L2078" s="13" t="s">
        <v>406</v>
      </c>
      <c r="M2078" s="13" t="s">
        <v>361</v>
      </c>
      <c r="N2078" s="15">
        <v>0</v>
      </c>
      <c r="O2078" s="16">
        <v>0</v>
      </c>
      <c r="P2078" s="17">
        <v>89.818799957013752</v>
      </c>
      <c r="Q2078" s="17">
        <v>582.75664365481759</v>
      </c>
      <c r="R2078" s="13"/>
      <c r="S2078" s="13"/>
      <c r="T2078" s="13"/>
      <c r="U2078" s="13"/>
      <c r="V2078" s="13"/>
      <c r="W2078" s="13"/>
    </row>
    <row r="2079" spans="1:23" x14ac:dyDescent="0.2">
      <c r="A2079"/>
      <c r="B2079"/>
      <c r="C2079"/>
      <c r="D2079"/>
      <c r="E2079"/>
      <c r="F2079"/>
      <c r="G2079"/>
      <c r="H2079"/>
      <c r="I2079"/>
      <c r="J2079"/>
      <c r="K2079" s="13" t="s">
        <v>194</v>
      </c>
      <c r="L2079" s="13" t="s">
        <v>381</v>
      </c>
      <c r="M2079" s="13" t="s">
        <v>382</v>
      </c>
      <c r="N2079" s="15">
        <v>92</v>
      </c>
      <c r="O2079" s="16">
        <v>0</v>
      </c>
      <c r="P2079" s="17">
        <v>0</v>
      </c>
      <c r="Q2079" s="17">
        <v>0</v>
      </c>
      <c r="R2079" s="13"/>
      <c r="S2079" s="13"/>
      <c r="T2079" s="13"/>
      <c r="U2079" s="13"/>
      <c r="V2079" s="13"/>
      <c r="W2079" s="13"/>
    </row>
    <row r="2080" spans="1:23" x14ac:dyDescent="0.2">
      <c r="A2080"/>
      <c r="B2080"/>
      <c r="C2080"/>
      <c r="D2080"/>
      <c r="E2080"/>
      <c r="F2080"/>
      <c r="G2080"/>
      <c r="H2080"/>
      <c r="I2080"/>
      <c r="J2080"/>
      <c r="K2080" s="13" t="s">
        <v>194</v>
      </c>
      <c r="L2080" s="13" t="s">
        <v>452</v>
      </c>
      <c r="M2080" s="13" t="s">
        <v>453</v>
      </c>
      <c r="N2080" s="15">
        <v>166</v>
      </c>
      <c r="O2080" s="16">
        <v>0</v>
      </c>
      <c r="P2080" s="17">
        <v>0</v>
      </c>
      <c r="Q2080" s="17">
        <v>0</v>
      </c>
      <c r="R2080" s="13"/>
      <c r="S2080" s="13"/>
      <c r="T2080" s="13"/>
      <c r="U2080" s="13"/>
      <c r="V2080" s="13"/>
      <c r="W2080" s="13"/>
    </row>
    <row r="2081" spans="1:23" x14ac:dyDescent="0.2">
      <c r="A2081"/>
      <c r="B2081"/>
      <c r="C2081"/>
      <c r="D2081"/>
      <c r="E2081"/>
      <c r="F2081"/>
      <c r="G2081"/>
      <c r="H2081"/>
      <c r="I2081"/>
      <c r="J2081"/>
      <c r="K2081" s="13" t="s">
        <v>194</v>
      </c>
      <c r="L2081" s="13" t="s">
        <v>411</v>
      </c>
      <c r="M2081" s="13" t="s">
        <v>362</v>
      </c>
      <c r="N2081" s="15">
        <v>0</v>
      </c>
      <c r="O2081" s="16">
        <v>0</v>
      </c>
      <c r="P2081" s="17">
        <v>365.26574998298781</v>
      </c>
      <c r="Q2081" s="17">
        <v>0</v>
      </c>
      <c r="R2081" s="13"/>
      <c r="S2081" s="13"/>
      <c r="T2081" s="13"/>
      <c r="U2081" s="13"/>
      <c r="V2081" s="13"/>
      <c r="W2081" s="13"/>
    </row>
    <row r="2082" spans="1:23" x14ac:dyDescent="0.2">
      <c r="A2082"/>
      <c r="B2082"/>
      <c r="C2082"/>
      <c r="D2082"/>
      <c r="E2082"/>
      <c r="F2082"/>
      <c r="G2082"/>
      <c r="H2082"/>
      <c r="I2082"/>
      <c r="J2082"/>
      <c r="K2082" s="13" t="s">
        <v>194</v>
      </c>
      <c r="L2082" s="13" t="s">
        <v>411</v>
      </c>
      <c r="M2082" s="13" t="s">
        <v>362</v>
      </c>
      <c r="N2082" s="15">
        <v>0</v>
      </c>
      <c r="O2082" s="16">
        <v>265.0627270096212</v>
      </c>
      <c r="P2082" s="17">
        <v>0</v>
      </c>
      <c r="Q2082" s="17">
        <v>0</v>
      </c>
      <c r="R2082" s="13"/>
      <c r="S2082" s="13"/>
      <c r="T2082" s="13"/>
      <c r="U2082" s="13"/>
      <c r="V2082" s="13"/>
      <c r="W2082" s="13"/>
    </row>
    <row r="2083" spans="1:23" x14ac:dyDescent="0.2">
      <c r="A2083"/>
      <c r="B2083"/>
      <c r="C2083"/>
      <c r="D2083"/>
      <c r="E2083"/>
      <c r="F2083"/>
      <c r="G2083"/>
      <c r="H2083"/>
      <c r="I2083"/>
      <c r="J2083"/>
      <c r="K2083" s="13" t="s">
        <v>194</v>
      </c>
      <c r="L2083" s="13" t="s">
        <v>411</v>
      </c>
      <c r="M2083" s="13" t="s">
        <v>362</v>
      </c>
      <c r="N2083" s="15">
        <v>36</v>
      </c>
      <c r="O2083" s="16">
        <v>0</v>
      </c>
      <c r="P2083" s="17">
        <v>0</v>
      </c>
      <c r="Q2083" s="17">
        <v>0</v>
      </c>
      <c r="R2083" s="13"/>
      <c r="S2083" s="13"/>
      <c r="T2083" s="13"/>
      <c r="U2083" s="13"/>
      <c r="V2083" s="13"/>
      <c r="W2083" s="13"/>
    </row>
    <row r="2084" spans="1:23" x14ac:dyDescent="0.2">
      <c r="A2084"/>
      <c r="B2084"/>
      <c r="C2084"/>
      <c r="D2084"/>
      <c r="E2084"/>
      <c r="F2084"/>
      <c r="G2084"/>
      <c r="H2084"/>
      <c r="I2084"/>
      <c r="J2084"/>
      <c r="K2084" s="13" t="s">
        <v>194</v>
      </c>
      <c r="L2084" s="13" t="s">
        <v>413</v>
      </c>
      <c r="M2084" s="13" t="s">
        <v>428</v>
      </c>
      <c r="N2084" s="15">
        <v>3</v>
      </c>
      <c r="O2084" s="16">
        <v>0</v>
      </c>
      <c r="P2084" s="17">
        <v>0</v>
      </c>
      <c r="Q2084" s="17">
        <v>0</v>
      </c>
      <c r="R2084" s="13"/>
      <c r="S2084" s="13"/>
      <c r="T2084" s="13"/>
      <c r="U2084" s="13"/>
      <c r="V2084" s="13"/>
      <c r="W2084" s="13"/>
    </row>
    <row r="2085" spans="1:23" x14ac:dyDescent="0.2">
      <c r="A2085"/>
      <c r="B2085"/>
      <c r="C2085"/>
      <c r="D2085"/>
      <c r="E2085"/>
      <c r="F2085"/>
      <c r="G2085"/>
      <c r="H2085"/>
      <c r="I2085"/>
      <c r="J2085"/>
      <c r="K2085" s="13" t="s">
        <v>194</v>
      </c>
      <c r="L2085" s="13" t="s">
        <v>475</v>
      </c>
      <c r="M2085" s="13" t="s">
        <v>470</v>
      </c>
      <c r="N2085" s="15">
        <v>1</v>
      </c>
      <c r="O2085" s="16">
        <v>0</v>
      </c>
      <c r="P2085" s="17">
        <v>0</v>
      </c>
      <c r="Q2085" s="17">
        <v>0</v>
      </c>
      <c r="R2085" s="13"/>
      <c r="S2085" s="13"/>
      <c r="T2085" s="13"/>
      <c r="U2085" s="13"/>
      <c r="V2085" s="13"/>
      <c r="W2085" s="13"/>
    </row>
    <row r="2086" spans="1:23" x14ac:dyDescent="0.2">
      <c r="A2086"/>
      <c r="B2086"/>
      <c r="C2086"/>
      <c r="D2086"/>
      <c r="E2086"/>
      <c r="F2086"/>
      <c r="G2086"/>
      <c r="H2086"/>
      <c r="I2086"/>
      <c r="J2086"/>
      <c r="K2086" s="13" t="s">
        <v>194</v>
      </c>
      <c r="L2086" s="13" t="s">
        <v>603</v>
      </c>
      <c r="M2086" s="13" t="s">
        <v>385</v>
      </c>
      <c r="N2086" s="15">
        <v>14</v>
      </c>
      <c r="O2086" s="16">
        <v>0</v>
      </c>
      <c r="P2086" s="17">
        <v>0</v>
      </c>
      <c r="Q2086" s="17">
        <v>0</v>
      </c>
      <c r="R2086" s="13"/>
      <c r="S2086" s="13"/>
      <c r="T2086" s="13"/>
      <c r="U2086" s="13"/>
      <c r="V2086" s="13"/>
      <c r="W2086" s="13"/>
    </row>
    <row r="2087" spans="1:23" x14ac:dyDescent="0.2">
      <c r="A2087"/>
      <c r="B2087"/>
      <c r="C2087"/>
      <c r="D2087"/>
      <c r="E2087"/>
      <c r="F2087"/>
      <c r="G2087"/>
      <c r="H2087"/>
      <c r="I2087"/>
      <c r="J2087"/>
      <c r="K2087" s="13" t="s">
        <v>194</v>
      </c>
      <c r="L2087" s="13" t="s">
        <v>605</v>
      </c>
      <c r="M2087" s="13" t="s">
        <v>429</v>
      </c>
      <c r="N2087" s="15">
        <v>0</v>
      </c>
      <c r="O2087" s="16">
        <v>78.930672781096121</v>
      </c>
      <c r="P2087" s="17">
        <v>0</v>
      </c>
      <c r="Q2087" s="17">
        <v>0</v>
      </c>
      <c r="R2087" s="13"/>
      <c r="S2087" s="13"/>
      <c r="T2087" s="13"/>
      <c r="U2087" s="13"/>
      <c r="V2087" s="13"/>
      <c r="W2087" s="13"/>
    </row>
    <row r="2088" spans="1:23" x14ac:dyDescent="0.2">
      <c r="A2088"/>
      <c r="B2088"/>
      <c r="C2088"/>
      <c r="D2088"/>
      <c r="E2088"/>
      <c r="F2088"/>
      <c r="G2088"/>
      <c r="H2088"/>
      <c r="I2088"/>
      <c r="J2088"/>
      <c r="K2088" s="13" t="s">
        <v>194</v>
      </c>
      <c r="L2088" s="13" t="s">
        <v>606</v>
      </c>
      <c r="M2088" s="13" t="s">
        <v>430</v>
      </c>
      <c r="N2088" s="15">
        <v>16</v>
      </c>
      <c r="O2088" s="16">
        <v>0</v>
      </c>
      <c r="P2088" s="17">
        <v>0</v>
      </c>
      <c r="Q2088" s="17">
        <v>0</v>
      </c>
      <c r="R2088" s="13"/>
      <c r="S2088" s="13"/>
      <c r="T2088" s="13"/>
      <c r="U2088" s="13"/>
      <c r="V2088" s="13"/>
      <c r="W2088" s="13"/>
    </row>
    <row r="2089" spans="1:23" x14ac:dyDescent="0.2">
      <c r="A2089"/>
      <c r="B2089"/>
      <c r="C2089"/>
      <c r="D2089"/>
      <c r="E2089"/>
      <c r="F2089"/>
      <c r="G2089"/>
      <c r="H2089"/>
      <c r="I2089"/>
      <c r="J2089"/>
      <c r="K2089" s="13" t="s">
        <v>194</v>
      </c>
      <c r="L2089" s="13" t="s">
        <v>623</v>
      </c>
      <c r="M2089" s="13" t="s">
        <v>530</v>
      </c>
      <c r="N2089" s="15">
        <v>0</v>
      </c>
      <c r="O2089" s="16">
        <v>311.30020239669636</v>
      </c>
      <c r="P2089" s="17">
        <v>0</v>
      </c>
      <c r="Q2089" s="17">
        <v>0</v>
      </c>
      <c r="R2089" s="13"/>
      <c r="S2089" s="13"/>
      <c r="T2089" s="13"/>
      <c r="U2089" s="13"/>
      <c r="V2089" s="13"/>
      <c r="W2089" s="13"/>
    </row>
    <row r="2090" spans="1:23" x14ac:dyDescent="0.2">
      <c r="A2090"/>
      <c r="B2090"/>
      <c r="C2090"/>
      <c r="D2090"/>
      <c r="E2090"/>
      <c r="F2090"/>
      <c r="G2090"/>
      <c r="H2090"/>
      <c r="I2090"/>
      <c r="J2090"/>
      <c r="K2090" s="13" t="s">
        <v>194</v>
      </c>
      <c r="L2090" s="13" t="s">
        <v>607</v>
      </c>
      <c r="M2090" s="13" t="s">
        <v>431</v>
      </c>
      <c r="N2090" s="15">
        <v>6</v>
      </c>
      <c r="O2090" s="16">
        <v>0</v>
      </c>
      <c r="P2090" s="17">
        <v>0</v>
      </c>
      <c r="Q2090" s="17">
        <v>0</v>
      </c>
      <c r="R2090" s="13"/>
      <c r="S2090" s="13"/>
      <c r="T2090" s="13"/>
      <c r="U2090" s="13"/>
      <c r="V2090" s="13"/>
      <c r="W2090" s="13"/>
    </row>
    <row r="2091" spans="1:23" x14ac:dyDescent="0.2">
      <c r="A2091"/>
      <c r="B2091"/>
      <c r="C2091"/>
      <c r="D2091"/>
      <c r="E2091"/>
      <c r="F2091"/>
      <c r="G2091"/>
      <c r="H2091"/>
      <c r="I2091"/>
      <c r="J2091"/>
      <c r="K2091" s="13" t="s">
        <v>194</v>
      </c>
      <c r="L2091" s="13" t="s">
        <v>608</v>
      </c>
      <c r="M2091" s="13" t="s">
        <v>432</v>
      </c>
      <c r="N2091" s="15">
        <v>51</v>
      </c>
      <c r="O2091" s="16">
        <v>0</v>
      </c>
      <c r="P2091" s="17">
        <v>0</v>
      </c>
      <c r="Q2091" s="17">
        <v>0</v>
      </c>
      <c r="R2091" s="13"/>
      <c r="S2091" s="13"/>
      <c r="T2091" s="13"/>
      <c r="U2091" s="13"/>
      <c r="V2091" s="13"/>
      <c r="W2091" s="13"/>
    </row>
    <row r="2092" spans="1:23" x14ac:dyDescent="0.2">
      <c r="A2092"/>
      <c r="B2092"/>
      <c r="C2092"/>
      <c r="D2092"/>
      <c r="E2092"/>
      <c r="F2092"/>
      <c r="G2092"/>
      <c r="H2092"/>
      <c r="I2092"/>
      <c r="J2092"/>
      <c r="K2092" s="13" t="s">
        <v>194</v>
      </c>
      <c r="L2092" s="13" t="s">
        <v>615</v>
      </c>
      <c r="M2092" s="13" t="s">
        <v>449</v>
      </c>
      <c r="N2092" s="15">
        <v>1</v>
      </c>
      <c r="O2092" s="16">
        <v>0</v>
      </c>
      <c r="P2092" s="17">
        <v>0</v>
      </c>
      <c r="Q2092" s="17">
        <v>0</v>
      </c>
      <c r="R2092" s="13"/>
      <c r="S2092" s="13"/>
      <c r="T2092" s="13"/>
      <c r="U2092" s="13"/>
      <c r="V2092" s="13"/>
      <c r="W2092" s="13"/>
    </row>
    <row r="2093" spans="1:23" x14ac:dyDescent="0.2">
      <c r="A2093"/>
      <c r="B2093"/>
      <c r="C2093"/>
      <c r="D2093"/>
      <c r="E2093"/>
      <c r="F2093"/>
      <c r="G2093"/>
      <c r="H2093"/>
      <c r="I2093"/>
      <c r="J2093"/>
      <c r="K2093" s="13" t="s">
        <v>194</v>
      </c>
      <c r="L2093" s="13" t="s">
        <v>415</v>
      </c>
      <c r="M2093" s="13" t="s">
        <v>412</v>
      </c>
      <c r="N2093" s="15">
        <v>0</v>
      </c>
      <c r="O2093" s="16">
        <v>0</v>
      </c>
      <c r="P2093" s="17">
        <v>75.679849978218996</v>
      </c>
      <c r="Q2093" s="17">
        <v>0</v>
      </c>
      <c r="R2093" s="13"/>
      <c r="S2093" s="13"/>
      <c r="T2093" s="13"/>
      <c r="U2093" s="13"/>
      <c r="V2093" s="13"/>
      <c r="W2093" s="13"/>
    </row>
    <row r="2094" spans="1:23" x14ac:dyDescent="0.2">
      <c r="A2094"/>
      <c r="B2094"/>
      <c r="C2094"/>
      <c r="D2094"/>
      <c r="E2094"/>
      <c r="F2094"/>
      <c r="G2094"/>
      <c r="H2094"/>
      <c r="I2094"/>
      <c r="J2094"/>
      <c r="K2094" s="13" t="s">
        <v>194</v>
      </c>
      <c r="L2094" s="13" t="s">
        <v>523</v>
      </c>
      <c r="M2094" s="13" t="s">
        <v>476</v>
      </c>
      <c r="N2094" s="15">
        <v>0</v>
      </c>
      <c r="O2094" s="16">
        <v>0</v>
      </c>
      <c r="P2094" s="17">
        <v>47.455699996505352</v>
      </c>
      <c r="Q2094" s="17">
        <v>0</v>
      </c>
      <c r="R2094" s="13"/>
      <c r="S2094" s="13"/>
      <c r="T2094" s="13"/>
      <c r="U2094" s="13"/>
      <c r="V2094" s="13"/>
      <c r="W2094" s="13"/>
    </row>
    <row r="2095" spans="1:23" x14ac:dyDescent="0.2">
      <c r="A2095"/>
      <c r="B2095"/>
      <c r="C2095"/>
      <c r="D2095"/>
      <c r="E2095"/>
      <c r="F2095"/>
      <c r="G2095"/>
      <c r="H2095"/>
      <c r="I2095"/>
      <c r="J2095"/>
      <c r="K2095" s="13" t="s">
        <v>194</v>
      </c>
      <c r="L2095" s="13" t="s">
        <v>609</v>
      </c>
      <c r="M2095" s="13" t="s">
        <v>416</v>
      </c>
      <c r="N2095" s="15">
        <v>0</v>
      </c>
      <c r="O2095" s="16">
        <v>3.6700544956590182</v>
      </c>
      <c r="P2095" s="17">
        <v>0</v>
      </c>
      <c r="Q2095" s="17">
        <v>0</v>
      </c>
      <c r="R2095" s="13"/>
      <c r="S2095" s="13"/>
      <c r="T2095" s="13"/>
      <c r="U2095" s="13"/>
      <c r="V2095" s="13"/>
      <c r="W2095" s="13"/>
    </row>
    <row r="2096" spans="1:23" x14ac:dyDescent="0.2">
      <c r="A2096"/>
      <c r="B2096"/>
      <c r="C2096"/>
      <c r="D2096"/>
      <c r="E2096"/>
      <c r="F2096"/>
      <c r="G2096"/>
      <c r="H2096"/>
      <c r="I2096"/>
      <c r="J2096"/>
      <c r="K2096" s="13" t="s">
        <v>194</v>
      </c>
      <c r="L2096" s="13" t="s">
        <v>421</v>
      </c>
      <c r="M2096" s="13" t="s">
        <v>443</v>
      </c>
      <c r="N2096" s="15">
        <v>5</v>
      </c>
      <c r="O2096" s="16">
        <v>0</v>
      </c>
      <c r="P2096" s="17">
        <v>0</v>
      </c>
      <c r="Q2096" s="17">
        <v>0</v>
      </c>
      <c r="R2096" s="13"/>
      <c r="S2096" s="13"/>
      <c r="T2096" s="13"/>
      <c r="U2096" s="13"/>
      <c r="V2096" s="13"/>
      <c r="W2096" s="13"/>
    </row>
    <row r="2097" spans="1:23" x14ac:dyDescent="0.2">
      <c r="A2097"/>
      <c r="B2097"/>
      <c r="C2097"/>
      <c r="D2097"/>
      <c r="E2097"/>
      <c r="F2097"/>
      <c r="G2097"/>
      <c r="H2097"/>
      <c r="I2097"/>
      <c r="J2097"/>
      <c r="K2097" s="13" t="s">
        <v>194</v>
      </c>
      <c r="L2097" s="13" t="s">
        <v>383</v>
      </c>
      <c r="M2097" s="13" t="s">
        <v>420</v>
      </c>
      <c r="N2097" s="15">
        <v>10</v>
      </c>
      <c r="O2097" s="16">
        <v>0</v>
      </c>
      <c r="P2097" s="17">
        <v>0</v>
      </c>
      <c r="Q2097" s="17">
        <v>0</v>
      </c>
      <c r="R2097" s="13"/>
      <c r="S2097" s="13"/>
      <c r="T2097" s="13"/>
      <c r="U2097" s="13"/>
      <c r="V2097" s="13"/>
      <c r="W2097" s="13"/>
    </row>
    <row r="2098" spans="1:23" x14ac:dyDescent="0.2">
      <c r="A2098"/>
      <c r="B2098"/>
      <c r="C2098"/>
      <c r="D2098"/>
      <c r="E2098"/>
      <c r="F2098"/>
      <c r="G2098"/>
      <c r="H2098"/>
      <c r="I2098"/>
      <c r="J2098"/>
      <c r="K2098" s="13" t="s">
        <v>194</v>
      </c>
      <c r="L2098" s="13" t="s">
        <v>528</v>
      </c>
      <c r="M2098" s="13" t="s">
        <v>384</v>
      </c>
      <c r="N2098" s="15">
        <v>0</v>
      </c>
      <c r="O2098" s="16">
        <v>401.26814665009556</v>
      </c>
      <c r="P2098" s="17">
        <v>0</v>
      </c>
      <c r="Q2098" s="17">
        <v>0</v>
      </c>
      <c r="R2098" s="13"/>
      <c r="S2098" s="13"/>
      <c r="T2098" s="13"/>
      <c r="U2098" s="13"/>
      <c r="V2098" s="13"/>
      <c r="W2098" s="13"/>
    </row>
    <row r="2099" spans="1:23" x14ac:dyDescent="0.2">
      <c r="A2099"/>
      <c r="B2099"/>
      <c r="C2099"/>
      <c r="D2099"/>
      <c r="E2099"/>
      <c r="F2099"/>
      <c r="G2099"/>
      <c r="H2099"/>
      <c r="I2099"/>
      <c r="J2099"/>
      <c r="K2099" s="13" t="s">
        <v>194</v>
      </c>
      <c r="L2099" s="13" t="s">
        <v>613</v>
      </c>
      <c r="M2099" s="13" t="s">
        <v>444</v>
      </c>
      <c r="N2099" s="15">
        <v>0</v>
      </c>
      <c r="O2099" s="16">
        <v>205.63591110006652</v>
      </c>
      <c r="P2099" s="17">
        <v>0</v>
      </c>
      <c r="Q2099" s="17">
        <v>0</v>
      </c>
      <c r="R2099" s="13"/>
      <c r="S2099" s="13"/>
      <c r="T2099" s="13"/>
      <c r="U2099" s="13"/>
      <c r="V2099" s="13"/>
      <c r="W2099" s="13"/>
    </row>
    <row r="2100" spans="1:23" x14ac:dyDescent="0.2">
      <c r="A2100"/>
      <c r="B2100"/>
      <c r="C2100"/>
      <c r="D2100"/>
      <c r="E2100"/>
      <c r="F2100"/>
      <c r="G2100"/>
      <c r="H2100"/>
      <c r="I2100"/>
      <c r="J2100"/>
      <c r="K2100" s="13" t="s">
        <v>194</v>
      </c>
      <c r="L2100" s="13" t="s">
        <v>611</v>
      </c>
      <c r="M2100" s="13" t="s">
        <v>423</v>
      </c>
      <c r="N2100" s="15">
        <v>0</v>
      </c>
      <c r="O2100" s="16">
        <v>108.16341678155855</v>
      </c>
      <c r="P2100" s="17">
        <v>0</v>
      </c>
      <c r="Q2100" s="17">
        <v>0</v>
      </c>
      <c r="R2100" s="13"/>
      <c r="S2100" s="13"/>
      <c r="T2100" s="13"/>
      <c r="U2100" s="13"/>
      <c r="V2100" s="13"/>
      <c r="W2100" s="13"/>
    </row>
    <row r="2101" spans="1:23" x14ac:dyDescent="0.2">
      <c r="A2101"/>
      <c r="B2101"/>
      <c r="C2101"/>
      <c r="D2101"/>
      <c r="E2101"/>
      <c r="F2101"/>
      <c r="G2101"/>
      <c r="H2101"/>
      <c r="I2101"/>
      <c r="J2101"/>
      <c r="K2101" s="13" t="s">
        <v>194</v>
      </c>
      <c r="L2101" s="13" t="s">
        <v>446</v>
      </c>
      <c r="M2101" s="13" t="s">
        <v>371</v>
      </c>
      <c r="N2101" s="15">
        <v>6</v>
      </c>
      <c r="O2101" s="16">
        <v>0</v>
      </c>
      <c r="P2101" s="17">
        <v>0</v>
      </c>
      <c r="Q2101" s="17">
        <v>0</v>
      </c>
      <c r="R2101" s="13"/>
      <c r="S2101" s="13"/>
      <c r="T2101" s="13"/>
      <c r="U2101" s="13"/>
      <c r="V2101" s="13"/>
      <c r="W2101" s="13"/>
    </row>
    <row r="2102" spans="1:23" x14ac:dyDescent="0.2">
      <c r="A2102"/>
      <c r="B2102"/>
      <c r="C2102"/>
      <c r="D2102"/>
      <c r="E2102"/>
      <c r="F2102"/>
      <c r="G2102"/>
      <c r="H2102"/>
      <c r="I2102"/>
      <c r="J2102"/>
      <c r="K2102" s="13" t="s">
        <v>194</v>
      </c>
      <c r="L2102" s="13" t="s">
        <v>484</v>
      </c>
      <c r="M2102" s="13" t="s">
        <v>529</v>
      </c>
      <c r="N2102" s="15">
        <v>0</v>
      </c>
      <c r="O2102" s="16">
        <v>54.397930933337435</v>
      </c>
      <c r="P2102" s="17">
        <v>0</v>
      </c>
      <c r="Q2102" s="17">
        <v>0</v>
      </c>
      <c r="R2102" s="13"/>
      <c r="S2102" s="13"/>
      <c r="T2102" s="13"/>
      <c r="U2102" s="13"/>
      <c r="V2102" s="13"/>
      <c r="W2102" s="13"/>
    </row>
    <row r="2103" spans="1:23" x14ac:dyDescent="0.2">
      <c r="A2103"/>
      <c r="B2103"/>
      <c r="C2103"/>
      <c r="D2103"/>
      <c r="E2103"/>
      <c r="F2103"/>
      <c r="G2103"/>
      <c r="H2103"/>
      <c r="I2103"/>
      <c r="J2103"/>
      <c r="K2103" s="13" t="s">
        <v>194</v>
      </c>
      <c r="L2103" s="13" t="s">
        <v>614</v>
      </c>
      <c r="M2103" s="13" t="s">
        <v>447</v>
      </c>
      <c r="N2103" s="15">
        <v>10</v>
      </c>
      <c r="O2103" s="16">
        <v>0</v>
      </c>
      <c r="P2103" s="17">
        <v>0</v>
      </c>
      <c r="Q2103" s="17">
        <v>0</v>
      </c>
      <c r="R2103" s="13"/>
      <c r="S2103" s="13"/>
      <c r="T2103" s="13"/>
      <c r="U2103" s="13"/>
      <c r="V2103" s="13"/>
      <c r="W2103" s="13"/>
    </row>
    <row r="2104" spans="1:23" x14ac:dyDescent="0.2">
      <c r="A2104"/>
      <c r="B2104"/>
      <c r="C2104"/>
      <c r="D2104"/>
      <c r="E2104"/>
      <c r="F2104"/>
      <c r="G2104"/>
      <c r="H2104"/>
      <c r="I2104"/>
      <c r="J2104"/>
      <c r="K2104" s="13" t="s">
        <v>194</v>
      </c>
      <c r="L2104" s="13" t="s">
        <v>469</v>
      </c>
      <c r="M2104" s="13" t="s">
        <v>426</v>
      </c>
      <c r="N2104" s="15">
        <v>2</v>
      </c>
      <c r="O2104" s="16">
        <v>0</v>
      </c>
      <c r="P2104" s="17">
        <v>0</v>
      </c>
      <c r="Q2104" s="17">
        <v>0</v>
      </c>
      <c r="R2104" s="13"/>
      <c r="S2104" s="13"/>
      <c r="T2104" s="13"/>
      <c r="U2104" s="13"/>
      <c r="V2104" s="13"/>
      <c r="W2104" s="13"/>
    </row>
    <row r="2105" spans="1:23" x14ac:dyDescent="0.2">
      <c r="A2105"/>
      <c r="B2105"/>
      <c r="C2105"/>
      <c r="D2105"/>
      <c r="E2105"/>
      <c r="F2105"/>
      <c r="G2105"/>
      <c r="H2105"/>
      <c r="I2105"/>
      <c r="J2105"/>
      <c r="K2105" s="13" t="s">
        <v>194</v>
      </c>
      <c r="L2105" s="13" t="s">
        <v>433</v>
      </c>
      <c r="M2105" s="13" t="s">
        <v>434</v>
      </c>
      <c r="N2105" s="15">
        <v>0</v>
      </c>
      <c r="O2105" s="16">
        <v>0</v>
      </c>
      <c r="P2105" s="17">
        <v>179.84964999700279</v>
      </c>
      <c r="Q2105" s="17">
        <v>0</v>
      </c>
      <c r="R2105" s="13"/>
      <c r="S2105" s="13"/>
      <c r="T2105" s="13"/>
      <c r="U2105" s="13"/>
      <c r="V2105" s="13"/>
      <c r="W2105" s="13"/>
    </row>
    <row r="2106" spans="1:23" x14ac:dyDescent="0.2">
      <c r="A2106"/>
      <c r="B2106"/>
      <c r="C2106"/>
      <c r="D2106"/>
      <c r="E2106"/>
      <c r="F2106"/>
      <c r="G2106"/>
      <c r="H2106"/>
      <c r="I2106"/>
      <c r="J2106"/>
      <c r="K2106" s="13" t="s">
        <v>197</v>
      </c>
      <c r="L2106" s="13" t="s">
        <v>435</v>
      </c>
      <c r="M2106" s="13" t="s">
        <v>364</v>
      </c>
      <c r="N2106" s="15">
        <v>0</v>
      </c>
      <c r="O2106" s="16">
        <v>0</v>
      </c>
      <c r="P2106" s="17">
        <v>35.744599997032992</v>
      </c>
      <c r="Q2106" s="17">
        <v>0</v>
      </c>
      <c r="R2106" s="13"/>
      <c r="S2106" s="13"/>
      <c r="T2106" s="13"/>
      <c r="U2106" s="13"/>
      <c r="V2106" s="13"/>
      <c r="W2106" s="13"/>
    </row>
    <row r="2107" spans="1:23" x14ac:dyDescent="0.2">
      <c r="A2107"/>
      <c r="B2107"/>
      <c r="C2107"/>
      <c r="D2107"/>
      <c r="E2107"/>
      <c r="F2107"/>
      <c r="G2107"/>
      <c r="H2107"/>
      <c r="I2107"/>
      <c r="J2107"/>
      <c r="K2107" s="13" t="s">
        <v>197</v>
      </c>
      <c r="L2107" s="13" t="s">
        <v>435</v>
      </c>
      <c r="M2107" s="13" t="s">
        <v>364</v>
      </c>
      <c r="N2107" s="15">
        <v>0</v>
      </c>
      <c r="O2107" s="16">
        <v>23.91900593202763</v>
      </c>
      <c r="P2107" s="17">
        <v>0</v>
      </c>
      <c r="Q2107" s="17">
        <v>0</v>
      </c>
      <c r="R2107" s="13"/>
      <c r="S2107" s="13"/>
      <c r="T2107" s="13"/>
      <c r="U2107" s="13"/>
      <c r="V2107" s="13"/>
      <c r="W2107" s="13"/>
    </row>
    <row r="2108" spans="1:23" x14ac:dyDescent="0.2">
      <c r="A2108"/>
      <c r="B2108"/>
      <c r="C2108"/>
      <c r="D2108"/>
      <c r="E2108"/>
      <c r="F2108"/>
      <c r="G2108"/>
      <c r="H2108"/>
      <c r="I2108"/>
      <c r="J2108"/>
      <c r="K2108" s="13" t="s">
        <v>197</v>
      </c>
      <c r="L2108" s="13" t="s">
        <v>481</v>
      </c>
      <c r="M2108" s="13" t="s">
        <v>374</v>
      </c>
      <c r="N2108" s="15">
        <v>0</v>
      </c>
      <c r="O2108" s="16">
        <v>0</v>
      </c>
      <c r="P2108" s="17">
        <v>100.51900000000512</v>
      </c>
      <c r="Q2108" s="17">
        <v>0</v>
      </c>
      <c r="R2108" s="13"/>
      <c r="S2108" s="13"/>
      <c r="T2108" s="13"/>
      <c r="U2108" s="13"/>
      <c r="V2108" s="13"/>
      <c r="W2108" s="13"/>
    </row>
    <row r="2109" spans="1:23" x14ac:dyDescent="0.2">
      <c r="A2109"/>
      <c r="B2109"/>
      <c r="C2109"/>
      <c r="D2109"/>
      <c r="E2109"/>
      <c r="F2109"/>
      <c r="G2109"/>
      <c r="H2109"/>
      <c r="I2109"/>
      <c r="J2109"/>
      <c r="K2109" s="13" t="s">
        <v>197</v>
      </c>
      <c r="L2109" s="13" t="s">
        <v>635</v>
      </c>
      <c r="M2109" s="13" t="s">
        <v>507</v>
      </c>
      <c r="N2109" s="15">
        <v>0</v>
      </c>
      <c r="O2109" s="16">
        <v>0</v>
      </c>
      <c r="P2109" s="17">
        <v>7.9223499987552408</v>
      </c>
      <c r="Q2109" s="17">
        <v>0</v>
      </c>
      <c r="R2109" s="13"/>
      <c r="S2109" s="13"/>
      <c r="T2109" s="13"/>
      <c r="U2109" s="13"/>
      <c r="V2109" s="13"/>
      <c r="W2109" s="13"/>
    </row>
    <row r="2110" spans="1:23" x14ac:dyDescent="0.2">
      <c r="A2110"/>
      <c r="B2110"/>
      <c r="C2110"/>
      <c r="D2110"/>
      <c r="E2110"/>
      <c r="F2110"/>
      <c r="G2110"/>
      <c r="H2110"/>
      <c r="I2110"/>
      <c r="J2110"/>
      <c r="K2110" s="13" t="s">
        <v>197</v>
      </c>
      <c r="L2110" s="13" t="s">
        <v>387</v>
      </c>
      <c r="M2110" s="13" t="s">
        <v>386</v>
      </c>
      <c r="N2110" s="15">
        <v>0</v>
      </c>
      <c r="O2110" s="16">
        <v>0</v>
      </c>
      <c r="P2110" s="17">
        <v>4.9922000003108522</v>
      </c>
      <c r="Q2110" s="17">
        <v>0</v>
      </c>
      <c r="R2110" s="13"/>
      <c r="S2110" s="13"/>
      <c r="T2110" s="13"/>
      <c r="U2110" s="13"/>
      <c r="V2110" s="13"/>
      <c r="W2110" s="13"/>
    </row>
    <row r="2111" spans="1:23" x14ac:dyDescent="0.2">
      <c r="A2111"/>
      <c r="B2111"/>
      <c r="C2111"/>
      <c r="D2111"/>
      <c r="E2111"/>
      <c r="F2111"/>
      <c r="G2111"/>
      <c r="H2111"/>
      <c r="I2111"/>
      <c r="J2111"/>
      <c r="K2111" s="13" t="s">
        <v>197</v>
      </c>
      <c r="L2111" s="13" t="s">
        <v>389</v>
      </c>
      <c r="M2111" s="13" t="s">
        <v>388</v>
      </c>
      <c r="N2111" s="15">
        <v>0</v>
      </c>
      <c r="O2111" s="16">
        <v>0</v>
      </c>
      <c r="P2111" s="17">
        <v>3574.0771997817296</v>
      </c>
      <c r="Q2111" s="17">
        <v>0</v>
      </c>
      <c r="R2111" s="13"/>
      <c r="S2111" s="13"/>
      <c r="T2111" s="13"/>
      <c r="U2111" s="13"/>
      <c r="V2111" s="13"/>
      <c r="W2111" s="13"/>
    </row>
    <row r="2112" spans="1:23" x14ac:dyDescent="0.2">
      <c r="A2112"/>
      <c r="B2112"/>
      <c r="C2112"/>
      <c r="D2112"/>
      <c r="E2112"/>
      <c r="F2112"/>
      <c r="G2112"/>
      <c r="H2112"/>
      <c r="I2112"/>
      <c r="J2112"/>
      <c r="K2112" s="13" t="s">
        <v>197</v>
      </c>
      <c r="L2112" s="13" t="s">
        <v>436</v>
      </c>
      <c r="M2112" s="13" t="s">
        <v>487</v>
      </c>
      <c r="N2112" s="15">
        <v>0</v>
      </c>
      <c r="O2112" s="16">
        <v>0</v>
      </c>
      <c r="P2112" s="17">
        <v>17.986300013045593</v>
      </c>
      <c r="Q2112" s="17">
        <v>0</v>
      </c>
      <c r="R2112" s="13"/>
      <c r="S2112" s="13"/>
      <c r="T2112" s="13"/>
      <c r="U2112" s="13"/>
      <c r="V2112" s="13"/>
      <c r="W2112" s="13"/>
    </row>
    <row r="2113" spans="1:23" x14ac:dyDescent="0.2">
      <c r="A2113"/>
      <c r="B2113"/>
      <c r="C2113"/>
      <c r="D2113"/>
      <c r="E2113"/>
      <c r="F2113"/>
      <c r="G2113"/>
      <c r="H2113"/>
      <c r="I2113"/>
      <c r="J2113"/>
      <c r="K2113" s="13" t="s">
        <v>197</v>
      </c>
      <c r="L2113" s="13" t="s">
        <v>460</v>
      </c>
      <c r="M2113" s="13" t="s">
        <v>393</v>
      </c>
      <c r="N2113" s="15">
        <v>0</v>
      </c>
      <c r="O2113" s="16">
        <v>0</v>
      </c>
      <c r="P2113" s="17">
        <v>170.70744998521457</v>
      </c>
      <c r="Q2113" s="17">
        <v>0</v>
      </c>
      <c r="R2113" s="13"/>
      <c r="S2113" s="13"/>
      <c r="T2113" s="13"/>
      <c r="U2113" s="13"/>
      <c r="V2113" s="13"/>
      <c r="W2113" s="13"/>
    </row>
    <row r="2114" spans="1:23" x14ac:dyDescent="0.2">
      <c r="A2114"/>
      <c r="B2114"/>
      <c r="C2114"/>
      <c r="D2114"/>
      <c r="E2114"/>
      <c r="F2114"/>
      <c r="G2114"/>
      <c r="H2114"/>
      <c r="I2114"/>
      <c r="J2114"/>
      <c r="K2114" s="13" t="s">
        <v>197</v>
      </c>
      <c r="L2114" s="13" t="s">
        <v>438</v>
      </c>
      <c r="M2114" s="13" t="s">
        <v>461</v>
      </c>
      <c r="N2114" s="15">
        <v>0</v>
      </c>
      <c r="O2114" s="16">
        <v>0</v>
      </c>
      <c r="P2114" s="17">
        <v>15.043649997828668</v>
      </c>
      <c r="Q2114" s="17">
        <v>0</v>
      </c>
      <c r="R2114" s="13"/>
      <c r="S2114" s="13"/>
      <c r="T2114" s="13"/>
      <c r="U2114" s="13"/>
      <c r="V2114" s="13"/>
      <c r="W2114" s="13"/>
    </row>
    <row r="2115" spans="1:23" x14ac:dyDescent="0.2">
      <c r="A2115"/>
      <c r="B2115"/>
      <c r="C2115"/>
      <c r="D2115"/>
      <c r="E2115"/>
      <c r="F2115"/>
      <c r="G2115"/>
      <c r="H2115"/>
      <c r="I2115"/>
      <c r="J2115"/>
      <c r="K2115" s="13" t="s">
        <v>197</v>
      </c>
      <c r="L2115" s="13" t="s">
        <v>486</v>
      </c>
      <c r="M2115" s="13" t="s">
        <v>439</v>
      </c>
      <c r="N2115" s="15">
        <v>0</v>
      </c>
      <c r="O2115" s="16">
        <v>0</v>
      </c>
      <c r="P2115" s="17">
        <v>29.743500021581752</v>
      </c>
      <c r="Q2115" s="17">
        <v>0</v>
      </c>
      <c r="R2115" s="13"/>
      <c r="S2115" s="13"/>
      <c r="T2115" s="13"/>
      <c r="U2115" s="13"/>
      <c r="V2115" s="13"/>
      <c r="W2115" s="13"/>
    </row>
    <row r="2116" spans="1:23" x14ac:dyDescent="0.2">
      <c r="A2116"/>
      <c r="B2116"/>
      <c r="C2116"/>
      <c r="D2116"/>
      <c r="E2116"/>
      <c r="F2116"/>
      <c r="G2116"/>
      <c r="H2116"/>
      <c r="I2116"/>
      <c r="J2116"/>
      <c r="K2116" s="13" t="s">
        <v>197</v>
      </c>
      <c r="L2116" s="13" t="s">
        <v>515</v>
      </c>
      <c r="M2116" s="13" t="s">
        <v>527</v>
      </c>
      <c r="N2116" s="15">
        <v>0</v>
      </c>
      <c r="O2116" s="16">
        <v>0</v>
      </c>
      <c r="P2116" s="17">
        <v>165.69639999897177</v>
      </c>
      <c r="Q2116" s="17">
        <v>0</v>
      </c>
      <c r="R2116" s="13"/>
      <c r="S2116" s="13"/>
      <c r="T2116" s="13"/>
      <c r="U2116" s="13"/>
      <c r="V2116" s="13"/>
      <c r="W2116" s="13"/>
    </row>
    <row r="2117" spans="1:23" x14ac:dyDescent="0.2">
      <c r="A2117"/>
      <c r="B2117"/>
      <c r="C2117"/>
      <c r="D2117"/>
      <c r="E2117"/>
      <c r="F2117"/>
      <c r="G2117"/>
      <c r="H2117"/>
      <c r="I2117"/>
      <c r="J2117"/>
      <c r="K2117" s="13" t="s">
        <v>197</v>
      </c>
      <c r="L2117" s="13" t="s">
        <v>621</v>
      </c>
      <c r="M2117" s="13" t="s">
        <v>520</v>
      </c>
      <c r="N2117" s="15">
        <v>0</v>
      </c>
      <c r="O2117" s="16">
        <v>0</v>
      </c>
      <c r="P2117" s="17">
        <v>809.73234998546752</v>
      </c>
      <c r="Q2117" s="17">
        <v>0</v>
      </c>
      <c r="R2117" s="13"/>
      <c r="S2117" s="13"/>
      <c r="T2117" s="13"/>
      <c r="U2117" s="13"/>
      <c r="V2117" s="13"/>
      <c r="W2117" s="13"/>
    </row>
    <row r="2118" spans="1:23" x14ac:dyDescent="0.2">
      <c r="A2118"/>
      <c r="B2118"/>
      <c r="C2118"/>
      <c r="D2118"/>
      <c r="E2118"/>
      <c r="F2118"/>
      <c r="G2118"/>
      <c r="H2118"/>
      <c r="I2118"/>
      <c r="J2118"/>
      <c r="K2118" s="13" t="s">
        <v>197</v>
      </c>
      <c r="L2118" s="13" t="s">
        <v>512</v>
      </c>
      <c r="M2118" s="13" t="s">
        <v>466</v>
      </c>
      <c r="N2118" s="15">
        <v>0</v>
      </c>
      <c r="O2118" s="16">
        <v>0</v>
      </c>
      <c r="P2118" s="17">
        <v>498.1222000031712</v>
      </c>
      <c r="Q2118" s="17">
        <v>0</v>
      </c>
      <c r="R2118" s="13"/>
      <c r="S2118" s="13"/>
      <c r="T2118" s="13"/>
      <c r="U2118" s="13"/>
      <c r="V2118" s="13"/>
      <c r="W2118" s="13"/>
    </row>
    <row r="2119" spans="1:23" x14ac:dyDescent="0.2">
      <c r="A2119"/>
      <c r="B2119"/>
      <c r="C2119"/>
      <c r="D2119"/>
      <c r="E2119"/>
      <c r="F2119"/>
      <c r="G2119"/>
      <c r="H2119"/>
      <c r="I2119"/>
      <c r="J2119"/>
      <c r="K2119" s="13" t="s">
        <v>197</v>
      </c>
      <c r="L2119" s="13" t="s">
        <v>513</v>
      </c>
      <c r="M2119" s="13" t="s">
        <v>533</v>
      </c>
      <c r="N2119" s="15">
        <v>0</v>
      </c>
      <c r="O2119" s="16">
        <v>0</v>
      </c>
      <c r="P2119" s="17">
        <v>352.97701153908213</v>
      </c>
      <c r="Q2119" s="17">
        <v>0</v>
      </c>
      <c r="R2119" s="13"/>
      <c r="S2119" s="13"/>
      <c r="T2119" s="13"/>
      <c r="U2119" s="13"/>
      <c r="V2119" s="13"/>
      <c r="W2119" s="13"/>
    </row>
    <row r="2120" spans="1:23" x14ac:dyDescent="0.2">
      <c r="A2120"/>
      <c r="B2120"/>
      <c r="C2120"/>
      <c r="D2120"/>
      <c r="E2120"/>
      <c r="F2120"/>
      <c r="G2120"/>
      <c r="H2120"/>
      <c r="I2120"/>
      <c r="J2120"/>
      <c r="K2120" s="13" t="s">
        <v>197</v>
      </c>
      <c r="L2120" s="13" t="s">
        <v>399</v>
      </c>
      <c r="M2120" s="13" t="s">
        <v>400</v>
      </c>
      <c r="N2120" s="15">
        <v>0</v>
      </c>
      <c r="O2120" s="16">
        <v>0</v>
      </c>
      <c r="P2120" s="17">
        <v>14.109249998435144</v>
      </c>
      <c r="Q2120" s="17">
        <v>0</v>
      </c>
      <c r="R2120" s="13"/>
      <c r="S2120" s="13"/>
      <c r="T2120" s="13"/>
      <c r="U2120" s="13"/>
      <c r="V2120" s="13"/>
      <c r="W2120" s="13"/>
    </row>
    <row r="2121" spans="1:23" x14ac:dyDescent="0.2">
      <c r="A2121"/>
      <c r="B2121"/>
      <c r="C2121"/>
      <c r="D2121"/>
      <c r="E2121"/>
      <c r="F2121"/>
      <c r="G2121"/>
      <c r="H2121"/>
      <c r="I2121"/>
      <c r="J2121"/>
      <c r="K2121" s="13" t="s">
        <v>197</v>
      </c>
      <c r="L2121" s="13" t="s">
        <v>401</v>
      </c>
      <c r="M2121" s="13" t="s">
        <v>360</v>
      </c>
      <c r="N2121" s="15">
        <v>0</v>
      </c>
      <c r="O2121" s="16">
        <v>0</v>
      </c>
      <c r="P2121" s="17">
        <v>3270.5560999032318</v>
      </c>
      <c r="Q2121" s="17">
        <v>0</v>
      </c>
      <c r="R2121" s="13"/>
      <c r="S2121" s="13"/>
      <c r="T2121" s="13"/>
      <c r="U2121" s="13"/>
      <c r="V2121" s="13"/>
      <c r="W2121" s="13"/>
    </row>
    <row r="2122" spans="1:23" x14ac:dyDescent="0.2">
      <c r="A2122"/>
      <c r="B2122"/>
      <c r="C2122"/>
      <c r="D2122"/>
      <c r="E2122"/>
      <c r="F2122"/>
      <c r="G2122"/>
      <c r="H2122"/>
      <c r="I2122"/>
      <c r="J2122"/>
      <c r="K2122" s="13" t="s">
        <v>197</v>
      </c>
      <c r="L2122" s="13" t="s">
        <v>511</v>
      </c>
      <c r="M2122" s="13" t="s">
        <v>377</v>
      </c>
      <c r="N2122" s="15">
        <v>0</v>
      </c>
      <c r="O2122" s="16">
        <v>0</v>
      </c>
      <c r="P2122" s="17">
        <v>17.724799998664338</v>
      </c>
      <c r="Q2122" s="17">
        <v>0</v>
      </c>
      <c r="R2122" s="13"/>
      <c r="S2122" s="13"/>
      <c r="T2122" s="13"/>
      <c r="U2122" s="13"/>
      <c r="V2122" s="13"/>
      <c r="W2122" s="13"/>
    </row>
    <row r="2123" spans="1:23" x14ac:dyDescent="0.2">
      <c r="A2123"/>
      <c r="B2123"/>
      <c r="C2123"/>
      <c r="D2123"/>
      <c r="E2123"/>
      <c r="F2123"/>
      <c r="G2123"/>
      <c r="H2123"/>
      <c r="I2123"/>
      <c r="J2123"/>
      <c r="K2123" s="13" t="s">
        <v>197</v>
      </c>
      <c r="L2123" s="13" t="s">
        <v>402</v>
      </c>
      <c r="M2123" s="13" t="s">
        <v>403</v>
      </c>
      <c r="N2123" s="15">
        <v>0</v>
      </c>
      <c r="O2123" s="16">
        <v>0</v>
      </c>
      <c r="P2123" s="17">
        <v>4332.7161498581536</v>
      </c>
      <c r="Q2123" s="17">
        <v>0</v>
      </c>
      <c r="R2123" s="13"/>
      <c r="S2123" s="13"/>
      <c r="T2123" s="13"/>
      <c r="U2123" s="13"/>
      <c r="V2123" s="13"/>
      <c r="W2123" s="13"/>
    </row>
    <row r="2124" spans="1:23" x14ac:dyDescent="0.2">
      <c r="A2124"/>
      <c r="B2124"/>
      <c r="C2124"/>
      <c r="D2124"/>
      <c r="E2124"/>
      <c r="F2124"/>
      <c r="G2124"/>
      <c r="H2124"/>
      <c r="I2124"/>
      <c r="J2124"/>
      <c r="K2124" s="13" t="s">
        <v>197</v>
      </c>
      <c r="L2124" s="13" t="s">
        <v>448</v>
      </c>
      <c r="M2124" s="13" t="s">
        <v>366</v>
      </c>
      <c r="N2124" s="15">
        <v>0</v>
      </c>
      <c r="O2124" s="16">
        <v>0</v>
      </c>
      <c r="P2124" s="17">
        <v>27.244249998471822</v>
      </c>
      <c r="Q2124" s="17">
        <v>0</v>
      </c>
      <c r="R2124" s="13"/>
      <c r="S2124" s="13"/>
      <c r="T2124" s="13"/>
      <c r="U2124" s="13"/>
      <c r="V2124" s="13"/>
      <c r="W2124" s="13"/>
    </row>
    <row r="2125" spans="1:23" x14ac:dyDescent="0.2">
      <c r="A2125"/>
      <c r="B2125"/>
      <c r="C2125"/>
      <c r="D2125"/>
      <c r="E2125"/>
      <c r="F2125"/>
      <c r="G2125"/>
      <c r="H2125"/>
      <c r="I2125"/>
      <c r="J2125"/>
      <c r="K2125" s="13" t="s">
        <v>197</v>
      </c>
      <c r="L2125" s="13" t="s">
        <v>462</v>
      </c>
      <c r="M2125" s="13" t="s">
        <v>370</v>
      </c>
      <c r="N2125" s="15">
        <v>0</v>
      </c>
      <c r="O2125" s="16">
        <v>0</v>
      </c>
      <c r="P2125" s="17">
        <v>47.757749998913162</v>
      </c>
      <c r="Q2125" s="17">
        <v>0</v>
      </c>
      <c r="R2125" s="13"/>
      <c r="S2125" s="13"/>
      <c r="T2125" s="13"/>
      <c r="U2125" s="13"/>
      <c r="V2125" s="13"/>
      <c r="W2125" s="13"/>
    </row>
    <row r="2126" spans="1:23" x14ac:dyDescent="0.2">
      <c r="A2126"/>
      <c r="B2126"/>
      <c r="C2126"/>
      <c r="D2126"/>
      <c r="E2126"/>
      <c r="F2126"/>
      <c r="G2126"/>
      <c r="H2126"/>
      <c r="I2126"/>
      <c r="J2126"/>
      <c r="K2126" s="13" t="s">
        <v>197</v>
      </c>
      <c r="L2126" s="13" t="s">
        <v>404</v>
      </c>
      <c r="M2126" s="13" t="s">
        <v>405</v>
      </c>
      <c r="N2126" s="15">
        <v>0</v>
      </c>
      <c r="O2126" s="16">
        <v>0</v>
      </c>
      <c r="P2126" s="17">
        <v>193.72340003395078</v>
      </c>
      <c r="Q2126" s="17">
        <v>1453.1559592055032</v>
      </c>
      <c r="R2126" s="13"/>
      <c r="S2126" s="13"/>
      <c r="T2126" s="13"/>
      <c r="U2126" s="13"/>
      <c r="V2126" s="13"/>
      <c r="W2126" s="13"/>
    </row>
    <row r="2127" spans="1:23" x14ac:dyDescent="0.2">
      <c r="A2127"/>
      <c r="B2127"/>
      <c r="C2127"/>
      <c r="D2127"/>
      <c r="E2127"/>
      <c r="F2127"/>
      <c r="G2127"/>
      <c r="H2127"/>
      <c r="I2127"/>
      <c r="J2127"/>
      <c r="K2127" s="13" t="s">
        <v>197</v>
      </c>
      <c r="L2127" s="13" t="s">
        <v>406</v>
      </c>
      <c r="M2127" s="13" t="s">
        <v>361</v>
      </c>
      <c r="N2127" s="15">
        <v>0</v>
      </c>
      <c r="O2127" s="16">
        <v>0</v>
      </c>
      <c r="P2127" s="17">
        <v>73.054450001216097</v>
      </c>
      <c r="Q2127" s="17">
        <v>135.83655448690723</v>
      </c>
      <c r="R2127" s="13"/>
      <c r="S2127" s="13"/>
      <c r="T2127" s="13"/>
      <c r="U2127" s="13"/>
      <c r="V2127" s="13"/>
      <c r="W2127" s="13"/>
    </row>
    <row r="2128" spans="1:23" x14ac:dyDescent="0.2">
      <c r="A2128"/>
      <c r="B2128"/>
      <c r="C2128"/>
      <c r="D2128"/>
      <c r="E2128"/>
      <c r="F2128"/>
      <c r="G2128"/>
      <c r="H2128"/>
      <c r="I2128"/>
      <c r="J2128"/>
      <c r="K2128" s="13" t="s">
        <v>197</v>
      </c>
      <c r="L2128" s="13" t="s">
        <v>381</v>
      </c>
      <c r="M2128" s="13" t="s">
        <v>382</v>
      </c>
      <c r="N2128" s="15">
        <v>14</v>
      </c>
      <c r="O2128" s="16">
        <v>0</v>
      </c>
      <c r="P2128" s="17">
        <v>0</v>
      </c>
      <c r="Q2128" s="17">
        <v>0</v>
      </c>
      <c r="R2128" s="13"/>
      <c r="S2128" s="13"/>
      <c r="T2128" s="13"/>
      <c r="U2128" s="13"/>
      <c r="V2128" s="13"/>
      <c r="W2128" s="13"/>
    </row>
    <row r="2129" spans="1:23" x14ac:dyDescent="0.2">
      <c r="A2129"/>
      <c r="B2129"/>
      <c r="C2129"/>
      <c r="D2129"/>
      <c r="E2129"/>
      <c r="F2129"/>
      <c r="G2129"/>
      <c r="H2129"/>
      <c r="I2129"/>
      <c r="J2129"/>
      <c r="K2129" s="13" t="s">
        <v>197</v>
      </c>
      <c r="L2129" s="13" t="s">
        <v>411</v>
      </c>
      <c r="M2129" s="13" t="s">
        <v>362</v>
      </c>
      <c r="N2129" s="15">
        <v>0</v>
      </c>
      <c r="O2129" s="16">
        <v>29.677365848371835</v>
      </c>
      <c r="P2129" s="17">
        <v>0</v>
      </c>
      <c r="Q2129" s="17">
        <v>0</v>
      </c>
      <c r="R2129" s="13"/>
      <c r="S2129" s="13"/>
      <c r="T2129" s="13"/>
      <c r="U2129" s="13"/>
      <c r="V2129" s="13"/>
      <c r="W2129" s="13"/>
    </row>
    <row r="2130" spans="1:23" x14ac:dyDescent="0.2">
      <c r="A2130"/>
      <c r="B2130"/>
      <c r="C2130"/>
      <c r="D2130"/>
      <c r="E2130"/>
      <c r="F2130"/>
      <c r="G2130"/>
      <c r="H2130"/>
      <c r="I2130"/>
      <c r="J2130"/>
      <c r="K2130" s="13" t="s">
        <v>197</v>
      </c>
      <c r="L2130" s="13" t="s">
        <v>413</v>
      </c>
      <c r="M2130" s="13" t="s">
        <v>428</v>
      </c>
      <c r="N2130" s="15">
        <v>1</v>
      </c>
      <c r="O2130" s="16">
        <v>0</v>
      </c>
      <c r="P2130" s="17">
        <v>0</v>
      </c>
      <c r="Q2130" s="17">
        <v>0</v>
      </c>
      <c r="R2130" s="13"/>
      <c r="S2130" s="13"/>
      <c r="T2130" s="13"/>
      <c r="U2130" s="13"/>
      <c r="V2130" s="13"/>
      <c r="W2130" s="13"/>
    </row>
    <row r="2131" spans="1:23" x14ac:dyDescent="0.2">
      <c r="A2131"/>
      <c r="B2131"/>
      <c r="C2131"/>
      <c r="D2131"/>
      <c r="E2131"/>
      <c r="F2131"/>
      <c r="G2131"/>
      <c r="H2131"/>
      <c r="I2131"/>
      <c r="J2131"/>
      <c r="K2131" s="13" t="s">
        <v>197</v>
      </c>
      <c r="L2131" s="13" t="s">
        <v>475</v>
      </c>
      <c r="M2131" s="13" t="s">
        <v>470</v>
      </c>
      <c r="N2131" s="15">
        <v>4</v>
      </c>
      <c r="O2131" s="16">
        <v>0</v>
      </c>
      <c r="P2131" s="17">
        <v>0</v>
      </c>
      <c r="Q2131" s="17">
        <v>0</v>
      </c>
      <c r="R2131" s="13"/>
      <c r="S2131" s="13"/>
      <c r="T2131" s="13"/>
      <c r="U2131" s="13"/>
      <c r="V2131" s="13"/>
      <c r="W2131" s="13"/>
    </row>
    <row r="2132" spans="1:23" x14ac:dyDescent="0.2">
      <c r="A2132"/>
      <c r="B2132"/>
      <c r="C2132"/>
      <c r="D2132"/>
      <c r="E2132"/>
      <c r="F2132"/>
      <c r="G2132"/>
      <c r="H2132"/>
      <c r="I2132"/>
      <c r="J2132"/>
      <c r="K2132" s="13" t="s">
        <v>197</v>
      </c>
      <c r="L2132" s="13" t="s">
        <v>605</v>
      </c>
      <c r="M2132" s="13" t="s">
        <v>429</v>
      </c>
      <c r="N2132" s="15">
        <v>0</v>
      </c>
      <c r="O2132" s="16">
        <v>52.01193703668315</v>
      </c>
      <c r="P2132" s="17">
        <v>0</v>
      </c>
      <c r="Q2132" s="17">
        <v>0</v>
      </c>
      <c r="R2132" s="13"/>
      <c r="S2132" s="13"/>
      <c r="T2132" s="13"/>
      <c r="U2132" s="13"/>
      <c r="V2132" s="13"/>
      <c r="W2132" s="13"/>
    </row>
    <row r="2133" spans="1:23" x14ac:dyDescent="0.2">
      <c r="A2133"/>
      <c r="B2133"/>
      <c r="C2133"/>
      <c r="D2133"/>
      <c r="E2133"/>
      <c r="F2133"/>
      <c r="G2133"/>
      <c r="H2133"/>
      <c r="I2133"/>
      <c r="J2133"/>
      <c r="K2133" s="13" t="s">
        <v>197</v>
      </c>
      <c r="L2133" s="13" t="s">
        <v>606</v>
      </c>
      <c r="M2133" s="13" t="s">
        <v>430</v>
      </c>
      <c r="N2133" s="15">
        <v>6</v>
      </c>
      <c r="O2133" s="16">
        <v>0</v>
      </c>
      <c r="P2133" s="17">
        <v>0</v>
      </c>
      <c r="Q2133" s="17">
        <v>0</v>
      </c>
      <c r="R2133" s="13"/>
      <c r="S2133" s="13"/>
      <c r="T2133" s="13"/>
      <c r="U2133" s="13"/>
      <c r="V2133" s="13"/>
      <c r="W2133" s="13"/>
    </row>
    <row r="2134" spans="1:23" x14ac:dyDescent="0.2">
      <c r="A2134"/>
      <c r="B2134"/>
      <c r="C2134"/>
      <c r="D2134"/>
      <c r="E2134"/>
      <c r="F2134"/>
      <c r="G2134"/>
      <c r="H2134"/>
      <c r="I2134"/>
      <c r="J2134"/>
      <c r="K2134" s="13" t="s">
        <v>197</v>
      </c>
      <c r="L2134" s="13" t="s">
        <v>623</v>
      </c>
      <c r="M2134" s="13" t="s">
        <v>530</v>
      </c>
      <c r="N2134" s="15">
        <v>0</v>
      </c>
      <c r="O2134" s="16">
        <v>62.797648280482676</v>
      </c>
      <c r="P2134" s="17">
        <v>0</v>
      </c>
      <c r="Q2134" s="17">
        <v>0</v>
      </c>
      <c r="R2134" s="13"/>
      <c r="S2134" s="13"/>
      <c r="T2134" s="13"/>
      <c r="U2134" s="13"/>
      <c r="V2134" s="13"/>
      <c r="W2134" s="13"/>
    </row>
    <row r="2135" spans="1:23" x14ac:dyDescent="0.2">
      <c r="A2135"/>
      <c r="B2135"/>
      <c r="C2135"/>
      <c r="D2135"/>
      <c r="E2135"/>
      <c r="F2135"/>
      <c r="G2135"/>
      <c r="H2135"/>
      <c r="I2135"/>
      <c r="J2135"/>
      <c r="K2135" s="13" t="s">
        <v>197</v>
      </c>
      <c r="L2135" s="13" t="s">
        <v>607</v>
      </c>
      <c r="M2135" s="13" t="s">
        <v>431</v>
      </c>
      <c r="N2135" s="15">
        <v>2</v>
      </c>
      <c r="O2135" s="16">
        <v>0</v>
      </c>
      <c r="P2135" s="17">
        <v>0</v>
      </c>
      <c r="Q2135" s="17">
        <v>0</v>
      </c>
      <c r="R2135" s="13"/>
      <c r="S2135" s="13"/>
      <c r="T2135" s="13"/>
      <c r="U2135" s="13"/>
      <c r="V2135" s="13"/>
      <c r="W2135" s="13"/>
    </row>
    <row r="2136" spans="1:23" x14ac:dyDescent="0.2">
      <c r="A2136"/>
      <c r="B2136"/>
      <c r="C2136"/>
      <c r="D2136"/>
      <c r="E2136"/>
      <c r="F2136"/>
      <c r="G2136"/>
      <c r="H2136"/>
      <c r="I2136"/>
      <c r="J2136"/>
      <c r="K2136" s="13" t="s">
        <v>197</v>
      </c>
      <c r="L2136" s="13" t="s">
        <v>608</v>
      </c>
      <c r="M2136" s="13" t="s">
        <v>432</v>
      </c>
      <c r="N2136" s="15">
        <v>3</v>
      </c>
      <c r="O2136" s="16">
        <v>0</v>
      </c>
      <c r="P2136" s="17">
        <v>0</v>
      </c>
      <c r="Q2136" s="17">
        <v>0</v>
      </c>
      <c r="R2136" s="13"/>
      <c r="S2136" s="13"/>
      <c r="T2136" s="13"/>
      <c r="U2136" s="13"/>
      <c r="V2136" s="13"/>
      <c r="W2136" s="13"/>
    </row>
    <row r="2137" spans="1:23" x14ac:dyDescent="0.2">
      <c r="A2137"/>
      <c r="B2137"/>
      <c r="C2137"/>
      <c r="D2137"/>
      <c r="E2137"/>
      <c r="F2137"/>
      <c r="G2137"/>
      <c r="H2137"/>
      <c r="I2137"/>
      <c r="J2137"/>
      <c r="K2137" s="13" t="s">
        <v>197</v>
      </c>
      <c r="L2137" s="13" t="s">
        <v>615</v>
      </c>
      <c r="M2137" s="13" t="s">
        <v>449</v>
      </c>
      <c r="N2137" s="15">
        <v>2</v>
      </c>
      <c r="O2137" s="16">
        <v>0</v>
      </c>
      <c r="P2137" s="17">
        <v>0</v>
      </c>
      <c r="Q2137" s="17">
        <v>0</v>
      </c>
      <c r="R2137" s="13"/>
      <c r="S2137" s="13"/>
      <c r="T2137" s="13"/>
      <c r="U2137" s="13"/>
      <c r="V2137" s="13"/>
      <c r="W2137" s="13"/>
    </row>
    <row r="2138" spans="1:23" x14ac:dyDescent="0.2">
      <c r="A2138"/>
      <c r="B2138"/>
      <c r="C2138"/>
      <c r="D2138"/>
      <c r="E2138"/>
      <c r="F2138"/>
      <c r="G2138"/>
      <c r="H2138"/>
      <c r="I2138"/>
      <c r="J2138"/>
      <c r="K2138" s="13" t="s">
        <v>197</v>
      </c>
      <c r="L2138" s="13" t="s">
        <v>415</v>
      </c>
      <c r="M2138" s="13" t="s">
        <v>412</v>
      </c>
      <c r="N2138" s="15">
        <v>0</v>
      </c>
      <c r="O2138" s="16">
        <v>0</v>
      </c>
      <c r="P2138" s="17">
        <v>41.059399992628045</v>
      </c>
      <c r="Q2138" s="17">
        <v>0</v>
      </c>
      <c r="R2138" s="13"/>
      <c r="S2138" s="13"/>
      <c r="T2138" s="13"/>
      <c r="U2138" s="13"/>
      <c r="V2138" s="13"/>
      <c r="W2138" s="13"/>
    </row>
    <row r="2139" spans="1:23" x14ac:dyDescent="0.2">
      <c r="A2139"/>
      <c r="B2139"/>
      <c r="C2139"/>
      <c r="D2139"/>
      <c r="E2139"/>
      <c r="F2139"/>
      <c r="G2139"/>
      <c r="H2139"/>
      <c r="I2139"/>
      <c r="J2139"/>
      <c r="K2139" s="13" t="s">
        <v>197</v>
      </c>
      <c r="L2139" s="13" t="s">
        <v>609</v>
      </c>
      <c r="M2139" s="13" t="s">
        <v>416</v>
      </c>
      <c r="N2139" s="15">
        <v>0</v>
      </c>
      <c r="O2139" s="16">
        <v>152.20285469132779</v>
      </c>
      <c r="P2139" s="17">
        <v>0</v>
      </c>
      <c r="Q2139" s="17">
        <v>0</v>
      </c>
      <c r="R2139" s="13"/>
      <c r="S2139" s="13"/>
      <c r="T2139" s="13"/>
      <c r="U2139" s="13"/>
      <c r="V2139" s="13"/>
      <c r="W2139" s="13"/>
    </row>
    <row r="2140" spans="1:23" x14ac:dyDescent="0.2">
      <c r="A2140"/>
      <c r="B2140"/>
      <c r="C2140"/>
      <c r="D2140"/>
      <c r="E2140"/>
      <c r="F2140"/>
      <c r="G2140"/>
      <c r="H2140"/>
      <c r="I2140"/>
      <c r="J2140"/>
      <c r="K2140" s="13" t="s">
        <v>197</v>
      </c>
      <c r="L2140" s="13" t="s">
        <v>421</v>
      </c>
      <c r="M2140" s="13" t="s">
        <v>443</v>
      </c>
      <c r="N2140" s="15">
        <v>2</v>
      </c>
      <c r="O2140" s="16">
        <v>0</v>
      </c>
      <c r="P2140" s="17">
        <v>0</v>
      </c>
      <c r="Q2140" s="17">
        <v>0</v>
      </c>
      <c r="R2140" s="13"/>
      <c r="S2140" s="13"/>
      <c r="T2140" s="13"/>
      <c r="U2140" s="13"/>
      <c r="V2140" s="13"/>
      <c r="W2140" s="13"/>
    </row>
    <row r="2141" spans="1:23" x14ac:dyDescent="0.2">
      <c r="A2141"/>
      <c r="B2141"/>
      <c r="C2141"/>
      <c r="D2141"/>
      <c r="E2141"/>
      <c r="F2141"/>
      <c r="G2141"/>
      <c r="H2141"/>
      <c r="I2141"/>
      <c r="J2141"/>
      <c r="K2141" s="13" t="s">
        <v>197</v>
      </c>
      <c r="L2141" s="13" t="s">
        <v>383</v>
      </c>
      <c r="M2141" s="13" t="s">
        <v>420</v>
      </c>
      <c r="N2141" s="15">
        <v>12</v>
      </c>
      <c r="O2141" s="16">
        <v>0</v>
      </c>
      <c r="P2141" s="17">
        <v>0</v>
      </c>
      <c r="Q2141" s="17">
        <v>0</v>
      </c>
      <c r="R2141" s="13"/>
      <c r="S2141" s="13"/>
      <c r="T2141" s="13"/>
      <c r="U2141" s="13"/>
      <c r="V2141" s="13"/>
      <c r="W2141" s="13"/>
    </row>
    <row r="2142" spans="1:23" x14ac:dyDescent="0.2">
      <c r="A2142"/>
      <c r="B2142"/>
      <c r="C2142"/>
      <c r="D2142"/>
      <c r="E2142"/>
      <c r="F2142"/>
      <c r="G2142"/>
      <c r="H2142"/>
      <c r="I2142"/>
      <c r="J2142"/>
      <c r="K2142" s="13" t="s">
        <v>197</v>
      </c>
      <c r="L2142" s="13" t="s">
        <v>528</v>
      </c>
      <c r="M2142" s="13" t="s">
        <v>384</v>
      </c>
      <c r="N2142" s="15">
        <v>0</v>
      </c>
      <c r="O2142" s="16">
        <v>604.3819096634777</v>
      </c>
      <c r="P2142" s="17">
        <v>0</v>
      </c>
      <c r="Q2142" s="17">
        <v>0</v>
      </c>
      <c r="R2142" s="13"/>
      <c r="S2142" s="13"/>
      <c r="T2142" s="13"/>
      <c r="U2142" s="13"/>
      <c r="V2142" s="13"/>
      <c r="W2142" s="13"/>
    </row>
    <row r="2143" spans="1:23" x14ac:dyDescent="0.2">
      <c r="A2143"/>
      <c r="B2143"/>
      <c r="C2143"/>
      <c r="D2143"/>
      <c r="E2143"/>
      <c r="F2143"/>
      <c r="G2143"/>
      <c r="H2143"/>
      <c r="I2143"/>
      <c r="J2143"/>
      <c r="K2143" s="13" t="s">
        <v>197</v>
      </c>
      <c r="L2143" s="13" t="s">
        <v>613</v>
      </c>
      <c r="M2143" s="13" t="s">
        <v>444</v>
      </c>
      <c r="N2143" s="15">
        <v>0</v>
      </c>
      <c r="O2143" s="16">
        <v>112.47475241070822</v>
      </c>
      <c r="P2143" s="17">
        <v>0</v>
      </c>
      <c r="Q2143" s="17">
        <v>0</v>
      </c>
      <c r="R2143" s="13"/>
      <c r="S2143" s="13"/>
      <c r="T2143" s="13"/>
      <c r="U2143" s="13"/>
      <c r="V2143" s="13"/>
      <c r="W2143" s="13"/>
    </row>
    <row r="2144" spans="1:23" x14ac:dyDescent="0.2">
      <c r="A2144"/>
      <c r="B2144"/>
      <c r="C2144"/>
      <c r="D2144"/>
      <c r="E2144"/>
      <c r="F2144"/>
      <c r="G2144"/>
      <c r="H2144"/>
      <c r="I2144"/>
      <c r="J2144"/>
      <c r="K2144" s="13" t="s">
        <v>197</v>
      </c>
      <c r="L2144" s="13" t="s">
        <v>611</v>
      </c>
      <c r="M2144" s="13" t="s">
        <v>423</v>
      </c>
      <c r="N2144" s="15">
        <v>0</v>
      </c>
      <c r="O2144" s="16">
        <v>35.470320025050206</v>
      </c>
      <c r="P2144" s="17">
        <v>0</v>
      </c>
      <c r="Q2144" s="17">
        <v>0</v>
      </c>
      <c r="R2144" s="13"/>
      <c r="S2144" s="13"/>
      <c r="T2144" s="13"/>
      <c r="U2144" s="13"/>
      <c r="V2144" s="13"/>
      <c r="W2144" s="13"/>
    </row>
    <row r="2145" spans="1:23" x14ac:dyDescent="0.2">
      <c r="A2145"/>
      <c r="B2145"/>
      <c r="C2145"/>
      <c r="D2145"/>
      <c r="E2145"/>
      <c r="F2145"/>
      <c r="G2145"/>
      <c r="H2145"/>
      <c r="I2145"/>
      <c r="J2145"/>
      <c r="K2145" s="13" t="s">
        <v>197</v>
      </c>
      <c r="L2145" s="13" t="s">
        <v>446</v>
      </c>
      <c r="M2145" s="13" t="s">
        <v>371</v>
      </c>
      <c r="N2145" s="15">
        <v>25</v>
      </c>
      <c r="O2145" s="16">
        <v>0</v>
      </c>
      <c r="P2145" s="17">
        <v>0</v>
      </c>
      <c r="Q2145" s="17">
        <v>0</v>
      </c>
      <c r="R2145" s="13"/>
      <c r="S2145" s="13"/>
      <c r="T2145" s="13"/>
      <c r="U2145" s="13"/>
      <c r="V2145" s="13"/>
      <c r="W2145" s="13"/>
    </row>
    <row r="2146" spans="1:23" x14ac:dyDescent="0.2">
      <c r="A2146"/>
      <c r="B2146"/>
      <c r="C2146"/>
      <c r="D2146"/>
      <c r="E2146"/>
      <c r="F2146"/>
      <c r="G2146"/>
      <c r="H2146"/>
      <c r="I2146"/>
      <c r="J2146"/>
      <c r="K2146" s="13" t="s">
        <v>197</v>
      </c>
      <c r="L2146" s="13" t="s">
        <v>424</v>
      </c>
      <c r="M2146" s="13" t="s">
        <v>468</v>
      </c>
      <c r="N2146" s="15">
        <v>0</v>
      </c>
      <c r="O2146" s="16">
        <v>0</v>
      </c>
      <c r="P2146" s="17">
        <v>36.758500001868001</v>
      </c>
      <c r="Q2146" s="17">
        <v>0</v>
      </c>
      <c r="R2146" s="13"/>
      <c r="S2146" s="13"/>
      <c r="T2146" s="13"/>
      <c r="U2146" s="13"/>
      <c r="V2146" s="13"/>
      <c r="W2146" s="13"/>
    </row>
    <row r="2147" spans="1:23" x14ac:dyDescent="0.2">
      <c r="A2147"/>
      <c r="B2147"/>
      <c r="C2147"/>
      <c r="D2147"/>
      <c r="E2147"/>
      <c r="F2147"/>
      <c r="G2147"/>
      <c r="H2147"/>
      <c r="I2147"/>
      <c r="J2147"/>
      <c r="K2147" s="13" t="s">
        <v>197</v>
      </c>
      <c r="L2147" s="13" t="s">
        <v>484</v>
      </c>
      <c r="M2147" s="13" t="s">
        <v>529</v>
      </c>
      <c r="N2147" s="15">
        <v>0</v>
      </c>
      <c r="O2147" s="16">
        <v>49.503408952945392</v>
      </c>
      <c r="P2147" s="17">
        <v>0</v>
      </c>
      <c r="Q2147" s="17">
        <v>0</v>
      </c>
      <c r="R2147" s="13"/>
      <c r="S2147" s="13"/>
      <c r="T2147" s="13"/>
      <c r="U2147" s="13"/>
      <c r="V2147" s="13"/>
      <c r="W2147" s="13"/>
    </row>
    <row r="2148" spans="1:23" x14ac:dyDescent="0.2">
      <c r="A2148"/>
      <c r="B2148"/>
      <c r="C2148"/>
      <c r="D2148"/>
      <c r="E2148"/>
      <c r="F2148"/>
      <c r="G2148"/>
      <c r="H2148"/>
      <c r="I2148"/>
      <c r="J2148"/>
      <c r="K2148" s="13" t="s">
        <v>197</v>
      </c>
      <c r="L2148" s="13" t="s">
        <v>614</v>
      </c>
      <c r="M2148" s="13" t="s">
        <v>447</v>
      </c>
      <c r="N2148" s="15">
        <v>1</v>
      </c>
      <c r="O2148" s="16">
        <v>0</v>
      </c>
      <c r="P2148" s="17">
        <v>0</v>
      </c>
      <c r="Q2148" s="17">
        <v>0</v>
      </c>
      <c r="R2148" s="13"/>
      <c r="S2148" s="13"/>
      <c r="T2148" s="13"/>
      <c r="U2148" s="13"/>
      <c r="V2148" s="13"/>
      <c r="W2148" s="13"/>
    </row>
    <row r="2149" spans="1:23" x14ac:dyDescent="0.2">
      <c r="A2149"/>
      <c r="B2149"/>
      <c r="C2149"/>
      <c r="D2149"/>
      <c r="E2149"/>
      <c r="F2149"/>
      <c r="G2149"/>
      <c r="H2149"/>
      <c r="I2149"/>
      <c r="J2149"/>
      <c r="K2149" s="13" t="s">
        <v>197</v>
      </c>
      <c r="L2149" s="13" t="s">
        <v>469</v>
      </c>
      <c r="M2149" s="13" t="s">
        <v>426</v>
      </c>
      <c r="N2149" s="15">
        <v>6</v>
      </c>
      <c r="O2149" s="16">
        <v>0</v>
      </c>
      <c r="P2149" s="17">
        <v>0</v>
      </c>
      <c r="Q2149" s="17">
        <v>0</v>
      </c>
      <c r="R2149" s="13"/>
      <c r="S2149" s="13"/>
      <c r="T2149" s="13"/>
      <c r="U2149" s="13"/>
      <c r="V2149" s="13"/>
      <c r="W2149" s="13"/>
    </row>
    <row r="2150" spans="1:23" x14ac:dyDescent="0.2">
      <c r="A2150"/>
      <c r="B2150"/>
      <c r="C2150"/>
      <c r="D2150"/>
      <c r="E2150"/>
      <c r="F2150"/>
      <c r="G2150"/>
      <c r="H2150"/>
      <c r="I2150"/>
      <c r="J2150"/>
      <c r="K2150" s="13" t="s">
        <v>199</v>
      </c>
      <c r="L2150" s="13" t="s">
        <v>435</v>
      </c>
      <c r="M2150" s="13" t="s">
        <v>364</v>
      </c>
      <c r="N2150" s="15">
        <v>0</v>
      </c>
      <c r="O2150" s="16">
        <v>0</v>
      </c>
      <c r="P2150" s="17">
        <v>22.777199999767191</v>
      </c>
      <c r="Q2150" s="17">
        <v>0</v>
      </c>
      <c r="R2150" s="13"/>
      <c r="S2150" s="13"/>
      <c r="T2150" s="13"/>
      <c r="U2150" s="13"/>
      <c r="V2150" s="13"/>
      <c r="W2150" s="13"/>
    </row>
    <row r="2151" spans="1:23" x14ac:dyDescent="0.2">
      <c r="A2151"/>
      <c r="B2151"/>
      <c r="C2151"/>
      <c r="D2151"/>
      <c r="E2151"/>
      <c r="F2151"/>
      <c r="G2151"/>
      <c r="H2151"/>
      <c r="I2151"/>
      <c r="J2151"/>
      <c r="K2151" s="13" t="s">
        <v>199</v>
      </c>
      <c r="L2151" s="13" t="s">
        <v>387</v>
      </c>
      <c r="M2151" s="13" t="s">
        <v>386</v>
      </c>
      <c r="N2151" s="15">
        <v>0</v>
      </c>
      <c r="O2151" s="16">
        <v>0</v>
      </c>
      <c r="P2151" s="17">
        <v>3500.7468998516119</v>
      </c>
      <c r="Q2151" s="17">
        <v>0</v>
      </c>
      <c r="R2151" s="13"/>
      <c r="S2151" s="13"/>
      <c r="T2151" s="13"/>
      <c r="U2151" s="13"/>
      <c r="V2151" s="13"/>
      <c r="W2151" s="13"/>
    </row>
    <row r="2152" spans="1:23" x14ac:dyDescent="0.2">
      <c r="A2152"/>
      <c r="B2152"/>
      <c r="C2152"/>
      <c r="D2152"/>
      <c r="E2152"/>
      <c r="F2152"/>
      <c r="G2152"/>
      <c r="H2152"/>
      <c r="I2152"/>
      <c r="J2152"/>
      <c r="K2152" s="13" t="s">
        <v>199</v>
      </c>
      <c r="L2152" s="13" t="s">
        <v>389</v>
      </c>
      <c r="M2152" s="13" t="s">
        <v>388</v>
      </c>
      <c r="N2152" s="15">
        <v>0</v>
      </c>
      <c r="O2152" s="16">
        <v>0</v>
      </c>
      <c r="P2152" s="17">
        <v>2186.3786999134122</v>
      </c>
      <c r="Q2152" s="17">
        <v>0</v>
      </c>
      <c r="R2152" s="13"/>
      <c r="S2152" s="13"/>
      <c r="T2152" s="13"/>
      <c r="U2152" s="13"/>
      <c r="V2152" s="13"/>
      <c r="W2152" s="13"/>
    </row>
    <row r="2153" spans="1:23" x14ac:dyDescent="0.2">
      <c r="A2153"/>
      <c r="B2153"/>
      <c r="C2153"/>
      <c r="D2153"/>
      <c r="E2153"/>
      <c r="F2153"/>
      <c r="G2153"/>
      <c r="H2153"/>
      <c r="I2153"/>
      <c r="J2153"/>
      <c r="K2153" s="13" t="s">
        <v>199</v>
      </c>
      <c r="L2153" s="13" t="s">
        <v>391</v>
      </c>
      <c r="M2153" s="13" t="s">
        <v>358</v>
      </c>
      <c r="N2153" s="15">
        <v>0</v>
      </c>
      <c r="O2153" s="16">
        <v>0</v>
      </c>
      <c r="P2153" s="17">
        <v>605.41379999967728</v>
      </c>
      <c r="Q2153" s="17">
        <v>0</v>
      </c>
      <c r="R2153" s="13"/>
      <c r="S2153" s="13"/>
      <c r="T2153" s="13"/>
      <c r="U2153" s="13"/>
      <c r="V2153" s="13"/>
      <c r="W2153" s="13"/>
    </row>
    <row r="2154" spans="1:23" x14ac:dyDescent="0.2">
      <c r="A2154"/>
      <c r="B2154"/>
      <c r="C2154"/>
      <c r="D2154"/>
      <c r="E2154"/>
      <c r="F2154"/>
      <c r="G2154"/>
      <c r="H2154"/>
      <c r="I2154"/>
      <c r="J2154"/>
      <c r="K2154" s="13" t="s">
        <v>199</v>
      </c>
      <c r="L2154" s="13" t="s">
        <v>436</v>
      </c>
      <c r="M2154" s="13" t="s">
        <v>487</v>
      </c>
      <c r="N2154" s="15">
        <v>0</v>
      </c>
      <c r="O2154" s="16">
        <v>0</v>
      </c>
      <c r="P2154" s="17">
        <v>155.17555000117912</v>
      </c>
      <c r="Q2154" s="17">
        <v>0</v>
      </c>
      <c r="R2154" s="13"/>
      <c r="S2154" s="13"/>
      <c r="T2154" s="13"/>
      <c r="U2154" s="13"/>
      <c r="V2154" s="13"/>
      <c r="W2154" s="13"/>
    </row>
    <row r="2155" spans="1:23" x14ac:dyDescent="0.2">
      <c r="A2155"/>
      <c r="B2155"/>
      <c r="C2155"/>
      <c r="D2155"/>
      <c r="E2155"/>
      <c r="F2155"/>
      <c r="G2155"/>
      <c r="H2155"/>
      <c r="I2155"/>
      <c r="J2155"/>
      <c r="K2155" s="13" t="s">
        <v>199</v>
      </c>
      <c r="L2155" s="13" t="s">
        <v>392</v>
      </c>
      <c r="M2155" s="13" t="s">
        <v>437</v>
      </c>
      <c r="N2155" s="15">
        <v>0</v>
      </c>
      <c r="O2155" s="16">
        <v>0</v>
      </c>
      <c r="P2155" s="17">
        <v>90.573850006816301</v>
      </c>
      <c r="Q2155" s="17">
        <v>0</v>
      </c>
      <c r="R2155" s="13"/>
      <c r="S2155" s="13"/>
      <c r="T2155" s="13"/>
      <c r="U2155" s="13"/>
      <c r="V2155" s="13"/>
      <c r="W2155" s="13"/>
    </row>
    <row r="2156" spans="1:23" x14ac:dyDescent="0.2">
      <c r="A2156"/>
      <c r="B2156"/>
      <c r="C2156"/>
      <c r="D2156"/>
      <c r="E2156"/>
      <c r="F2156"/>
      <c r="G2156"/>
      <c r="H2156"/>
      <c r="I2156"/>
      <c r="J2156"/>
      <c r="K2156" s="13" t="s">
        <v>199</v>
      </c>
      <c r="L2156" s="13" t="s">
        <v>486</v>
      </c>
      <c r="M2156" s="13" t="s">
        <v>439</v>
      </c>
      <c r="N2156" s="15">
        <v>0</v>
      </c>
      <c r="O2156" s="16">
        <v>0</v>
      </c>
      <c r="P2156" s="17">
        <v>112.05669999813527</v>
      </c>
      <c r="Q2156" s="17">
        <v>0</v>
      </c>
      <c r="R2156" s="13"/>
      <c r="S2156" s="13"/>
      <c r="T2156" s="13"/>
      <c r="U2156" s="13"/>
      <c r="V2156" s="13"/>
      <c r="W2156" s="13"/>
    </row>
    <row r="2157" spans="1:23" x14ac:dyDescent="0.2">
      <c r="A2157"/>
      <c r="B2157"/>
      <c r="C2157"/>
      <c r="D2157"/>
      <c r="E2157"/>
      <c r="F2157"/>
      <c r="G2157"/>
      <c r="H2157"/>
      <c r="I2157"/>
      <c r="J2157"/>
      <c r="K2157" s="13" t="s">
        <v>199</v>
      </c>
      <c r="L2157" s="13" t="s">
        <v>621</v>
      </c>
      <c r="M2157" s="13" t="s">
        <v>520</v>
      </c>
      <c r="N2157" s="15">
        <v>0</v>
      </c>
      <c r="O2157" s="16">
        <v>0</v>
      </c>
      <c r="P2157" s="17">
        <v>795.45829998173315</v>
      </c>
      <c r="Q2157" s="17">
        <v>0</v>
      </c>
      <c r="R2157" s="13"/>
      <c r="S2157" s="13"/>
      <c r="T2157" s="13"/>
      <c r="U2157" s="13"/>
      <c r="V2157" s="13"/>
      <c r="W2157" s="13"/>
    </row>
    <row r="2158" spans="1:23" x14ac:dyDescent="0.2">
      <c r="A2158"/>
      <c r="B2158"/>
      <c r="C2158"/>
      <c r="D2158"/>
      <c r="E2158"/>
      <c r="F2158"/>
      <c r="G2158"/>
      <c r="H2158"/>
      <c r="I2158"/>
      <c r="J2158"/>
      <c r="K2158" s="13" t="s">
        <v>199</v>
      </c>
      <c r="L2158" s="13" t="s">
        <v>512</v>
      </c>
      <c r="M2158" s="13" t="s">
        <v>466</v>
      </c>
      <c r="N2158" s="15">
        <v>0</v>
      </c>
      <c r="O2158" s="16">
        <v>0</v>
      </c>
      <c r="P2158" s="17">
        <v>254.52269998601017</v>
      </c>
      <c r="Q2158" s="17">
        <v>0</v>
      </c>
      <c r="R2158" s="13"/>
      <c r="S2158" s="13"/>
      <c r="T2158" s="13"/>
      <c r="U2158" s="13"/>
      <c r="V2158" s="13"/>
      <c r="W2158" s="13"/>
    </row>
    <row r="2159" spans="1:23" x14ac:dyDescent="0.2">
      <c r="A2159"/>
      <c r="B2159"/>
      <c r="C2159"/>
      <c r="D2159"/>
      <c r="E2159"/>
      <c r="F2159"/>
      <c r="G2159"/>
      <c r="H2159"/>
      <c r="I2159"/>
      <c r="J2159"/>
      <c r="K2159" s="13" t="s">
        <v>199</v>
      </c>
      <c r="L2159" s="13" t="s">
        <v>532</v>
      </c>
      <c r="M2159" s="13" t="s">
        <v>620</v>
      </c>
      <c r="N2159" s="15">
        <v>0</v>
      </c>
      <c r="O2159" s="16">
        <v>0</v>
      </c>
      <c r="P2159" s="17">
        <v>576.81839997053464</v>
      </c>
      <c r="Q2159" s="17">
        <v>0</v>
      </c>
      <c r="R2159" s="13"/>
      <c r="S2159" s="13"/>
      <c r="T2159" s="13"/>
      <c r="U2159" s="13"/>
      <c r="V2159" s="13"/>
      <c r="W2159" s="13"/>
    </row>
    <row r="2160" spans="1:23" x14ac:dyDescent="0.2">
      <c r="A2160"/>
      <c r="B2160"/>
      <c r="C2160"/>
      <c r="D2160"/>
      <c r="E2160"/>
      <c r="F2160"/>
      <c r="G2160"/>
      <c r="H2160"/>
      <c r="I2160"/>
      <c r="J2160"/>
      <c r="K2160" s="13" t="s">
        <v>199</v>
      </c>
      <c r="L2160" s="13" t="s">
        <v>513</v>
      </c>
      <c r="M2160" s="13" t="s">
        <v>533</v>
      </c>
      <c r="N2160" s="15">
        <v>0</v>
      </c>
      <c r="O2160" s="16">
        <v>0</v>
      </c>
      <c r="P2160" s="17">
        <v>262.61784997956454</v>
      </c>
      <c r="Q2160" s="17">
        <v>0</v>
      </c>
      <c r="R2160" s="13"/>
      <c r="S2160" s="13"/>
      <c r="T2160" s="13"/>
      <c r="U2160" s="13"/>
      <c r="V2160" s="13"/>
      <c r="W2160" s="13"/>
    </row>
    <row r="2161" spans="1:23" x14ac:dyDescent="0.2">
      <c r="A2161"/>
      <c r="B2161"/>
      <c r="C2161"/>
      <c r="D2161"/>
      <c r="E2161"/>
      <c r="F2161"/>
      <c r="G2161"/>
      <c r="H2161"/>
      <c r="I2161"/>
      <c r="J2161"/>
      <c r="K2161" s="13" t="s">
        <v>199</v>
      </c>
      <c r="L2161" s="13" t="s">
        <v>399</v>
      </c>
      <c r="M2161" s="13" t="s">
        <v>400</v>
      </c>
      <c r="N2161" s="15">
        <v>0</v>
      </c>
      <c r="O2161" s="16">
        <v>0</v>
      </c>
      <c r="P2161" s="17">
        <v>9.1425500033720635</v>
      </c>
      <c r="Q2161" s="17">
        <v>0</v>
      </c>
      <c r="R2161" s="13"/>
      <c r="S2161" s="13"/>
      <c r="T2161" s="13"/>
      <c r="U2161" s="13"/>
      <c r="V2161" s="13"/>
      <c r="W2161" s="13"/>
    </row>
    <row r="2162" spans="1:23" x14ac:dyDescent="0.2">
      <c r="A2162"/>
      <c r="B2162"/>
      <c r="C2162"/>
      <c r="D2162"/>
      <c r="E2162"/>
      <c r="F2162"/>
      <c r="G2162"/>
      <c r="H2162"/>
      <c r="I2162"/>
      <c r="J2162"/>
      <c r="K2162" s="13" t="s">
        <v>199</v>
      </c>
      <c r="L2162" s="13" t="s">
        <v>401</v>
      </c>
      <c r="M2162" s="13" t="s">
        <v>360</v>
      </c>
      <c r="N2162" s="15">
        <v>0</v>
      </c>
      <c r="O2162" s="16">
        <v>0</v>
      </c>
      <c r="P2162" s="17">
        <v>6603.5225498949039</v>
      </c>
      <c r="Q2162" s="17">
        <v>0</v>
      </c>
      <c r="R2162" s="13"/>
      <c r="S2162" s="13"/>
      <c r="T2162" s="13"/>
      <c r="U2162" s="13"/>
      <c r="V2162" s="13"/>
      <c r="W2162" s="13"/>
    </row>
    <row r="2163" spans="1:23" x14ac:dyDescent="0.2">
      <c r="A2163"/>
      <c r="B2163"/>
      <c r="C2163"/>
      <c r="D2163"/>
      <c r="E2163"/>
      <c r="F2163"/>
      <c r="G2163"/>
      <c r="H2163"/>
      <c r="I2163"/>
      <c r="J2163"/>
      <c r="K2163" s="13" t="s">
        <v>199</v>
      </c>
      <c r="L2163" s="13" t="s">
        <v>511</v>
      </c>
      <c r="M2163" s="13" t="s">
        <v>377</v>
      </c>
      <c r="N2163" s="15">
        <v>0</v>
      </c>
      <c r="O2163" s="16">
        <v>0</v>
      </c>
      <c r="P2163" s="17">
        <v>202.47944998277885</v>
      </c>
      <c r="Q2163" s="17">
        <v>0</v>
      </c>
      <c r="R2163" s="13"/>
      <c r="S2163" s="13"/>
      <c r="T2163" s="13"/>
      <c r="U2163" s="13"/>
      <c r="V2163" s="13"/>
      <c r="W2163" s="13"/>
    </row>
    <row r="2164" spans="1:23" x14ac:dyDescent="0.2">
      <c r="A2164"/>
      <c r="B2164"/>
      <c r="C2164"/>
      <c r="D2164"/>
      <c r="E2164"/>
      <c r="F2164"/>
      <c r="G2164"/>
      <c r="H2164"/>
      <c r="I2164"/>
      <c r="J2164"/>
      <c r="K2164" s="13" t="s">
        <v>199</v>
      </c>
      <c r="L2164" s="13" t="s">
        <v>402</v>
      </c>
      <c r="M2164" s="13" t="s">
        <v>403</v>
      </c>
      <c r="N2164" s="15">
        <v>0</v>
      </c>
      <c r="O2164" s="16">
        <v>0</v>
      </c>
      <c r="P2164" s="17">
        <v>19629.969181918659</v>
      </c>
      <c r="Q2164" s="17">
        <v>0</v>
      </c>
      <c r="R2164" s="13"/>
      <c r="S2164" s="13"/>
      <c r="T2164" s="13"/>
      <c r="U2164" s="13"/>
      <c r="V2164" s="13"/>
      <c r="W2164" s="13"/>
    </row>
    <row r="2165" spans="1:23" x14ac:dyDescent="0.2">
      <c r="A2165"/>
      <c r="B2165"/>
      <c r="C2165"/>
      <c r="D2165"/>
      <c r="E2165"/>
      <c r="F2165"/>
      <c r="G2165"/>
      <c r="H2165"/>
      <c r="I2165"/>
      <c r="J2165"/>
      <c r="K2165" s="13" t="s">
        <v>199</v>
      </c>
      <c r="L2165" s="13" t="s">
        <v>448</v>
      </c>
      <c r="M2165" s="13" t="s">
        <v>366</v>
      </c>
      <c r="N2165" s="15">
        <v>0</v>
      </c>
      <c r="O2165" s="16">
        <v>0</v>
      </c>
      <c r="P2165" s="17">
        <v>1217.3328675974251</v>
      </c>
      <c r="Q2165" s="17">
        <v>0</v>
      </c>
      <c r="R2165" s="13"/>
      <c r="S2165" s="13"/>
      <c r="T2165" s="13"/>
      <c r="U2165" s="13"/>
      <c r="V2165" s="13"/>
      <c r="W2165" s="13"/>
    </row>
    <row r="2166" spans="1:23" x14ac:dyDescent="0.2">
      <c r="A2166"/>
      <c r="B2166"/>
      <c r="C2166"/>
      <c r="D2166"/>
      <c r="E2166"/>
      <c r="F2166"/>
      <c r="G2166"/>
      <c r="H2166"/>
      <c r="I2166"/>
      <c r="J2166"/>
      <c r="K2166" s="13" t="s">
        <v>199</v>
      </c>
      <c r="L2166" s="13" t="s">
        <v>456</v>
      </c>
      <c r="M2166" s="13" t="s">
        <v>457</v>
      </c>
      <c r="N2166" s="15">
        <v>0</v>
      </c>
      <c r="O2166" s="16">
        <v>0</v>
      </c>
      <c r="P2166" s="17">
        <v>1801.0467999679695</v>
      </c>
      <c r="Q2166" s="17">
        <v>0</v>
      </c>
      <c r="R2166" s="13"/>
      <c r="S2166" s="13"/>
      <c r="T2166" s="13"/>
      <c r="U2166" s="13"/>
      <c r="V2166" s="13"/>
      <c r="W2166" s="13"/>
    </row>
    <row r="2167" spans="1:23" x14ac:dyDescent="0.2">
      <c r="A2167"/>
      <c r="B2167"/>
      <c r="C2167"/>
      <c r="D2167"/>
      <c r="E2167"/>
      <c r="F2167"/>
      <c r="G2167"/>
      <c r="H2167"/>
      <c r="I2167"/>
      <c r="J2167"/>
      <c r="K2167" s="13" t="s">
        <v>199</v>
      </c>
      <c r="L2167" s="13" t="s">
        <v>404</v>
      </c>
      <c r="M2167" s="13" t="s">
        <v>405</v>
      </c>
      <c r="N2167" s="15">
        <v>0</v>
      </c>
      <c r="O2167" s="16">
        <v>0</v>
      </c>
      <c r="P2167" s="17">
        <v>172.93790000797463</v>
      </c>
      <c r="Q2167" s="17">
        <v>571.39451797058609</v>
      </c>
      <c r="R2167" s="13"/>
      <c r="S2167" s="13"/>
      <c r="T2167" s="13"/>
      <c r="U2167" s="13"/>
      <c r="V2167" s="13"/>
      <c r="W2167" s="13"/>
    </row>
    <row r="2168" spans="1:23" x14ac:dyDescent="0.2">
      <c r="A2168"/>
      <c r="B2168"/>
      <c r="C2168"/>
      <c r="D2168"/>
      <c r="E2168"/>
      <c r="F2168"/>
      <c r="G2168"/>
      <c r="H2168"/>
      <c r="I2168"/>
      <c r="J2168"/>
      <c r="K2168" s="13" t="s">
        <v>199</v>
      </c>
      <c r="L2168" s="13" t="s">
        <v>406</v>
      </c>
      <c r="M2168" s="13" t="s">
        <v>361</v>
      </c>
      <c r="N2168" s="15">
        <v>0</v>
      </c>
      <c r="O2168" s="16">
        <v>0</v>
      </c>
      <c r="P2168" s="17">
        <v>85.914649999724048</v>
      </c>
      <c r="Q2168" s="17">
        <v>165.77187965019021</v>
      </c>
      <c r="R2168" s="13"/>
      <c r="S2168" s="13"/>
      <c r="T2168" s="13"/>
      <c r="U2168" s="13"/>
      <c r="V2168" s="13"/>
      <c r="W2168" s="13"/>
    </row>
    <row r="2169" spans="1:23" x14ac:dyDescent="0.2">
      <c r="A2169"/>
      <c r="B2169"/>
      <c r="C2169"/>
      <c r="D2169"/>
      <c r="E2169"/>
      <c r="F2169"/>
      <c r="G2169"/>
      <c r="H2169"/>
      <c r="I2169"/>
      <c r="J2169"/>
      <c r="K2169" s="13" t="s">
        <v>199</v>
      </c>
      <c r="L2169" s="13" t="s">
        <v>381</v>
      </c>
      <c r="M2169" s="13" t="s">
        <v>382</v>
      </c>
      <c r="N2169" s="15">
        <v>51</v>
      </c>
      <c r="O2169" s="16">
        <v>0</v>
      </c>
      <c r="P2169" s="17">
        <v>0</v>
      </c>
      <c r="Q2169" s="17">
        <v>0</v>
      </c>
      <c r="R2169" s="13"/>
      <c r="S2169" s="13"/>
      <c r="T2169" s="13"/>
      <c r="U2169" s="13"/>
      <c r="V2169" s="13"/>
      <c r="W2169" s="13"/>
    </row>
    <row r="2170" spans="1:23" x14ac:dyDescent="0.2">
      <c r="A2170"/>
      <c r="B2170"/>
      <c r="C2170"/>
      <c r="D2170"/>
      <c r="E2170"/>
      <c r="F2170"/>
      <c r="G2170"/>
      <c r="H2170"/>
      <c r="I2170"/>
      <c r="J2170"/>
      <c r="K2170" s="13" t="s">
        <v>199</v>
      </c>
      <c r="L2170" s="13" t="s">
        <v>452</v>
      </c>
      <c r="M2170" s="13" t="s">
        <v>453</v>
      </c>
      <c r="N2170" s="15">
        <v>33</v>
      </c>
      <c r="O2170" s="16">
        <v>0</v>
      </c>
      <c r="P2170" s="17">
        <v>0</v>
      </c>
      <c r="Q2170" s="17">
        <v>0</v>
      </c>
      <c r="R2170" s="13"/>
      <c r="S2170" s="13"/>
      <c r="T2170" s="13"/>
      <c r="U2170" s="13"/>
      <c r="V2170" s="13"/>
      <c r="W2170" s="13"/>
    </row>
    <row r="2171" spans="1:23" x14ac:dyDescent="0.2">
      <c r="A2171"/>
      <c r="B2171"/>
      <c r="C2171"/>
      <c r="D2171"/>
      <c r="E2171"/>
      <c r="F2171"/>
      <c r="G2171"/>
      <c r="H2171"/>
      <c r="I2171"/>
      <c r="J2171"/>
      <c r="K2171" s="13" t="s">
        <v>199</v>
      </c>
      <c r="L2171" s="13" t="s">
        <v>411</v>
      </c>
      <c r="M2171" s="13" t="s">
        <v>362</v>
      </c>
      <c r="N2171" s="15">
        <v>0</v>
      </c>
      <c r="O2171" s="16">
        <v>111.96092007971033</v>
      </c>
      <c r="P2171" s="17">
        <v>0</v>
      </c>
      <c r="Q2171" s="17">
        <v>0</v>
      </c>
      <c r="R2171" s="13"/>
      <c r="S2171" s="13"/>
      <c r="T2171" s="13"/>
      <c r="U2171" s="13"/>
      <c r="V2171" s="13"/>
      <c r="W2171" s="13"/>
    </row>
    <row r="2172" spans="1:23" x14ac:dyDescent="0.2">
      <c r="A2172"/>
      <c r="B2172"/>
      <c r="C2172"/>
      <c r="D2172"/>
      <c r="E2172"/>
      <c r="F2172"/>
      <c r="G2172"/>
      <c r="H2172"/>
      <c r="I2172"/>
      <c r="J2172"/>
      <c r="K2172" s="13" t="s">
        <v>199</v>
      </c>
      <c r="L2172" s="13" t="s">
        <v>413</v>
      </c>
      <c r="M2172" s="13" t="s">
        <v>428</v>
      </c>
      <c r="N2172" s="15">
        <v>1</v>
      </c>
      <c r="O2172" s="16">
        <v>0</v>
      </c>
      <c r="P2172" s="17">
        <v>0</v>
      </c>
      <c r="Q2172" s="17">
        <v>0</v>
      </c>
      <c r="R2172" s="13"/>
      <c r="S2172" s="13"/>
      <c r="T2172" s="13"/>
      <c r="U2172" s="13"/>
      <c r="V2172" s="13"/>
      <c r="W2172" s="13"/>
    </row>
    <row r="2173" spans="1:23" x14ac:dyDescent="0.2">
      <c r="A2173"/>
      <c r="B2173"/>
      <c r="C2173"/>
      <c r="D2173"/>
      <c r="E2173"/>
      <c r="F2173"/>
      <c r="G2173"/>
      <c r="H2173"/>
      <c r="I2173"/>
      <c r="J2173"/>
      <c r="K2173" s="13" t="s">
        <v>199</v>
      </c>
      <c r="L2173" s="13" t="s">
        <v>603</v>
      </c>
      <c r="M2173" s="13" t="s">
        <v>385</v>
      </c>
      <c r="N2173" s="15">
        <v>14</v>
      </c>
      <c r="O2173" s="16">
        <v>0</v>
      </c>
      <c r="P2173" s="17">
        <v>0</v>
      </c>
      <c r="Q2173" s="17">
        <v>0</v>
      </c>
      <c r="R2173" s="13"/>
      <c r="S2173" s="13"/>
      <c r="T2173" s="13"/>
      <c r="U2173" s="13"/>
      <c r="V2173" s="13"/>
      <c r="W2173" s="13"/>
    </row>
    <row r="2174" spans="1:23" x14ac:dyDescent="0.2">
      <c r="A2174"/>
      <c r="B2174"/>
      <c r="C2174"/>
      <c r="D2174"/>
      <c r="E2174"/>
      <c r="F2174"/>
      <c r="G2174"/>
      <c r="H2174"/>
      <c r="I2174"/>
      <c r="J2174"/>
      <c r="K2174" s="13" t="s">
        <v>199</v>
      </c>
      <c r="L2174" s="13" t="s">
        <v>605</v>
      </c>
      <c r="M2174" s="13" t="s">
        <v>429</v>
      </c>
      <c r="N2174" s="15">
        <v>0</v>
      </c>
      <c r="O2174" s="16">
        <v>66.611909838569971</v>
      </c>
      <c r="P2174" s="17">
        <v>0</v>
      </c>
      <c r="Q2174" s="17">
        <v>0</v>
      </c>
      <c r="R2174" s="13"/>
      <c r="S2174" s="13"/>
      <c r="T2174" s="13"/>
      <c r="U2174" s="13"/>
      <c r="V2174" s="13"/>
      <c r="W2174" s="13"/>
    </row>
    <row r="2175" spans="1:23" x14ac:dyDescent="0.2">
      <c r="A2175"/>
      <c r="B2175"/>
      <c r="C2175"/>
      <c r="D2175"/>
      <c r="E2175"/>
      <c r="F2175"/>
      <c r="G2175"/>
      <c r="H2175"/>
      <c r="I2175"/>
      <c r="J2175"/>
      <c r="K2175" s="13" t="s">
        <v>199</v>
      </c>
      <c r="L2175" s="13" t="s">
        <v>606</v>
      </c>
      <c r="M2175" s="13" t="s">
        <v>430</v>
      </c>
      <c r="N2175" s="15">
        <v>9</v>
      </c>
      <c r="O2175" s="16">
        <v>0</v>
      </c>
      <c r="P2175" s="17">
        <v>0</v>
      </c>
      <c r="Q2175" s="17">
        <v>0</v>
      </c>
      <c r="R2175" s="13"/>
      <c r="S2175" s="13"/>
      <c r="T2175" s="13"/>
      <c r="U2175" s="13"/>
      <c r="V2175" s="13"/>
      <c r="W2175" s="13"/>
    </row>
    <row r="2176" spans="1:23" x14ac:dyDescent="0.2">
      <c r="A2176"/>
      <c r="B2176"/>
      <c r="C2176"/>
      <c r="D2176"/>
      <c r="E2176"/>
      <c r="F2176"/>
      <c r="G2176"/>
      <c r="H2176"/>
      <c r="I2176"/>
      <c r="J2176"/>
      <c r="K2176" s="13" t="s">
        <v>199</v>
      </c>
      <c r="L2176" s="13" t="s">
        <v>623</v>
      </c>
      <c r="M2176" s="13" t="s">
        <v>530</v>
      </c>
      <c r="N2176" s="15">
        <v>0</v>
      </c>
      <c r="O2176" s="16">
        <v>584.77523110074537</v>
      </c>
      <c r="P2176" s="17">
        <v>0</v>
      </c>
      <c r="Q2176" s="17">
        <v>0</v>
      </c>
      <c r="R2176" s="13"/>
      <c r="S2176" s="13"/>
      <c r="T2176" s="13"/>
      <c r="U2176" s="13"/>
      <c r="V2176" s="13"/>
      <c r="W2176" s="13"/>
    </row>
    <row r="2177" spans="1:23" x14ac:dyDescent="0.2">
      <c r="A2177"/>
      <c r="B2177"/>
      <c r="C2177"/>
      <c r="D2177"/>
      <c r="E2177"/>
      <c r="F2177"/>
      <c r="G2177"/>
      <c r="H2177"/>
      <c r="I2177"/>
      <c r="J2177"/>
      <c r="K2177" s="13" t="s">
        <v>199</v>
      </c>
      <c r="L2177" s="13" t="s">
        <v>607</v>
      </c>
      <c r="M2177" s="13" t="s">
        <v>431</v>
      </c>
      <c r="N2177" s="15">
        <v>3</v>
      </c>
      <c r="O2177" s="16">
        <v>0</v>
      </c>
      <c r="P2177" s="17">
        <v>0</v>
      </c>
      <c r="Q2177" s="17">
        <v>0</v>
      </c>
      <c r="R2177" s="13"/>
      <c r="S2177" s="13"/>
      <c r="T2177" s="13"/>
      <c r="U2177" s="13"/>
      <c r="V2177" s="13"/>
      <c r="W2177" s="13"/>
    </row>
    <row r="2178" spans="1:23" x14ac:dyDescent="0.2">
      <c r="A2178"/>
      <c r="B2178"/>
      <c r="C2178"/>
      <c r="D2178"/>
      <c r="E2178"/>
      <c r="F2178"/>
      <c r="G2178"/>
      <c r="H2178"/>
      <c r="I2178"/>
      <c r="J2178"/>
      <c r="K2178" s="13" t="s">
        <v>199</v>
      </c>
      <c r="L2178" s="13" t="s">
        <v>608</v>
      </c>
      <c r="M2178" s="13" t="s">
        <v>432</v>
      </c>
      <c r="N2178" s="15">
        <v>49</v>
      </c>
      <c r="O2178" s="16">
        <v>0</v>
      </c>
      <c r="P2178" s="17">
        <v>0</v>
      </c>
      <c r="Q2178" s="17">
        <v>0</v>
      </c>
      <c r="R2178" s="13"/>
      <c r="S2178" s="13"/>
      <c r="T2178" s="13"/>
      <c r="U2178" s="13"/>
      <c r="V2178" s="13"/>
      <c r="W2178" s="13"/>
    </row>
    <row r="2179" spans="1:23" x14ac:dyDescent="0.2">
      <c r="A2179"/>
      <c r="B2179"/>
      <c r="C2179"/>
      <c r="D2179"/>
      <c r="E2179"/>
      <c r="F2179"/>
      <c r="G2179"/>
      <c r="H2179"/>
      <c r="I2179"/>
      <c r="J2179"/>
      <c r="K2179" s="13" t="s">
        <v>199</v>
      </c>
      <c r="L2179" s="13" t="s">
        <v>615</v>
      </c>
      <c r="M2179" s="13" t="s">
        <v>449</v>
      </c>
      <c r="N2179" s="15">
        <v>1</v>
      </c>
      <c r="O2179" s="16">
        <v>0</v>
      </c>
      <c r="P2179" s="17">
        <v>0</v>
      </c>
      <c r="Q2179" s="17">
        <v>0</v>
      </c>
      <c r="R2179" s="13"/>
      <c r="S2179" s="13"/>
      <c r="T2179" s="13"/>
      <c r="U2179" s="13"/>
      <c r="V2179" s="13"/>
      <c r="W2179" s="13"/>
    </row>
    <row r="2180" spans="1:23" x14ac:dyDescent="0.2">
      <c r="A2180"/>
      <c r="B2180"/>
      <c r="C2180"/>
      <c r="D2180"/>
      <c r="E2180"/>
      <c r="F2180"/>
      <c r="G2180"/>
      <c r="H2180"/>
      <c r="I2180"/>
      <c r="J2180"/>
      <c r="K2180" s="13" t="s">
        <v>199</v>
      </c>
      <c r="L2180" s="13" t="s">
        <v>421</v>
      </c>
      <c r="M2180" s="13" t="s">
        <v>443</v>
      </c>
      <c r="N2180" s="15">
        <v>4</v>
      </c>
      <c r="O2180" s="16">
        <v>0</v>
      </c>
      <c r="P2180" s="17">
        <v>0</v>
      </c>
      <c r="Q2180" s="17">
        <v>0</v>
      </c>
      <c r="R2180" s="13"/>
      <c r="S2180" s="13"/>
      <c r="T2180" s="13"/>
      <c r="U2180" s="13"/>
      <c r="V2180" s="13"/>
      <c r="W2180" s="13"/>
    </row>
    <row r="2181" spans="1:23" x14ac:dyDescent="0.2">
      <c r="A2181"/>
      <c r="B2181"/>
      <c r="C2181"/>
      <c r="D2181"/>
      <c r="E2181"/>
      <c r="F2181"/>
      <c r="G2181"/>
      <c r="H2181"/>
      <c r="I2181"/>
      <c r="J2181"/>
      <c r="K2181" s="13" t="s">
        <v>199</v>
      </c>
      <c r="L2181" s="13" t="s">
        <v>383</v>
      </c>
      <c r="M2181" s="13" t="s">
        <v>420</v>
      </c>
      <c r="N2181" s="15">
        <v>12</v>
      </c>
      <c r="O2181" s="16">
        <v>0</v>
      </c>
      <c r="P2181" s="17">
        <v>0</v>
      </c>
      <c r="Q2181" s="17">
        <v>0</v>
      </c>
      <c r="R2181" s="13"/>
      <c r="S2181" s="13"/>
      <c r="T2181" s="13"/>
      <c r="U2181" s="13"/>
      <c r="V2181" s="13"/>
      <c r="W2181" s="13"/>
    </row>
    <row r="2182" spans="1:23" x14ac:dyDescent="0.2">
      <c r="A2182"/>
      <c r="B2182"/>
      <c r="C2182"/>
      <c r="D2182"/>
      <c r="E2182"/>
      <c r="F2182"/>
      <c r="G2182"/>
      <c r="H2182"/>
      <c r="I2182"/>
      <c r="J2182"/>
      <c r="K2182" s="13" t="s">
        <v>199</v>
      </c>
      <c r="L2182" s="13" t="s">
        <v>528</v>
      </c>
      <c r="M2182" s="13" t="s">
        <v>384</v>
      </c>
      <c r="N2182" s="15">
        <v>0</v>
      </c>
      <c r="O2182" s="16">
        <v>662.92251063007529</v>
      </c>
      <c r="P2182" s="17">
        <v>0</v>
      </c>
      <c r="Q2182" s="17">
        <v>0</v>
      </c>
      <c r="R2182" s="13"/>
      <c r="S2182" s="13"/>
      <c r="T2182" s="13"/>
      <c r="U2182" s="13"/>
      <c r="V2182" s="13"/>
      <c r="W2182" s="13"/>
    </row>
    <row r="2183" spans="1:23" x14ac:dyDescent="0.2">
      <c r="A2183"/>
      <c r="B2183"/>
      <c r="C2183"/>
      <c r="D2183"/>
      <c r="E2183"/>
      <c r="F2183"/>
      <c r="G2183"/>
      <c r="H2183"/>
      <c r="I2183"/>
      <c r="J2183"/>
      <c r="K2183" s="13" t="s">
        <v>199</v>
      </c>
      <c r="L2183" s="13" t="s">
        <v>613</v>
      </c>
      <c r="M2183" s="13" t="s">
        <v>444</v>
      </c>
      <c r="N2183" s="15">
        <v>0</v>
      </c>
      <c r="O2183" s="16">
        <v>60.35997756751788</v>
      </c>
      <c r="P2183" s="17">
        <v>0</v>
      </c>
      <c r="Q2183" s="17">
        <v>0</v>
      </c>
      <c r="R2183" s="13"/>
      <c r="S2183" s="13"/>
      <c r="T2183" s="13"/>
      <c r="U2183" s="13"/>
      <c r="V2183" s="13"/>
      <c r="W2183" s="13"/>
    </row>
    <row r="2184" spans="1:23" x14ac:dyDescent="0.2">
      <c r="A2184"/>
      <c r="B2184"/>
      <c r="C2184"/>
      <c r="D2184"/>
      <c r="E2184"/>
      <c r="F2184"/>
      <c r="G2184"/>
      <c r="H2184"/>
      <c r="I2184"/>
      <c r="J2184"/>
      <c r="K2184" s="13" t="s">
        <v>199</v>
      </c>
      <c r="L2184" s="13" t="s">
        <v>446</v>
      </c>
      <c r="M2184" s="13" t="s">
        <v>371</v>
      </c>
      <c r="N2184" s="15">
        <v>20</v>
      </c>
      <c r="O2184" s="16">
        <v>0</v>
      </c>
      <c r="P2184" s="17">
        <v>0</v>
      </c>
      <c r="Q2184" s="17">
        <v>0</v>
      </c>
      <c r="R2184" s="13"/>
      <c r="S2184" s="13"/>
      <c r="T2184" s="13"/>
      <c r="U2184" s="13"/>
      <c r="V2184" s="13"/>
      <c r="W2184" s="13"/>
    </row>
    <row r="2185" spans="1:23" x14ac:dyDescent="0.2">
      <c r="A2185"/>
      <c r="B2185"/>
      <c r="C2185"/>
      <c r="D2185"/>
      <c r="E2185"/>
      <c r="F2185"/>
      <c r="G2185"/>
      <c r="H2185"/>
      <c r="I2185"/>
      <c r="J2185"/>
      <c r="K2185" s="13" t="s">
        <v>199</v>
      </c>
      <c r="L2185" s="13" t="s">
        <v>424</v>
      </c>
      <c r="M2185" s="13" t="s">
        <v>468</v>
      </c>
      <c r="N2185" s="15">
        <v>0</v>
      </c>
      <c r="O2185" s="16">
        <v>0</v>
      </c>
      <c r="P2185" s="17">
        <v>10.771249993310775</v>
      </c>
      <c r="Q2185" s="17">
        <v>0</v>
      </c>
      <c r="R2185" s="13"/>
      <c r="S2185" s="13"/>
      <c r="T2185" s="13"/>
      <c r="U2185" s="13"/>
      <c r="V2185" s="13"/>
      <c r="W2185" s="13"/>
    </row>
    <row r="2186" spans="1:23" x14ac:dyDescent="0.2">
      <c r="A2186"/>
      <c r="B2186"/>
      <c r="C2186"/>
      <c r="D2186"/>
      <c r="E2186"/>
      <c r="F2186"/>
      <c r="G2186"/>
      <c r="H2186"/>
      <c r="I2186"/>
      <c r="J2186"/>
      <c r="K2186" s="13" t="s">
        <v>199</v>
      </c>
      <c r="L2186" s="13" t="s">
        <v>484</v>
      </c>
      <c r="M2186" s="13" t="s">
        <v>529</v>
      </c>
      <c r="N2186" s="15">
        <v>0</v>
      </c>
      <c r="O2186" s="16">
        <v>29.647641045905793</v>
      </c>
      <c r="P2186" s="17">
        <v>0</v>
      </c>
      <c r="Q2186" s="17">
        <v>0</v>
      </c>
      <c r="R2186" s="13"/>
      <c r="S2186" s="13"/>
      <c r="T2186" s="13"/>
      <c r="U2186" s="13"/>
      <c r="V2186" s="13"/>
      <c r="W2186" s="13"/>
    </row>
    <row r="2187" spans="1:23" x14ac:dyDescent="0.2">
      <c r="A2187"/>
      <c r="B2187"/>
      <c r="C2187"/>
      <c r="D2187"/>
      <c r="E2187"/>
      <c r="F2187"/>
      <c r="G2187"/>
      <c r="H2187"/>
      <c r="I2187"/>
      <c r="J2187"/>
      <c r="K2187" s="13" t="s">
        <v>199</v>
      </c>
      <c r="L2187" s="13" t="s">
        <v>614</v>
      </c>
      <c r="M2187" s="13" t="s">
        <v>447</v>
      </c>
      <c r="N2187" s="15">
        <v>8</v>
      </c>
      <c r="O2187" s="16">
        <v>0</v>
      </c>
      <c r="P2187" s="17">
        <v>0</v>
      </c>
      <c r="Q2187" s="17">
        <v>0</v>
      </c>
      <c r="R2187" s="13"/>
      <c r="S2187" s="13"/>
      <c r="T2187" s="13"/>
      <c r="U2187" s="13"/>
      <c r="V2187" s="13"/>
      <c r="W2187" s="13"/>
    </row>
    <row r="2188" spans="1:23" x14ac:dyDescent="0.2">
      <c r="A2188"/>
      <c r="B2188"/>
      <c r="C2188"/>
      <c r="D2188"/>
      <c r="E2188"/>
      <c r="F2188"/>
      <c r="G2188"/>
      <c r="H2188"/>
      <c r="I2188"/>
      <c r="J2188"/>
      <c r="K2188" s="13" t="s">
        <v>199</v>
      </c>
      <c r="L2188" s="13" t="s">
        <v>469</v>
      </c>
      <c r="M2188" s="13" t="s">
        <v>426</v>
      </c>
      <c r="N2188" s="15">
        <v>4</v>
      </c>
      <c r="O2188" s="16">
        <v>0</v>
      </c>
      <c r="P2188" s="17">
        <v>0</v>
      </c>
      <c r="Q2188" s="17">
        <v>0</v>
      </c>
      <c r="R2188" s="13"/>
      <c r="S2188" s="13"/>
      <c r="T2188" s="13"/>
      <c r="U2188" s="13"/>
      <c r="V2188" s="13"/>
      <c r="W2188" s="13"/>
    </row>
    <row r="2189" spans="1:23" x14ac:dyDescent="0.2">
      <c r="A2189"/>
      <c r="B2189"/>
      <c r="C2189"/>
      <c r="D2189"/>
      <c r="E2189"/>
      <c r="F2189"/>
      <c r="G2189"/>
      <c r="H2189"/>
      <c r="I2189"/>
      <c r="J2189"/>
      <c r="K2189" s="13" t="s">
        <v>201</v>
      </c>
      <c r="L2189" s="13" t="s">
        <v>435</v>
      </c>
      <c r="M2189" s="13" t="s">
        <v>364</v>
      </c>
      <c r="N2189" s="15">
        <v>0</v>
      </c>
      <c r="O2189" s="16">
        <v>0</v>
      </c>
      <c r="P2189" s="17">
        <v>1.5502499999515713</v>
      </c>
      <c r="Q2189" s="17">
        <v>0</v>
      </c>
      <c r="R2189" s="13"/>
      <c r="S2189" s="13"/>
      <c r="T2189" s="13"/>
      <c r="U2189" s="13"/>
      <c r="V2189" s="13"/>
      <c r="W2189" s="13"/>
    </row>
    <row r="2190" spans="1:23" x14ac:dyDescent="0.2">
      <c r="A2190"/>
      <c r="B2190"/>
      <c r="C2190"/>
      <c r="D2190"/>
      <c r="E2190"/>
      <c r="F2190"/>
      <c r="G2190"/>
      <c r="H2190"/>
      <c r="I2190"/>
      <c r="J2190"/>
      <c r="K2190" s="13" t="s">
        <v>201</v>
      </c>
      <c r="L2190" s="13" t="s">
        <v>435</v>
      </c>
      <c r="M2190" s="13" t="s">
        <v>364</v>
      </c>
      <c r="N2190" s="15">
        <v>1</v>
      </c>
      <c r="O2190" s="16">
        <v>0</v>
      </c>
      <c r="P2190" s="17">
        <v>0</v>
      </c>
      <c r="Q2190" s="17">
        <v>0</v>
      </c>
      <c r="R2190" s="13"/>
      <c r="S2190" s="13"/>
      <c r="T2190" s="13"/>
      <c r="U2190" s="13"/>
      <c r="V2190" s="13"/>
      <c r="W2190" s="13"/>
    </row>
    <row r="2191" spans="1:23" x14ac:dyDescent="0.2">
      <c r="A2191"/>
      <c r="B2191"/>
      <c r="C2191"/>
      <c r="D2191"/>
      <c r="E2191"/>
      <c r="F2191"/>
      <c r="G2191"/>
      <c r="H2191"/>
      <c r="I2191"/>
      <c r="J2191"/>
      <c r="K2191" s="13" t="s">
        <v>201</v>
      </c>
      <c r="L2191" s="13" t="s">
        <v>387</v>
      </c>
      <c r="M2191" s="13" t="s">
        <v>386</v>
      </c>
      <c r="N2191" s="15">
        <v>0</v>
      </c>
      <c r="O2191" s="16">
        <v>0</v>
      </c>
      <c r="P2191" s="17">
        <v>2405.4399499784854</v>
      </c>
      <c r="Q2191" s="17">
        <v>0</v>
      </c>
      <c r="R2191" s="13"/>
      <c r="S2191" s="13"/>
      <c r="T2191" s="13"/>
      <c r="U2191" s="13"/>
      <c r="V2191" s="13"/>
      <c r="W2191" s="13"/>
    </row>
    <row r="2192" spans="1:23" x14ac:dyDescent="0.2">
      <c r="A2192"/>
      <c r="B2192"/>
      <c r="C2192"/>
      <c r="D2192"/>
      <c r="E2192"/>
      <c r="F2192"/>
      <c r="G2192"/>
      <c r="H2192"/>
      <c r="I2192"/>
      <c r="J2192"/>
      <c r="K2192" s="13" t="s">
        <v>201</v>
      </c>
      <c r="L2192" s="13" t="s">
        <v>389</v>
      </c>
      <c r="M2192" s="13" t="s">
        <v>388</v>
      </c>
      <c r="N2192" s="15">
        <v>0</v>
      </c>
      <c r="O2192" s="16">
        <v>0</v>
      </c>
      <c r="P2192" s="17">
        <v>2117.5758749476504</v>
      </c>
      <c r="Q2192" s="17">
        <v>0</v>
      </c>
      <c r="R2192" s="13"/>
      <c r="S2192" s="13"/>
      <c r="T2192" s="13"/>
      <c r="U2192" s="13"/>
      <c r="V2192" s="13"/>
      <c r="W2192" s="13"/>
    </row>
    <row r="2193" spans="1:23" x14ac:dyDescent="0.2">
      <c r="A2193"/>
      <c r="B2193"/>
      <c r="C2193"/>
      <c r="D2193"/>
      <c r="E2193"/>
      <c r="F2193"/>
      <c r="G2193"/>
      <c r="H2193"/>
      <c r="I2193"/>
      <c r="J2193"/>
      <c r="K2193" s="13" t="s">
        <v>201</v>
      </c>
      <c r="L2193" s="13" t="s">
        <v>391</v>
      </c>
      <c r="M2193" s="13" t="s">
        <v>358</v>
      </c>
      <c r="N2193" s="15">
        <v>0</v>
      </c>
      <c r="O2193" s="16">
        <v>0</v>
      </c>
      <c r="P2193" s="17">
        <v>37.241399990752249</v>
      </c>
      <c r="Q2193" s="17">
        <v>0</v>
      </c>
      <c r="R2193" s="13"/>
      <c r="S2193" s="13"/>
      <c r="T2193" s="13"/>
      <c r="U2193" s="13"/>
      <c r="V2193" s="13"/>
      <c r="W2193" s="13"/>
    </row>
    <row r="2194" spans="1:23" x14ac:dyDescent="0.2">
      <c r="A2194"/>
      <c r="B2194"/>
      <c r="C2194"/>
      <c r="D2194"/>
      <c r="E2194"/>
      <c r="F2194"/>
      <c r="G2194"/>
      <c r="H2194"/>
      <c r="I2194"/>
      <c r="J2194"/>
      <c r="K2194" s="13" t="s">
        <v>201</v>
      </c>
      <c r="L2194" s="13" t="s">
        <v>438</v>
      </c>
      <c r="M2194" s="13" t="s">
        <v>461</v>
      </c>
      <c r="N2194" s="15">
        <v>0</v>
      </c>
      <c r="O2194" s="16">
        <v>0</v>
      </c>
      <c r="P2194" s="17">
        <v>12.784199998025851</v>
      </c>
      <c r="Q2194" s="17">
        <v>0</v>
      </c>
      <c r="R2194" s="13"/>
      <c r="S2194" s="13"/>
      <c r="T2194" s="13"/>
      <c r="U2194" s="13"/>
      <c r="V2194" s="13"/>
      <c r="W2194" s="13"/>
    </row>
    <row r="2195" spans="1:23" x14ac:dyDescent="0.2">
      <c r="A2195"/>
      <c r="B2195"/>
      <c r="C2195"/>
      <c r="D2195"/>
      <c r="E2195"/>
      <c r="F2195"/>
      <c r="G2195"/>
      <c r="H2195"/>
      <c r="I2195"/>
      <c r="J2195"/>
      <c r="K2195" s="13" t="s">
        <v>201</v>
      </c>
      <c r="L2195" s="13" t="s">
        <v>486</v>
      </c>
      <c r="M2195" s="13" t="s">
        <v>439</v>
      </c>
      <c r="N2195" s="15">
        <v>0</v>
      </c>
      <c r="O2195" s="16">
        <v>0</v>
      </c>
      <c r="P2195" s="17">
        <v>6.3607999996243043</v>
      </c>
      <c r="Q2195" s="17">
        <v>0</v>
      </c>
      <c r="R2195" s="13"/>
      <c r="S2195" s="13"/>
      <c r="T2195" s="13"/>
      <c r="U2195" s="13"/>
      <c r="V2195" s="13"/>
      <c r="W2195" s="13"/>
    </row>
    <row r="2196" spans="1:23" x14ac:dyDescent="0.2">
      <c r="A2196"/>
      <c r="B2196"/>
      <c r="C2196"/>
      <c r="D2196"/>
      <c r="E2196"/>
      <c r="F2196"/>
      <c r="G2196"/>
      <c r="H2196"/>
      <c r="I2196"/>
      <c r="J2196"/>
      <c r="K2196" s="13" t="s">
        <v>201</v>
      </c>
      <c r="L2196" s="13" t="s">
        <v>515</v>
      </c>
      <c r="M2196" s="13" t="s">
        <v>527</v>
      </c>
      <c r="N2196" s="15">
        <v>0</v>
      </c>
      <c r="O2196" s="16">
        <v>0</v>
      </c>
      <c r="P2196" s="17">
        <v>929.63922215960611</v>
      </c>
      <c r="Q2196" s="17">
        <v>0</v>
      </c>
      <c r="R2196" s="13"/>
      <c r="S2196" s="13"/>
      <c r="T2196" s="13"/>
      <c r="U2196" s="13"/>
      <c r="V2196" s="13"/>
      <c r="W2196" s="13"/>
    </row>
    <row r="2197" spans="1:23" x14ac:dyDescent="0.2">
      <c r="A2197"/>
      <c r="B2197"/>
      <c r="C2197"/>
      <c r="D2197"/>
      <c r="E2197"/>
      <c r="F2197"/>
      <c r="G2197"/>
      <c r="H2197"/>
      <c r="I2197"/>
      <c r="J2197"/>
      <c r="K2197" s="13" t="s">
        <v>201</v>
      </c>
      <c r="L2197" s="13" t="s">
        <v>465</v>
      </c>
      <c r="M2197" s="13" t="s">
        <v>514</v>
      </c>
      <c r="N2197" s="15">
        <v>0</v>
      </c>
      <c r="O2197" s="16">
        <v>0</v>
      </c>
      <c r="P2197" s="17">
        <v>221.98429998541474</v>
      </c>
      <c r="Q2197" s="17">
        <v>0</v>
      </c>
      <c r="R2197" s="13"/>
      <c r="S2197" s="13"/>
      <c r="T2197" s="13"/>
      <c r="U2197" s="13"/>
      <c r="V2197" s="13"/>
      <c r="W2197" s="13"/>
    </row>
    <row r="2198" spans="1:23" x14ac:dyDescent="0.2">
      <c r="A2198"/>
      <c r="B2198"/>
      <c r="C2198"/>
      <c r="D2198"/>
      <c r="E2198"/>
      <c r="F2198"/>
      <c r="G2198"/>
      <c r="H2198"/>
      <c r="I2198"/>
      <c r="J2198"/>
      <c r="K2198" s="13" t="s">
        <v>201</v>
      </c>
      <c r="L2198" s="13" t="s">
        <v>512</v>
      </c>
      <c r="M2198" s="13" t="s">
        <v>466</v>
      </c>
      <c r="N2198" s="15">
        <v>0</v>
      </c>
      <c r="O2198" s="16">
        <v>0</v>
      </c>
      <c r="P2198" s="17">
        <v>107.38311432385468</v>
      </c>
      <c r="Q2198" s="17">
        <v>0</v>
      </c>
      <c r="R2198" s="13"/>
      <c r="S2198" s="13"/>
      <c r="T2198" s="13"/>
      <c r="U2198" s="13"/>
      <c r="V2198" s="13"/>
      <c r="W2198" s="13"/>
    </row>
    <row r="2199" spans="1:23" x14ac:dyDescent="0.2">
      <c r="A2199"/>
      <c r="B2199"/>
      <c r="C2199"/>
      <c r="D2199"/>
      <c r="E2199"/>
      <c r="F2199"/>
      <c r="G2199"/>
      <c r="H2199"/>
      <c r="I2199"/>
      <c r="J2199"/>
      <c r="K2199" s="13" t="s">
        <v>201</v>
      </c>
      <c r="L2199" s="13" t="s">
        <v>513</v>
      </c>
      <c r="M2199" s="13" t="s">
        <v>533</v>
      </c>
      <c r="N2199" s="15">
        <v>0</v>
      </c>
      <c r="O2199" s="16">
        <v>0</v>
      </c>
      <c r="P2199" s="17">
        <v>105.60444999717939</v>
      </c>
      <c r="Q2199" s="17">
        <v>0</v>
      </c>
      <c r="R2199" s="13"/>
      <c r="S2199" s="13"/>
      <c r="T2199" s="13"/>
      <c r="U2199" s="13"/>
      <c r="V2199" s="13"/>
      <c r="W2199" s="13"/>
    </row>
    <row r="2200" spans="1:23" x14ac:dyDescent="0.2">
      <c r="A2200"/>
      <c r="B2200"/>
      <c r="C2200"/>
      <c r="D2200"/>
      <c r="E2200"/>
      <c r="F2200"/>
      <c r="G2200"/>
      <c r="H2200"/>
      <c r="I2200"/>
      <c r="J2200"/>
      <c r="K2200" s="13" t="s">
        <v>201</v>
      </c>
      <c r="L2200" s="13" t="s">
        <v>394</v>
      </c>
      <c r="M2200" s="13" t="s">
        <v>359</v>
      </c>
      <c r="N2200" s="15">
        <v>0</v>
      </c>
      <c r="O2200" s="16">
        <v>0</v>
      </c>
      <c r="P2200" s="17">
        <v>12.773500008166071</v>
      </c>
      <c r="Q2200" s="17">
        <v>0</v>
      </c>
      <c r="R2200" s="13"/>
      <c r="S2200" s="13"/>
      <c r="T2200" s="13"/>
      <c r="U2200" s="13"/>
      <c r="V2200" s="13"/>
      <c r="W2200" s="13"/>
    </row>
    <row r="2201" spans="1:23" x14ac:dyDescent="0.2">
      <c r="A2201"/>
      <c r="B2201"/>
      <c r="C2201"/>
      <c r="D2201"/>
      <c r="E2201"/>
      <c r="F2201"/>
      <c r="G2201"/>
      <c r="H2201"/>
      <c r="I2201"/>
      <c r="J2201"/>
      <c r="K2201" s="13" t="s">
        <v>201</v>
      </c>
      <c r="L2201" s="13" t="s">
        <v>395</v>
      </c>
      <c r="M2201" s="13" t="s">
        <v>602</v>
      </c>
      <c r="N2201" s="15">
        <v>3</v>
      </c>
      <c r="O2201" s="16">
        <v>0</v>
      </c>
      <c r="P2201" s="17">
        <v>0</v>
      </c>
      <c r="Q2201" s="17">
        <v>0</v>
      </c>
      <c r="R2201" s="13"/>
      <c r="S2201" s="13"/>
      <c r="T2201" s="13"/>
      <c r="U2201" s="13"/>
      <c r="V2201" s="13"/>
      <c r="W2201" s="13"/>
    </row>
    <row r="2202" spans="1:23" x14ac:dyDescent="0.2">
      <c r="A2202"/>
      <c r="B2202"/>
      <c r="C2202"/>
      <c r="D2202"/>
      <c r="E2202"/>
      <c r="F2202"/>
      <c r="G2202"/>
      <c r="H2202"/>
      <c r="I2202"/>
      <c r="J2202"/>
      <c r="K2202" s="13" t="s">
        <v>201</v>
      </c>
      <c r="L2202" s="13" t="s">
        <v>396</v>
      </c>
      <c r="M2202" s="13" t="s">
        <v>604</v>
      </c>
      <c r="N2202" s="15">
        <v>0</v>
      </c>
      <c r="O2202" s="16">
        <v>52.929716018442377</v>
      </c>
      <c r="P2202" s="17">
        <v>0</v>
      </c>
      <c r="Q2202" s="17">
        <v>26.464858009221189</v>
      </c>
      <c r="R2202" s="13"/>
      <c r="S2202" s="13"/>
      <c r="T2202" s="13"/>
      <c r="U2202" s="13"/>
      <c r="V2202" s="13"/>
      <c r="W2202" s="13"/>
    </row>
    <row r="2203" spans="1:23" x14ac:dyDescent="0.2">
      <c r="A2203"/>
      <c r="B2203"/>
      <c r="C2203"/>
      <c r="D2203"/>
      <c r="E2203"/>
      <c r="F2203"/>
      <c r="G2203"/>
      <c r="H2203"/>
      <c r="I2203"/>
      <c r="J2203"/>
      <c r="K2203" s="13" t="s">
        <v>201</v>
      </c>
      <c r="L2203" s="13" t="s">
        <v>397</v>
      </c>
      <c r="M2203" s="13" t="s">
        <v>398</v>
      </c>
      <c r="N2203" s="15">
        <v>0</v>
      </c>
      <c r="O2203" s="16">
        <v>0</v>
      </c>
      <c r="P2203" s="17">
        <v>1.9188999998058658</v>
      </c>
      <c r="Q2203" s="17">
        <v>0</v>
      </c>
      <c r="R2203" s="13"/>
      <c r="S2203" s="13"/>
      <c r="T2203" s="13"/>
      <c r="U2203" s="13"/>
      <c r="V2203" s="13"/>
      <c r="W2203" s="13"/>
    </row>
    <row r="2204" spans="1:23" x14ac:dyDescent="0.2">
      <c r="A2204"/>
      <c r="B2204"/>
      <c r="C2204"/>
      <c r="D2204"/>
      <c r="E2204"/>
      <c r="F2204"/>
      <c r="G2204"/>
      <c r="H2204"/>
      <c r="I2204"/>
      <c r="J2204"/>
      <c r="K2204" s="13" t="s">
        <v>201</v>
      </c>
      <c r="L2204" s="13" t="s">
        <v>399</v>
      </c>
      <c r="M2204" s="13" t="s">
        <v>400</v>
      </c>
      <c r="N2204" s="15">
        <v>0</v>
      </c>
      <c r="O2204" s="16">
        <v>0</v>
      </c>
      <c r="P2204" s="17">
        <v>202.14035000598204</v>
      </c>
      <c r="Q2204" s="17">
        <v>0</v>
      </c>
      <c r="R2204" s="13"/>
      <c r="S2204" s="13"/>
      <c r="T2204" s="13"/>
      <c r="U2204" s="13"/>
      <c r="V2204" s="13"/>
      <c r="W2204" s="13"/>
    </row>
    <row r="2205" spans="1:23" x14ac:dyDescent="0.2">
      <c r="A2205"/>
      <c r="B2205"/>
      <c r="C2205"/>
      <c r="D2205"/>
      <c r="E2205"/>
      <c r="F2205"/>
      <c r="G2205"/>
      <c r="H2205"/>
      <c r="I2205"/>
      <c r="J2205"/>
      <c r="K2205" s="13" t="s">
        <v>201</v>
      </c>
      <c r="L2205" s="13" t="s">
        <v>401</v>
      </c>
      <c r="M2205" s="13" t="s">
        <v>360</v>
      </c>
      <c r="N2205" s="15">
        <v>0</v>
      </c>
      <c r="O2205" s="16">
        <v>0</v>
      </c>
      <c r="P2205" s="17">
        <v>21.489199997006637</v>
      </c>
      <c r="Q2205" s="17">
        <v>0</v>
      </c>
      <c r="R2205" s="13"/>
      <c r="S2205" s="13"/>
      <c r="T2205" s="13"/>
      <c r="U2205" s="13"/>
      <c r="V2205" s="13"/>
      <c r="W2205" s="13"/>
    </row>
    <row r="2206" spans="1:23" x14ac:dyDescent="0.2">
      <c r="A2206"/>
      <c r="B2206"/>
      <c r="C2206"/>
      <c r="D2206"/>
      <c r="E2206"/>
      <c r="F2206"/>
      <c r="G2206"/>
      <c r="H2206"/>
      <c r="I2206"/>
      <c r="J2206"/>
      <c r="K2206" s="13" t="s">
        <v>201</v>
      </c>
      <c r="L2206" s="13" t="s">
        <v>511</v>
      </c>
      <c r="M2206" s="13" t="s">
        <v>377</v>
      </c>
      <c r="N2206" s="15">
        <v>0</v>
      </c>
      <c r="O2206" s="16">
        <v>0</v>
      </c>
      <c r="P2206" s="17">
        <v>13.247849999402861</v>
      </c>
      <c r="Q2206" s="17">
        <v>0</v>
      </c>
      <c r="R2206" s="13"/>
      <c r="S2206" s="13"/>
      <c r="T2206" s="13"/>
      <c r="U2206" s="13"/>
      <c r="V2206" s="13"/>
      <c r="W2206" s="13"/>
    </row>
    <row r="2207" spans="1:23" x14ac:dyDescent="0.2">
      <c r="A2207"/>
      <c r="B2207"/>
      <c r="C2207"/>
      <c r="D2207"/>
      <c r="E2207"/>
      <c r="F2207"/>
      <c r="G2207"/>
      <c r="H2207"/>
      <c r="I2207"/>
      <c r="J2207"/>
      <c r="K2207" s="13" t="s">
        <v>201</v>
      </c>
      <c r="L2207" s="13" t="s">
        <v>402</v>
      </c>
      <c r="M2207" s="13" t="s">
        <v>403</v>
      </c>
      <c r="N2207" s="15">
        <v>0</v>
      </c>
      <c r="O2207" s="16">
        <v>0</v>
      </c>
      <c r="P2207" s="17">
        <v>1821.2927999955275</v>
      </c>
      <c r="Q2207" s="17">
        <v>0</v>
      </c>
      <c r="R2207" s="13"/>
      <c r="S2207" s="13"/>
      <c r="T2207" s="13"/>
      <c r="U2207" s="13"/>
      <c r="V2207" s="13"/>
      <c r="W2207" s="13"/>
    </row>
    <row r="2208" spans="1:23" x14ac:dyDescent="0.2">
      <c r="A2208"/>
      <c r="B2208"/>
      <c r="C2208"/>
      <c r="D2208"/>
      <c r="E2208"/>
      <c r="F2208"/>
      <c r="G2208"/>
      <c r="H2208"/>
      <c r="I2208"/>
      <c r="J2208"/>
      <c r="K2208" s="13" t="s">
        <v>201</v>
      </c>
      <c r="L2208" s="13" t="s">
        <v>404</v>
      </c>
      <c r="M2208" s="13" t="s">
        <v>405</v>
      </c>
      <c r="N2208" s="15">
        <v>0</v>
      </c>
      <c r="O2208" s="16">
        <v>0</v>
      </c>
      <c r="P2208" s="17">
        <v>121.52160000825859</v>
      </c>
      <c r="Q2208" s="17">
        <v>822.80917726682583</v>
      </c>
      <c r="R2208" s="13"/>
      <c r="S2208" s="13"/>
      <c r="T2208" s="13"/>
      <c r="U2208" s="13"/>
      <c r="V2208" s="13"/>
      <c r="W2208" s="13"/>
    </row>
    <row r="2209" spans="1:23" x14ac:dyDescent="0.2">
      <c r="A2209"/>
      <c r="B2209"/>
      <c r="C2209"/>
      <c r="D2209"/>
      <c r="E2209"/>
      <c r="F2209"/>
      <c r="G2209"/>
      <c r="H2209"/>
      <c r="I2209"/>
      <c r="J2209"/>
      <c r="K2209" s="13" t="s">
        <v>201</v>
      </c>
      <c r="L2209" s="13" t="s">
        <v>406</v>
      </c>
      <c r="M2209" s="13" t="s">
        <v>361</v>
      </c>
      <c r="N2209" s="15">
        <v>0</v>
      </c>
      <c r="O2209" s="16">
        <v>0</v>
      </c>
      <c r="P2209" s="17">
        <v>28.040199998023056</v>
      </c>
      <c r="Q2209" s="17">
        <v>28.040199998023056</v>
      </c>
      <c r="R2209" s="13"/>
      <c r="S2209" s="13"/>
      <c r="T2209" s="13"/>
      <c r="U2209" s="13"/>
      <c r="V2209" s="13"/>
      <c r="W2209" s="13"/>
    </row>
    <row r="2210" spans="1:23" x14ac:dyDescent="0.2">
      <c r="A2210"/>
      <c r="B2210"/>
      <c r="C2210"/>
      <c r="D2210"/>
      <c r="E2210"/>
      <c r="F2210"/>
      <c r="G2210"/>
      <c r="H2210"/>
      <c r="I2210"/>
      <c r="J2210"/>
      <c r="K2210" s="13" t="s">
        <v>201</v>
      </c>
      <c r="L2210" s="13" t="s">
        <v>381</v>
      </c>
      <c r="M2210" s="13" t="s">
        <v>382</v>
      </c>
      <c r="N2210" s="15">
        <v>45</v>
      </c>
      <c r="O2210" s="16">
        <v>0</v>
      </c>
      <c r="P2210" s="17">
        <v>0</v>
      </c>
      <c r="Q2210" s="17">
        <v>0</v>
      </c>
      <c r="R2210" s="13"/>
      <c r="S2210" s="13"/>
      <c r="T2210" s="13"/>
      <c r="U2210" s="13"/>
      <c r="V2210" s="13"/>
      <c r="W2210" s="13"/>
    </row>
    <row r="2211" spans="1:23" x14ac:dyDescent="0.2">
      <c r="A2211"/>
      <c r="B2211"/>
      <c r="C2211"/>
      <c r="D2211"/>
      <c r="E2211"/>
      <c r="F2211"/>
      <c r="G2211"/>
      <c r="H2211"/>
      <c r="I2211"/>
      <c r="J2211"/>
      <c r="K2211" s="13" t="s">
        <v>201</v>
      </c>
      <c r="L2211" s="13" t="s">
        <v>452</v>
      </c>
      <c r="M2211" s="13" t="s">
        <v>453</v>
      </c>
      <c r="N2211" s="15">
        <v>8</v>
      </c>
      <c r="O2211" s="16">
        <v>0</v>
      </c>
      <c r="P2211" s="17">
        <v>0</v>
      </c>
      <c r="Q2211" s="17">
        <v>0</v>
      </c>
      <c r="R2211" s="13"/>
      <c r="S2211" s="13"/>
      <c r="T2211" s="13"/>
      <c r="U2211" s="13"/>
      <c r="V2211" s="13"/>
      <c r="W2211" s="13"/>
    </row>
    <row r="2212" spans="1:23" x14ac:dyDescent="0.2">
      <c r="A2212"/>
      <c r="B2212"/>
      <c r="C2212"/>
      <c r="D2212"/>
      <c r="E2212"/>
      <c r="F2212"/>
      <c r="G2212"/>
      <c r="H2212"/>
      <c r="I2212"/>
      <c r="J2212"/>
      <c r="K2212" s="13" t="s">
        <v>201</v>
      </c>
      <c r="L2212" s="13" t="s">
        <v>411</v>
      </c>
      <c r="M2212" s="13" t="s">
        <v>362</v>
      </c>
      <c r="N2212" s="15">
        <v>0</v>
      </c>
      <c r="O2212" s="16">
        <v>316.30584290635198</v>
      </c>
      <c r="P2212" s="17">
        <v>0</v>
      </c>
      <c r="Q2212" s="17">
        <v>0</v>
      </c>
      <c r="R2212" s="13"/>
      <c r="S2212" s="13"/>
      <c r="T2212" s="13"/>
      <c r="U2212" s="13"/>
      <c r="V2212" s="13"/>
      <c r="W2212" s="13"/>
    </row>
    <row r="2213" spans="1:23" x14ac:dyDescent="0.2">
      <c r="A2213"/>
      <c r="B2213"/>
      <c r="C2213"/>
      <c r="D2213"/>
      <c r="E2213"/>
      <c r="F2213"/>
      <c r="G2213"/>
      <c r="H2213"/>
      <c r="I2213"/>
      <c r="J2213"/>
      <c r="K2213" s="13" t="s">
        <v>201</v>
      </c>
      <c r="L2213" s="13" t="s">
        <v>411</v>
      </c>
      <c r="M2213" s="13" t="s">
        <v>362</v>
      </c>
      <c r="N2213" s="15">
        <v>5</v>
      </c>
      <c r="O2213" s="16">
        <v>0</v>
      </c>
      <c r="P2213" s="17">
        <v>0</v>
      </c>
      <c r="Q2213" s="17">
        <v>0</v>
      </c>
      <c r="R2213" s="13"/>
      <c r="S2213" s="13"/>
      <c r="T2213" s="13"/>
      <c r="U2213" s="13"/>
      <c r="V2213" s="13"/>
      <c r="W2213" s="13"/>
    </row>
    <row r="2214" spans="1:23" x14ac:dyDescent="0.2">
      <c r="A2214"/>
      <c r="B2214"/>
      <c r="C2214"/>
      <c r="D2214"/>
      <c r="E2214"/>
      <c r="F2214"/>
      <c r="G2214"/>
      <c r="H2214"/>
      <c r="I2214"/>
      <c r="J2214"/>
      <c r="K2214" s="13" t="s">
        <v>201</v>
      </c>
      <c r="L2214" s="13" t="s">
        <v>413</v>
      </c>
      <c r="M2214" s="13" t="s">
        <v>428</v>
      </c>
      <c r="N2214" s="15">
        <v>1</v>
      </c>
      <c r="O2214" s="16">
        <v>0</v>
      </c>
      <c r="P2214" s="17">
        <v>0</v>
      </c>
      <c r="Q2214" s="17">
        <v>0</v>
      </c>
      <c r="R2214" s="13"/>
      <c r="S2214" s="13"/>
      <c r="T2214" s="13"/>
      <c r="U2214" s="13"/>
      <c r="V2214" s="13"/>
      <c r="W2214" s="13"/>
    </row>
    <row r="2215" spans="1:23" x14ac:dyDescent="0.2">
      <c r="A2215"/>
      <c r="B2215"/>
      <c r="C2215"/>
      <c r="D2215"/>
      <c r="E2215"/>
      <c r="F2215"/>
      <c r="G2215"/>
      <c r="H2215"/>
      <c r="I2215"/>
      <c r="J2215"/>
      <c r="K2215" s="13" t="s">
        <v>201</v>
      </c>
      <c r="L2215" s="13" t="s">
        <v>475</v>
      </c>
      <c r="M2215" s="13" t="s">
        <v>470</v>
      </c>
      <c r="N2215" s="15">
        <v>1</v>
      </c>
      <c r="O2215" s="16">
        <v>0</v>
      </c>
      <c r="P2215" s="17">
        <v>0</v>
      </c>
      <c r="Q2215" s="17">
        <v>0</v>
      </c>
      <c r="R2215" s="13"/>
      <c r="S2215" s="13"/>
      <c r="T2215" s="13"/>
      <c r="U2215" s="13"/>
      <c r="V2215" s="13"/>
      <c r="W2215" s="13"/>
    </row>
    <row r="2216" spans="1:23" x14ac:dyDescent="0.2">
      <c r="A2216"/>
      <c r="B2216"/>
      <c r="C2216"/>
      <c r="D2216"/>
      <c r="E2216"/>
      <c r="F2216"/>
      <c r="G2216"/>
      <c r="H2216"/>
      <c r="I2216"/>
      <c r="J2216"/>
      <c r="K2216" s="13" t="s">
        <v>201</v>
      </c>
      <c r="L2216" s="13" t="s">
        <v>605</v>
      </c>
      <c r="M2216" s="13" t="s">
        <v>429</v>
      </c>
      <c r="N2216" s="15">
        <v>0</v>
      </c>
      <c r="O2216" s="16">
        <v>69.140006303474351</v>
      </c>
      <c r="P2216" s="17">
        <v>0</v>
      </c>
      <c r="Q2216" s="17">
        <v>0</v>
      </c>
      <c r="R2216" s="13"/>
      <c r="S2216" s="13"/>
      <c r="T2216" s="13"/>
      <c r="U2216" s="13"/>
      <c r="V2216" s="13"/>
      <c r="W2216" s="13"/>
    </row>
    <row r="2217" spans="1:23" x14ac:dyDescent="0.2">
      <c r="A2217"/>
      <c r="B2217"/>
      <c r="C2217"/>
      <c r="D2217"/>
      <c r="E2217"/>
      <c r="F2217"/>
      <c r="G2217"/>
      <c r="H2217"/>
      <c r="I2217"/>
      <c r="J2217"/>
      <c r="K2217" s="13" t="s">
        <v>201</v>
      </c>
      <c r="L2217" s="13" t="s">
        <v>606</v>
      </c>
      <c r="M2217" s="13" t="s">
        <v>430</v>
      </c>
      <c r="N2217" s="15">
        <v>6</v>
      </c>
      <c r="O2217" s="16">
        <v>0</v>
      </c>
      <c r="P2217" s="17">
        <v>0</v>
      </c>
      <c r="Q2217" s="17">
        <v>0</v>
      </c>
      <c r="R2217" s="13"/>
      <c r="S2217" s="13"/>
      <c r="T2217" s="13"/>
      <c r="U2217" s="13"/>
      <c r="V2217" s="13"/>
      <c r="W2217" s="13"/>
    </row>
    <row r="2218" spans="1:23" x14ac:dyDescent="0.2">
      <c r="A2218"/>
      <c r="B2218"/>
      <c r="C2218"/>
      <c r="D2218"/>
      <c r="E2218"/>
      <c r="F2218"/>
      <c r="G2218"/>
      <c r="H2218"/>
      <c r="I2218"/>
      <c r="J2218"/>
      <c r="K2218" s="13" t="s">
        <v>201</v>
      </c>
      <c r="L2218" s="13" t="s">
        <v>623</v>
      </c>
      <c r="M2218" s="13" t="s">
        <v>530</v>
      </c>
      <c r="N2218" s="15">
        <v>0</v>
      </c>
      <c r="O2218" s="16">
        <v>484.74242575127977</v>
      </c>
      <c r="P2218" s="17">
        <v>0</v>
      </c>
      <c r="Q2218" s="17">
        <v>0</v>
      </c>
      <c r="R2218" s="13"/>
      <c r="S2218" s="13"/>
      <c r="T2218" s="13"/>
      <c r="U2218" s="13"/>
      <c r="V2218" s="13"/>
      <c r="W2218" s="13"/>
    </row>
    <row r="2219" spans="1:23" x14ac:dyDescent="0.2">
      <c r="A2219"/>
      <c r="B2219"/>
      <c r="C2219"/>
      <c r="D2219"/>
      <c r="E2219"/>
      <c r="F2219"/>
      <c r="G2219"/>
      <c r="H2219"/>
      <c r="I2219"/>
      <c r="J2219"/>
      <c r="K2219" s="13" t="s">
        <v>201</v>
      </c>
      <c r="L2219" s="13" t="s">
        <v>624</v>
      </c>
      <c r="M2219" s="13" t="s">
        <v>531</v>
      </c>
      <c r="N2219" s="15">
        <v>3</v>
      </c>
      <c r="O2219" s="16">
        <v>0</v>
      </c>
      <c r="P2219" s="17">
        <v>0</v>
      </c>
      <c r="Q2219" s="17">
        <v>0</v>
      </c>
      <c r="R2219" s="13"/>
      <c r="S2219" s="13"/>
      <c r="T2219" s="13"/>
      <c r="U2219" s="13"/>
      <c r="V2219" s="13"/>
      <c r="W2219" s="13"/>
    </row>
    <row r="2220" spans="1:23" x14ac:dyDescent="0.2">
      <c r="A2220"/>
      <c r="B2220"/>
      <c r="C2220"/>
      <c r="D2220"/>
      <c r="E2220"/>
      <c r="F2220"/>
      <c r="G2220"/>
      <c r="H2220"/>
      <c r="I2220"/>
      <c r="J2220"/>
      <c r="K2220" s="13" t="s">
        <v>201</v>
      </c>
      <c r="L2220" s="13" t="s">
        <v>615</v>
      </c>
      <c r="M2220" s="13" t="s">
        <v>449</v>
      </c>
      <c r="N2220" s="15">
        <v>1</v>
      </c>
      <c r="O2220" s="16">
        <v>0</v>
      </c>
      <c r="P2220" s="17">
        <v>0</v>
      </c>
      <c r="Q2220" s="17">
        <v>0</v>
      </c>
      <c r="R2220" s="13"/>
      <c r="S2220" s="13"/>
      <c r="T2220" s="13"/>
      <c r="U2220" s="13"/>
      <c r="V2220" s="13"/>
      <c r="W2220" s="13"/>
    </row>
    <row r="2221" spans="1:23" x14ac:dyDescent="0.2">
      <c r="A2221"/>
      <c r="B2221"/>
      <c r="C2221"/>
      <c r="D2221"/>
      <c r="E2221"/>
      <c r="F2221"/>
      <c r="G2221"/>
      <c r="H2221"/>
      <c r="I2221"/>
      <c r="J2221"/>
      <c r="K2221" s="13" t="s">
        <v>201</v>
      </c>
      <c r="L2221" s="13" t="s">
        <v>415</v>
      </c>
      <c r="M2221" s="13" t="s">
        <v>412</v>
      </c>
      <c r="N2221" s="15">
        <v>0</v>
      </c>
      <c r="O2221" s="16">
        <v>0</v>
      </c>
      <c r="P2221" s="17">
        <v>265.61537786958485</v>
      </c>
      <c r="Q2221" s="17">
        <v>0</v>
      </c>
      <c r="R2221" s="13"/>
      <c r="S2221" s="13"/>
      <c r="T2221" s="13"/>
      <c r="U2221" s="13"/>
      <c r="V2221" s="13"/>
      <c r="W2221" s="13"/>
    </row>
    <row r="2222" spans="1:23" x14ac:dyDescent="0.2">
      <c r="A2222"/>
      <c r="B2222"/>
      <c r="C2222"/>
      <c r="D2222"/>
      <c r="E2222"/>
      <c r="F2222"/>
      <c r="G2222"/>
      <c r="H2222"/>
      <c r="I2222"/>
      <c r="J2222"/>
      <c r="K2222" s="13" t="s">
        <v>201</v>
      </c>
      <c r="L2222" s="13" t="s">
        <v>523</v>
      </c>
      <c r="M2222" s="13" t="s">
        <v>476</v>
      </c>
      <c r="N2222" s="15">
        <v>0</v>
      </c>
      <c r="O2222" s="16">
        <v>0</v>
      </c>
      <c r="P2222" s="17">
        <v>1.5784999988970811</v>
      </c>
      <c r="Q2222" s="17">
        <v>0</v>
      </c>
      <c r="R2222" s="13"/>
      <c r="S2222" s="13"/>
      <c r="T2222" s="13"/>
      <c r="U2222" s="13"/>
      <c r="V2222" s="13"/>
      <c r="W2222" s="13"/>
    </row>
    <row r="2223" spans="1:23" x14ac:dyDescent="0.2">
      <c r="A2223"/>
      <c r="B2223"/>
      <c r="C2223"/>
      <c r="D2223"/>
      <c r="E2223"/>
      <c r="F2223"/>
      <c r="G2223"/>
      <c r="H2223"/>
      <c r="I2223"/>
      <c r="J2223"/>
      <c r="K2223" s="13" t="s">
        <v>201</v>
      </c>
      <c r="L2223" s="13" t="s">
        <v>609</v>
      </c>
      <c r="M2223" s="13" t="s">
        <v>416</v>
      </c>
      <c r="N2223" s="15">
        <v>0</v>
      </c>
      <c r="O2223" s="16">
        <v>486.37400048355971</v>
      </c>
      <c r="P2223" s="17">
        <v>0</v>
      </c>
      <c r="Q2223" s="17">
        <v>0</v>
      </c>
      <c r="R2223" s="13"/>
      <c r="S2223" s="13"/>
      <c r="T2223" s="13"/>
      <c r="U2223" s="13"/>
      <c r="V2223" s="13"/>
      <c r="W2223" s="13"/>
    </row>
    <row r="2224" spans="1:23" x14ac:dyDescent="0.2">
      <c r="A2224"/>
      <c r="B2224"/>
      <c r="C2224"/>
      <c r="D2224"/>
      <c r="E2224"/>
      <c r="F2224"/>
      <c r="G2224"/>
      <c r="H2224"/>
      <c r="I2224"/>
      <c r="J2224"/>
      <c r="K2224" s="13" t="s">
        <v>201</v>
      </c>
      <c r="L2224" s="13" t="s">
        <v>421</v>
      </c>
      <c r="M2224" s="13" t="s">
        <v>443</v>
      </c>
      <c r="N2224" s="15">
        <v>1</v>
      </c>
      <c r="O2224" s="16">
        <v>0</v>
      </c>
      <c r="P2224" s="17">
        <v>0</v>
      </c>
      <c r="Q2224" s="17">
        <v>0</v>
      </c>
      <c r="R2224" s="13"/>
      <c r="S2224" s="13"/>
      <c r="T2224" s="13"/>
      <c r="U2224" s="13"/>
      <c r="V2224" s="13"/>
      <c r="W2224" s="13"/>
    </row>
    <row r="2225" spans="1:23" x14ac:dyDescent="0.2">
      <c r="A2225"/>
      <c r="B2225"/>
      <c r="C2225"/>
      <c r="D2225"/>
      <c r="E2225"/>
      <c r="F2225"/>
      <c r="G2225"/>
      <c r="H2225"/>
      <c r="I2225"/>
      <c r="J2225"/>
      <c r="K2225" s="13" t="s">
        <v>201</v>
      </c>
      <c r="L2225" s="13" t="s">
        <v>383</v>
      </c>
      <c r="M2225" s="13" t="s">
        <v>420</v>
      </c>
      <c r="N2225" s="15">
        <v>7</v>
      </c>
      <c r="O2225" s="16">
        <v>0</v>
      </c>
      <c r="P2225" s="17">
        <v>0</v>
      </c>
      <c r="Q2225" s="17">
        <v>0</v>
      </c>
      <c r="R2225" s="13"/>
      <c r="S2225" s="13"/>
      <c r="T2225" s="13"/>
      <c r="U2225" s="13"/>
      <c r="V2225" s="13"/>
      <c r="W2225" s="13"/>
    </row>
    <row r="2226" spans="1:23" x14ac:dyDescent="0.2">
      <c r="A2226"/>
      <c r="B2226"/>
      <c r="C2226"/>
      <c r="D2226"/>
      <c r="E2226"/>
      <c r="F2226"/>
      <c r="G2226"/>
      <c r="H2226"/>
      <c r="I2226"/>
      <c r="J2226"/>
      <c r="K2226" s="13" t="s">
        <v>201</v>
      </c>
      <c r="L2226" s="13" t="s">
        <v>467</v>
      </c>
      <c r="M2226" s="13" t="s">
        <v>422</v>
      </c>
      <c r="N2226" s="15">
        <v>0</v>
      </c>
      <c r="O2226" s="16">
        <v>4.2011785137461528</v>
      </c>
      <c r="P2226" s="17">
        <v>0</v>
      </c>
      <c r="Q2226" s="17">
        <v>0</v>
      </c>
      <c r="R2226" s="13"/>
      <c r="S2226" s="13"/>
      <c r="T2226" s="13"/>
      <c r="U2226" s="13"/>
      <c r="V2226" s="13"/>
      <c r="W2226" s="13"/>
    </row>
    <row r="2227" spans="1:23" x14ac:dyDescent="0.2">
      <c r="A2227"/>
      <c r="B2227"/>
      <c r="C2227"/>
      <c r="D2227"/>
      <c r="E2227"/>
      <c r="F2227"/>
      <c r="G2227"/>
      <c r="H2227"/>
      <c r="I2227"/>
      <c r="J2227"/>
      <c r="K2227" s="13" t="s">
        <v>201</v>
      </c>
      <c r="L2227" s="13" t="s">
        <v>528</v>
      </c>
      <c r="M2227" s="13" t="s">
        <v>384</v>
      </c>
      <c r="N2227" s="15">
        <v>0</v>
      </c>
      <c r="O2227" s="16">
        <v>193.41272878164702</v>
      </c>
      <c r="P2227" s="17">
        <v>0</v>
      </c>
      <c r="Q2227" s="17">
        <v>0</v>
      </c>
      <c r="R2227" s="13"/>
      <c r="S2227" s="13"/>
      <c r="T2227" s="13"/>
      <c r="U2227" s="13"/>
      <c r="V2227" s="13"/>
      <c r="W2227" s="13"/>
    </row>
    <row r="2228" spans="1:23" x14ac:dyDescent="0.2">
      <c r="A2228"/>
      <c r="B2228"/>
      <c r="C2228"/>
      <c r="D2228"/>
      <c r="E2228"/>
      <c r="F2228"/>
      <c r="G2228"/>
      <c r="H2228"/>
      <c r="I2228"/>
      <c r="J2228"/>
      <c r="K2228" s="13" t="s">
        <v>201</v>
      </c>
      <c r="L2228" s="13" t="s">
        <v>613</v>
      </c>
      <c r="M2228" s="13" t="s">
        <v>444</v>
      </c>
      <c r="N2228" s="15">
        <v>0</v>
      </c>
      <c r="O2228" s="16">
        <v>29.718445071286691</v>
      </c>
      <c r="P2228" s="17">
        <v>0</v>
      </c>
      <c r="Q2228" s="17">
        <v>0</v>
      </c>
      <c r="R2228" s="13"/>
      <c r="S2228" s="13"/>
      <c r="T2228" s="13"/>
      <c r="U2228" s="13"/>
      <c r="V2228" s="13"/>
      <c r="W2228" s="13"/>
    </row>
    <row r="2229" spans="1:23" x14ac:dyDescent="0.2">
      <c r="A2229"/>
      <c r="B2229"/>
      <c r="C2229"/>
      <c r="D2229"/>
      <c r="E2229"/>
      <c r="F2229"/>
      <c r="G2229"/>
      <c r="H2229"/>
      <c r="I2229"/>
      <c r="J2229"/>
      <c r="K2229" s="13" t="s">
        <v>201</v>
      </c>
      <c r="L2229" s="13" t="s">
        <v>611</v>
      </c>
      <c r="M2229" s="13" t="s">
        <v>423</v>
      </c>
      <c r="N2229" s="15">
        <v>0</v>
      </c>
      <c r="O2229" s="16">
        <v>53.052032532976895</v>
      </c>
      <c r="P2229" s="17">
        <v>0</v>
      </c>
      <c r="Q2229" s="17">
        <v>0</v>
      </c>
      <c r="R2229" s="13"/>
      <c r="S2229" s="13"/>
      <c r="T2229" s="13"/>
      <c r="U2229" s="13"/>
      <c r="V2229" s="13"/>
      <c r="W2229" s="13"/>
    </row>
    <row r="2230" spans="1:23" x14ac:dyDescent="0.2">
      <c r="A2230"/>
      <c r="B2230"/>
      <c r="C2230"/>
      <c r="D2230"/>
      <c r="E2230"/>
      <c r="F2230"/>
      <c r="G2230"/>
      <c r="H2230"/>
      <c r="I2230"/>
      <c r="J2230"/>
      <c r="K2230" s="13" t="s">
        <v>201</v>
      </c>
      <c r="L2230" s="13" t="s">
        <v>446</v>
      </c>
      <c r="M2230" s="13" t="s">
        <v>371</v>
      </c>
      <c r="N2230" s="15">
        <v>8</v>
      </c>
      <c r="O2230" s="16">
        <v>0</v>
      </c>
      <c r="P2230" s="17">
        <v>0</v>
      </c>
      <c r="Q2230" s="17">
        <v>0</v>
      </c>
      <c r="R2230" s="13"/>
      <c r="S2230" s="13"/>
      <c r="T2230" s="13"/>
      <c r="U2230" s="13"/>
      <c r="V2230" s="13"/>
      <c r="W2230" s="13"/>
    </row>
    <row r="2231" spans="1:23" x14ac:dyDescent="0.2">
      <c r="A2231"/>
      <c r="B2231"/>
      <c r="C2231"/>
      <c r="D2231"/>
      <c r="E2231"/>
      <c r="F2231"/>
      <c r="G2231"/>
      <c r="H2231"/>
      <c r="I2231"/>
      <c r="J2231"/>
      <c r="K2231" s="13" t="s">
        <v>201</v>
      </c>
      <c r="L2231" s="13" t="s">
        <v>614</v>
      </c>
      <c r="M2231" s="13" t="s">
        <v>447</v>
      </c>
      <c r="N2231" s="15">
        <v>8</v>
      </c>
      <c r="O2231" s="16">
        <v>0</v>
      </c>
      <c r="P2231" s="17">
        <v>0</v>
      </c>
      <c r="Q2231" s="17">
        <v>0</v>
      </c>
      <c r="R2231" s="13"/>
      <c r="S2231" s="13"/>
      <c r="T2231" s="13"/>
      <c r="U2231" s="13"/>
      <c r="V2231" s="13"/>
      <c r="W2231" s="13"/>
    </row>
    <row r="2232" spans="1:23" x14ac:dyDescent="0.2">
      <c r="A2232"/>
      <c r="B2232"/>
      <c r="C2232"/>
      <c r="D2232"/>
      <c r="E2232"/>
      <c r="F2232"/>
      <c r="G2232"/>
      <c r="H2232"/>
      <c r="I2232"/>
      <c r="J2232"/>
      <c r="K2232" s="13" t="s">
        <v>201</v>
      </c>
      <c r="L2232" s="13" t="s">
        <v>469</v>
      </c>
      <c r="M2232" s="13" t="s">
        <v>426</v>
      </c>
      <c r="N2232" s="15">
        <v>2</v>
      </c>
      <c r="O2232" s="16">
        <v>0</v>
      </c>
      <c r="P2232" s="17">
        <v>0</v>
      </c>
      <c r="Q2232" s="17">
        <v>0</v>
      </c>
      <c r="R2232" s="13"/>
      <c r="S2232" s="13"/>
      <c r="T2232" s="13"/>
      <c r="U2232" s="13"/>
      <c r="V2232" s="13"/>
      <c r="W2232" s="13"/>
    </row>
    <row r="2233" spans="1:23" x14ac:dyDescent="0.2">
      <c r="A2233"/>
      <c r="B2233"/>
      <c r="C2233"/>
      <c r="D2233"/>
      <c r="E2233"/>
      <c r="F2233"/>
      <c r="G2233"/>
      <c r="H2233"/>
      <c r="I2233"/>
      <c r="J2233"/>
      <c r="K2233" s="13" t="s">
        <v>202</v>
      </c>
      <c r="L2233" s="13" t="s">
        <v>435</v>
      </c>
      <c r="M2233" s="13" t="s">
        <v>364</v>
      </c>
      <c r="N2233" s="15">
        <v>0</v>
      </c>
      <c r="O2233" s="16">
        <v>0</v>
      </c>
      <c r="P2233" s="17">
        <v>7.241699999761023</v>
      </c>
      <c r="Q2233" s="17">
        <v>0</v>
      </c>
      <c r="R2233" s="13"/>
      <c r="S2233" s="13"/>
      <c r="T2233" s="13"/>
      <c r="U2233" s="13"/>
      <c r="V2233" s="13"/>
      <c r="W2233" s="13"/>
    </row>
    <row r="2234" spans="1:23" x14ac:dyDescent="0.2">
      <c r="A2234"/>
      <c r="B2234"/>
      <c r="C2234"/>
      <c r="D2234"/>
      <c r="E2234"/>
      <c r="F2234"/>
      <c r="G2234"/>
      <c r="H2234"/>
      <c r="I2234"/>
      <c r="J2234"/>
      <c r="K2234" s="13" t="s">
        <v>202</v>
      </c>
      <c r="L2234" s="13" t="s">
        <v>435</v>
      </c>
      <c r="M2234" s="13" t="s">
        <v>364</v>
      </c>
      <c r="N2234" s="15">
        <v>4</v>
      </c>
      <c r="O2234" s="16">
        <v>0</v>
      </c>
      <c r="P2234" s="17">
        <v>0</v>
      </c>
      <c r="Q2234" s="17">
        <v>0</v>
      </c>
      <c r="R2234" s="13"/>
      <c r="S2234" s="13"/>
      <c r="T2234" s="13"/>
      <c r="U2234" s="13"/>
      <c r="V2234" s="13"/>
      <c r="W2234" s="13"/>
    </row>
    <row r="2235" spans="1:23" x14ac:dyDescent="0.2">
      <c r="A2235"/>
      <c r="B2235"/>
      <c r="C2235"/>
      <c r="D2235"/>
      <c r="E2235"/>
      <c r="F2235"/>
      <c r="G2235"/>
      <c r="H2235"/>
      <c r="I2235"/>
      <c r="J2235"/>
      <c r="K2235" s="13" t="s">
        <v>202</v>
      </c>
      <c r="L2235" s="13" t="s">
        <v>387</v>
      </c>
      <c r="M2235" s="13" t="s">
        <v>386</v>
      </c>
      <c r="N2235" s="15">
        <v>0</v>
      </c>
      <c r="O2235" s="16">
        <v>0</v>
      </c>
      <c r="P2235" s="17">
        <v>4414.4881498556315</v>
      </c>
      <c r="Q2235" s="17">
        <v>0</v>
      </c>
      <c r="R2235" s="13"/>
      <c r="S2235" s="13"/>
      <c r="T2235" s="13"/>
      <c r="U2235" s="13"/>
      <c r="V2235" s="13"/>
      <c r="W2235" s="13"/>
    </row>
    <row r="2236" spans="1:23" x14ac:dyDescent="0.2">
      <c r="A2236"/>
      <c r="B2236"/>
      <c r="C2236"/>
      <c r="D2236"/>
      <c r="E2236"/>
      <c r="F2236"/>
      <c r="G2236"/>
      <c r="H2236"/>
      <c r="I2236"/>
      <c r="J2236"/>
      <c r="K2236" s="13" t="s">
        <v>202</v>
      </c>
      <c r="L2236" s="13" t="s">
        <v>389</v>
      </c>
      <c r="M2236" s="13" t="s">
        <v>388</v>
      </c>
      <c r="N2236" s="15">
        <v>0</v>
      </c>
      <c r="O2236" s="16">
        <v>0</v>
      </c>
      <c r="P2236" s="17">
        <v>2381.8387850971458</v>
      </c>
      <c r="Q2236" s="17">
        <v>0</v>
      </c>
      <c r="R2236" s="13"/>
      <c r="S2236" s="13"/>
      <c r="T2236" s="13"/>
      <c r="U2236" s="13"/>
      <c r="V2236" s="13"/>
      <c r="W2236" s="13"/>
    </row>
    <row r="2237" spans="1:23" x14ac:dyDescent="0.2">
      <c r="A2237"/>
      <c r="B2237"/>
      <c r="C2237"/>
      <c r="D2237"/>
      <c r="E2237"/>
      <c r="F2237"/>
      <c r="G2237"/>
      <c r="H2237"/>
      <c r="I2237"/>
      <c r="J2237"/>
      <c r="K2237" s="13" t="s">
        <v>202</v>
      </c>
      <c r="L2237" s="13" t="s">
        <v>391</v>
      </c>
      <c r="M2237" s="13" t="s">
        <v>358</v>
      </c>
      <c r="N2237" s="15">
        <v>0</v>
      </c>
      <c r="O2237" s="16">
        <v>0</v>
      </c>
      <c r="P2237" s="17">
        <v>934.55369997284765</v>
      </c>
      <c r="Q2237" s="17">
        <v>0</v>
      </c>
      <c r="R2237" s="13"/>
      <c r="S2237" s="13"/>
      <c r="T2237" s="13"/>
      <c r="U2237" s="13"/>
      <c r="V2237" s="13"/>
      <c r="W2237" s="13"/>
    </row>
    <row r="2238" spans="1:23" x14ac:dyDescent="0.2">
      <c r="A2238"/>
      <c r="B2238"/>
      <c r="C2238"/>
      <c r="D2238"/>
      <c r="E2238"/>
      <c r="F2238"/>
      <c r="G2238"/>
      <c r="H2238"/>
      <c r="I2238"/>
      <c r="J2238"/>
      <c r="K2238" s="13" t="s">
        <v>202</v>
      </c>
      <c r="L2238" s="13" t="s">
        <v>460</v>
      </c>
      <c r="M2238" s="13" t="s">
        <v>393</v>
      </c>
      <c r="N2238" s="15">
        <v>0</v>
      </c>
      <c r="O2238" s="16">
        <v>0</v>
      </c>
      <c r="P2238" s="17">
        <v>20.10275000039395</v>
      </c>
      <c r="Q2238" s="17">
        <v>0</v>
      </c>
      <c r="R2238" s="13"/>
      <c r="S2238" s="13"/>
      <c r="T2238" s="13"/>
      <c r="U2238" s="13"/>
      <c r="V2238" s="13"/>
      <c r="W2238" s="13"/>
    </row>
    <row r="2239" spans="1:23" x14ac:dyDescent="0.2">
      <c r="A2239"/>
      <c r="B2239"/>
      <c r="C2239"/>
      <c r="D2239"/>
      <c r="E2239"/>
      <c r="F2239"/>
      <c r="G2239"/>
      <c r="H2239"/>
      <c r="I2239"/>
      <c r="J2239"/>
      <c r="K2239" s="13" t="s">
        <v>202</v>
      </c>
      <c r="L2239" s="13" t="s">
        <v>438</v>
      </c>
      <c r="M2239" s="13" t="s">
        <v>461</v>
      </c>
      <c r="N2239" s="15">
        <v>0</v>
      </c>
      <c r="O2239" s="16">
        <v>0</v>
      </c>
      <c r="P2239" s="17">
        <v>27.454249999275081</v>
      </c>
      <c r="Q2239" s="17">
        <v>0</v>
      </c>
      <c r="R2239" s="13"/>
      <c r="S2239" s="13"/>
      <c r="T2239" s="13"/>
      <c r="U2239" s="13"/>
      <c r="V2239" s="13"/>
      <c r="W2239" s="13"/>
    </row>
    <row r="2240" spans="1:23" x14ac:dyDescent="0.2">
      <c r="A2240"/>
      <c r="B2240"/>
      <c r="C2240"/>
      <c r="D2240"/>
      <c r="E2240"/>
      <c r="F2240"/>
      <c r="G2240"/>
      <c r="H2240"/>
      <c r="I2240"/>
      <c r="J2240"/>
      <c r="K2240" s="13" t="s">
        <v>202</v>
      </c>
      <c r="L2240" s="13" t="s">
        <v>486</v>
      </c>
      <c r="M2240" s="13" t="s">
        <v>439</v>
      </c>
      <c r="N2240" s="15">
        <v>0</v>
      </c>
      <c r="O2240" s="16">
        <v>0</v>
      </c>
      <c r="P2240" s="17">
        <v>483.83849998845432</v>
      </c>
      <c r="Q2240" s="17">
        <v>0</v>
      </c>
      <c r="R2240" s="13"/>
      <c r="S2240" s="13"/>
      <c r="T2240" s="13"/>
      <c r="U2240" s="13"/>
      <c r="V2240" s="13"/>
      <c r="W2240" s="13"/>
    </row>
    <row r="2241" spans="1:23" x14ac:dyDescent="0.2">
      <c r="A2241"/>
      <c r="B2241"/>
      <c r="C2241"/>
      <c r="D2241"/>
      <c r="E2241"/>
      <c r="F2241"/>
      <c r="G2241"/>
      <c r="H2241"/>
      <c r="I2241"/>
      <c r="J2241"/>
      <c r="K2241" s="13" t="s">
        <v>202</v>
      </c>
      <c r="L2241" s="13" t="s">
        <v>621</v>
      </c>
      <c r="M2241" s="13" t="s">
        <v>520</v>
      </c>
      <c r="N2241" s="15">
        <v>0</v>
      </c>
      <c r="O2241" s="16">
        <v>0</v>
      </c>
      <c r="P2241" s="17">
        <v>648.89930001660537</v>
      </c>
      <c r="Q2241" s="17">
        <v>0</v>
      </c>
      <c r="R2241" s="13"/>
      <c r="S2241" s="13"/>
      <c r="T2241" s="13"/>
      <c r="U2241" s="13"/>
      <c r="V2241" s="13"/>
      <c r="W2241" s="13"/>
    </row>
    <row r="2242" spans="1:23" x14ac:dyDescent="0.2">
      <c r="A2242"/>
      <c r="B2242"/>
      <c r="C2242"/>
      <c r="D2242"/>
      <c r="E2242"/>
      <c r="F2242"/>
      <c r="G2242"/>
      <c r="H2242"/>
      <c r="I2242"/>
      <c r="J2242"/>
      <c r="K2242" s="13" t="s">
        <v>202</v>
      </c>
      <c r="L2242" s="13" t="s">
        <v>465</v>
      </c>
      <c r="M2242" s="13" t="s">
        <v>514</v>
      </c>
      <c r="N2242" s="15">
        <v>0</v>
      </c>
      <c r="O2242" s="16">
        <v>0</v>
      </c>
      <c r="P2242" s="17">
        <v>205.41104999612304</v>
      </c>
      <c r="Q2242" s="17">
        <v>0</v>
      </c>
      <c r="R2242" s="13"/>
      <c r="S2242" s="13"/>
      <c r="T2242" s="13"/>
      <c r="U2242" s="13"/>
      <c r="V2242" s="13"/>
      <c r="W2242" s="13"/>
    </row>
    <row r="2243" spans="1:23" x14ac:dyDescent="0.2">
      <c r="A2243"/>
      <c r="B2243"/>
      <c r="C2243"/>
      <c r="D2243"/>
      <c r="E2243"/>
      <c r="F2243"/>
      <c r="G2243"/>
      <c r="H2243"/>
      <c r="I2243"/>
      <c r="J2243"/>
      <c r="K2243" s="13" t="s">
        <v>202</v>
      </c>
      <c r="L2243" s="13" t="s">
        <v>512</v>
      </c>
      <c r="M2243" s="13" t="s">
        <v>466</v>
      </c>
      <c r="N2243" s="15">
        <v>0</v>
      </c>
      <c r="O2243" s="16">
        <v>0</v>
      </c>
      <c r="P2243" s="17">
        <v>214.48350000013463</v>
      </c>
      <c r="Q2243" s="17">
        <v>0</v>
      </c>
      <c r="R2243" s="13"/>
      <c r="S2243" s="13"/>
      <c r="T2243" s="13"/>
      <c r="U2243" s="13"/>
      <c r="V2243" s="13"/>
      <c r="W2243" s="13"/>
    </row>
    <row r="2244" spans="1:23" x14ac:dyDescent="0.2">
      <c r="A2244"/>
      <c r="B2244"/>
      <c r="C2244"/>
      <c r="D2244"/>
      <c r="E2244"/>
      <c r="F2244"/>
      <c r="G2244"/>
      <c r="H2244"/>
      <c r="I2244"/>
      <c r="J2244"/>
      <c r="K2244" s="13" t="s">
        <v>202</v>
      </c>
      <c r="L2244" s="13" t="s">
        <v>532</v>
      </c>
      <c r="M2244" s="13" t="s">
        <v>620</v>
      </c>
      <c r="N2244" s="15">
        <v>0</v>
      </c>
      <c r="O2244" s="16">
        <v>0</v>
      </c>
      <c r="P2244" s="17">
        <v>139.40644999460571</v>
      </c>
      <c r="Q2244" s="17">
        <v>0</v>
      </c>
      <c r="R2244" s="13"/>
      <c r="S2244" s="13"/>
      <c r="T2244" s="13"/>
      <c r="U2244" s="13"/>
      <c r="V2244" s="13"/>
      <c r="W2244" s="13"/>
    </row>
    <row r="2245" spans="1:23" x14ac:dyDescent="0.2">
      <c r="A2245"/>
      <c r="B2245"/>
      <c r="C2245"/>
      <c r="D2245"/>
      <c r="E2245"/>
      <c r="F2245"/>
      <c r="G2245"/>
      <c r="H2245"/>
      <c r="I2245"/>
      <c r="J2245"/>
      <c r="K2245" s="13" t="s">
        <v>202</v>
      </c>
      <c r="L2245" s="13" t="s">
        <v>513</v>
      </c>
      <c r="M2245" s="13" t="s">
        <v>533</v>
      </c>
      <c r="N2245" s="15">
        <v>0</v>
      </c>
      <c r="O2245" s="16">
        <v>0</v>
      </c>
      <c r="P2245" s="17">
        <v>53.136000002685236</v>
      </c>
      <c r="Q2245" s="17">
        <v>0</v>
      </c>
      <c r="R2245" s="13"/>
      <c r="S2245" s="13"/>
      <c r="T2245" s="13"/>
      <c r="U2245" s="13"/>
      <c r="V2245" s="13"/>
      <c r="W2245" s="13"/>
    </row>
    <row r="2246" spans="1:23" x14ac:dyDescent="0.2">
      <c r="A2246"/>
      <c r="B2246"/>
      <c r="C2246"/>
      <c r="D2246"/>
      <c r="E2246"/>
      <c r="F2246"/>
      <c r="G2246"/>
      <c r="H2246"/>
      <c r="I2246"/>
      <c r="J2246"/>
      <c r="K2246" s="13" t="s">
        <v>202</v>
      </c>
      <c r="L2246" s="13" t="s">
        <v>440</v>
      </c>
      <c r="M2246" s="13" t="s">
        <v>441</v>
      </c>
      <c r="N2246" s="15">
        <v>5</v>
      </c>
      <c r="O2246" s="16">
        <v>0</v>
      </c>
      <c r="P2246" s="17">
        <v>0</v>
      </c>
      <c r="Q2246" s="17">
        <v>0</v>
      </c>
      <c r="R2246" s="13"/>
      <c r="S2246" s="13"/>
      <c r="T2246" s="13"/>
      <c r="U2246" s="13"/>
      <c r="V2246" s="13"/>
      <c r="W2246" s="13"/>
    </row>
    <row r="2247" spans="1:23" x14ac:dyDescent="0.2">
      <c r="A2247"/>
      <c r="B2247"/>
      <c r="C2247"/>
      <c r="D2247"/>
      <c r="E2247"/>
      <c r="F2247"/>
      <c r="G2247"/>
      <c r="H2247"/>
      <c r="I2247"/>
      <c r="J2247"/>
      <c r="K2247" s="13" t="s">
        <v>202</v>
      </c>
      <c r="L2247" s="13" t="s">
        <v>394</v>
      </c>
      <c r="M2247" s="13" t="s">
        <v>359</v>
      </c>
      <c r="N2247" s="15">
        <v>0</v>
      </c>
      <c r="O2247" s="16">
        <v>0</v>
      </c>
      <c r="P2247" s="17">
        <v>26.364449997404083</v>
      </c>
      <c r="Q2247" s="17">
        <v>0</v>
      </c>
      <c r="R2247" s="13"/>
      <c r="S2247" s="13"/>
      <c r="T2247" s="13"/>
      <c r="U2247" s="13"/>
      <c r="V2247" s="13"/>
      <c r="W2247" s="13"/>
    </row>
    <row r="2248" spans="1:23" x14ac:dyDescent="0.2">
      <c r="A2248"/>
      <c r="B2248"/>
      <c r="C2248"/>
      <c r="D2248"/>
      <c r="E2248"/>
      <c r="F2248"/>
      <c r="G2248"/>
      <c r="H2248"/>
      <c r="I2248"/>
      <c r="J2248"/>
      <c r="K2248" s="13" t="s">
        <v>202</v>
      </c>
      <c r="L2248" s="13" t="s">
        <v>401</v>
      </c>
      <c r="M2248" s="13" t="s">
        <v>360</v>
      </c>
      <c r="N2248" s="15">
        <v>0</v>
      </c>
      <c r="O2248" s="16">
        <v>0</v>
      </c>
      <c r="P2248" s="17">
        <v>652.27940757545662</v>
      </c>
      <c r="Q2248" s="17">
        <v>0</v>
      </c>
      <c r="R2248" s="13"/>
      <c r="S2248" s="13"/>
      <c r="T2248" s="13"/>
      <c r="U2248" s="13"/>
      <c r="V2248" s="13"/>
      <c r="W2248" s="13"/>
    </row>
    <row r="2249" spans="1:23" x14ac:dyDescent="0.2">
      <c r="A2249"/>
      <c r="B2249"/>
      <c r="C2249"/>
      <c r="D2249"/>
      <c r="E2249"/>
      <c r="F2249"/>
      <c r="G2249"/>
      <c r="H2249"/>
      <c r="I2249"/>
      <c r="J2249"/>
      <c r="K2249" s="13" t="s">
        <v>202</v>
      </c>
      <c r="L2249" s="13" t="s">
        <v>402</v>
      </c>
      <c r="M2249" s="13" t="s">
        <v>403</v>
      </c>
      <c r="N2249" s="15">
        <v>0</v>
      </c>
      <c r="O2249" s="16">
        <v>0</v>
      </c>
      <c r="P2249" s="17">
        <v>12167.425895968725</v>
      </c>
      <c r="Q2249" s="17">
        <v>0</v>
      </c>
      <c r="R2249" s="13"/>
      <c r="S2249" s="13"/>
      <c r="T2249" s="13"/>
      <c r="U2249" s="13"/>
      <c r="V2249" s="13"/>
      <c r="W2249" s="13"/>
    </row>
    <row r="2250" spans="1:23" x14ac:dyDescent="0.2">
      <c r="A2250"/>
      <c r="B2250"/>
      <c r="C2250"/>
      <c r="D2250"/>
      <c r="E2250"/>
      <c r="F2250"/>
      <c r="G2250"/>
      <c r="H2250"/>
      <c r="I2250"/>
      <c r="J2250"/>
      <c r="K2250" s="13" t="s">
        <v>202</v>
      </c>
      <c r="L2250" s="13" t="s">
        <v>448</v>
      </c>
      <c r="M2250" s="13" t="s">
        <v>366</v>
      </c>
      <c r="N2250" s="15">
        <v>0</v>
      </c>
      <c r="O2250" s="16">
        <v>0</v>
      </c>
      <c r="P2250" s="17">
        <v>10737.335440707247</v>
      </c>
      <c r="Q2250" s="17">
        <v>0</v>
      </c>
      <c r="R2250" s="13"/>
      <c r="S2250" s="13"/>
      <c r="T2250" s="13"/>
      <c r="U2250" s="13"/>
      <c r="V2250" s="13"/>
      <c r="W2250" s="13"/>
    </row>
    <row r="2251" spans="1:23" x14ac:dyDescent="0.2">
      <c r="A2251"/>
      <c r="B2251"/>
      <c r="C2251"/>
      <c r="D2251"/>
      <c r="E2251"/>
      <c r="F2251"/>
      <c r="G2251"/>
      <c r="H2251"/>
      <c r="I2251"/>
      <c r="J2251"/>
      <c r="K2251" s="13" t="s">
        <v>202</v>
      </c>
      <c r="L2251" s="13" t="s">
        <v>462</v>
      </c>
      <c r="M2251" s="13" t="s">
        <v>370</v>
      </c>
      <c r="N2251" s="15">
        <v>0</v>
      </c>
      <c r="O2251" s="16">
        <v>0</v>
      </c>
      <c r="P2251" s="17">
        <v>2250.2717414744106</v>
      </c>
      <c r="Q2251" s="17">
        <v>0</v>
      </c>
      <c r="R2251" s="13"/>
      <c r="S2251" s="13"/>
      <c r="T2251" s="13"/>
      <c r="U2251" s="13"/>
      <c r="V2251" s="13"/>
      <c r="W2251" s="13"/>
    </row>
    <row r="2252" spans="1:23" x14ac:dyDescent="0.2">
      <c r="A2252"/>
      <c r="B2252"/>
      <c r="C2252"/>
      <c r="D2252"/>
      <c r="E2252"/>
      <c r="F2252"/>
      <c r="G2252"/>
      <c r="H2252"/>
      <c r="I2252"/>
      <c r="J2252"/>
      <c r="K2252" s="13" t="s">
        <v>202</v>
      </c>
      <c r="L2252" s="13" t="s">
        <v>456</v>
      </c>
      <c r="M2252" s="13" t="s">
        <v>457</v>
      </c>
      <c r="N2252" s="15">
        <v>0</v>
      </c>
      <c r="O2252" s="16">
        <v>0</v>
      </c>
      <c r="P2252" s="17">
        <v>1802.6914500276159</v>
      </c>
      <c r="Q2252" s="17">
        <v>0</v>
      </c>
      <c r="R2252" s="13"/>
      <c r="S2252" s="13"/>
      <c r="T2252" s="13"/>
      <c r="U2252" s="13"/>
      <c r="V2252" s="13"/>
      <c r="W2252" s="13"/>
    </row>
    <row r="2253" spans="1:23" x14ac:dyDescent="0.2">
      <c r="A2253"/>
      <c r="B2253"/>
      <c r="C2253"/>
      <c r="D2253"/>
      <c r="E2253"/>
      <c r="F2253"/>
      <c r="G2253"/>
      <c r="H2253"/>
      <c r="I2253"/>
      <c r="J2253"/>
      <c r="K2253" s="13" t="s">
        <v>202</v>
      </c>
      <c r="L2253" s="13" t="s">
        <v>381</v>
      </c>
      <c r="M2253" s="13" t="s">
        <v>382</v>
      </c>
      <c r="N2253" s="15">
        <v>48</v>
      </c>
      <c r="O2253" s="16">
        <v>0</v>
      </c>
      <c r="P2253" s="17">
        <v>0</v>
      </c>
      <c r="Q2253" s="17">
        <v>0</v>
      </c>
      <c r="R2253" s="13"/>
      <c r="S2253" s="13"/>
      <c r="T2253" s="13"/>
      <c r="U2253" s="13"/>
      <c r="V2253" s="13"/>
      <c r="W2253" s="13"/>
    </row>
    <row r="2254" spans="1:23" x14ac:dyDescent="0.2">
      <c r="A2254"/>
      <c r="B2254"/>
      <c r="C2254"/>
      <c r="D2254"/>
      <c r="E2254"/>
      <c r="F2254"/>
      <c r="G2254"/>
      <c r="H2254"/>
      <c r="I2254"/>
      <c r="J2254"/>
      <c r="K2254" s="13" t="s">
        <v>202</v>
      </c>
      <c r="L2254" s="13" t="s">
        <v>411</v>
      </c>
      <c r="M2254" s="13" t="s">
        <v>362</v>
      </c>
      <c r="N2254" s="15">
        <v>0</v>
      </c>
      <c r="O2254" s="16">
        <v>0</v>
      </c>
      <c r="P2254" s="17">
        <v>287.19825002428507</v>
      </c>
      <c r="Q2254" s="17">
        <v>0</v>
      </c>
      <c r="R2254" s="13"/>
      <c r="S2254" s="13"/>
      <c r="T2254" s="13"/>
      <c r="U2254" s="13"/>
      <c r="V2254" s="13"/>
      <c r="W2254" s="13"/>
    </row>
    <row r="2255" spans="1:23" x14ac:dyDescent="0.2">
      <c r="A2255"/>
      <c r="B2255"/>
      <c r="C2255"/>
      <c r="D2255"/>
      <c r="E2255"/>
      <c r="F2255"/>
      <c r="G2255"/>
      <c r="H2255"/>
      <c r="I2255"/>
      <c r="J2255"/>
      <c r="K2255" s="13" t="s">
        <v>202</v>
      </c>
      <c r="L2255" s="13" t="s">
        <v>411</v>
      </c>
      <c r="M2255" s="13" t="s">
        <v>362</v>
      </c>
      <c r="N2255" s="15">
        <v>0</v>
      </c>
      <c r="O2255" s="16">
        <v>348.36767582367111</v>
      </c>
      <c r="P2255" s="17">
        <v>0</v>
      </c>
      <c r="Q2255" s="17">
        <v>0</v>
      </c>
      <c r="R2255" s="13"/>
      <c r="S2255" s="13"/>
      <c r="T2255" s="13"/>
      <c r="U2255" s="13"/>
      <c r="V2255" s="13"/>
      <c r="W2255" s="13"/>
    </row>
    <row r="2256" spans="1:23" x14ac:dyDescent="0.2">
      <c r="A2256"/>
      <c r="B2256"/>
      <c r="C2256"/>
      <c r="D2256"/>
      <c r="E2256"/>
      <c r="F2256"/>
      <c r="G2256"/>
      <c r="H2256"/>
      <c r="I2256"/>
      <c r="J2256"/>
      <c r="K2256" s="13" t="s">
        <v>202</v>
      </c>
      <c r="L2256" s="13" t="s">
        <v>411</v>
      </c>
      <c r="M2256" s="13" t="s">
        <v>362</v>
      </c>
      <c r="N2256" s="15">
        <v>3</v>
      </c>
      <c r="O2256" s="16">
        <v>0</v>
      </c>
      <c r="P2256" s="17">
        <v>0</v>
      </c>
      <c r="Q2256" s="17">
        <v>0</v>
      </c>
      <c r="R2256" s="13"/>
      <c r="S2256" s="13"/>
      <c r="T2256" s="13"/>
      <c r="U2256" s="13"/>
      <c r="V2256" s="13"/>
      <c r="W2256" s="13"/>
    </row>
    <row r="2257" spans="1:23" x14ac:dyDescent="0.2">
      <c r="A2257"/>
      <c r="B2257"/>
      <c r="C2257"/>
      <c r="D2257"/>
      <c r="E2257"/>
      <c r="F2257"/>
      <c r="G2257"/>
      <c r="H2257"/>
      <c r="I2257"/>
      <c r="J2257"/>
      <c r="K2257" s="13" t="s">
        <v>202</v>
      </c>
      <c r="L2257" s="13" t="s">
        <v>413</v>
      </c>
      <c r="M2257" s="13" t="s">
        <v>428</v>
      </c>
      <c r="N2257" s="15">
        <v>10</v>
      </c>
      <c r="O2257" s="16">
        <v>0</v>
      </c>
      <c r="P2257" s="17">
        <v>0</v>
      </c>
      <c r="Q2257" s="17">
        <v>0</v>
      </c>
      <c r="R2257" s="13"/>
      <c r="S2257" s="13"/>
      <c r="T2257" s="13"/>
      <c r="U2257" s="13"/>
      <c r="V2257" s="13"/>
      <c r="W2257" s="13"/>
    </row>
    <row r="2258" spans="1:23" x14ac:dyDescent="0.2">
      <c r="A2258"/>
      <c r="B2258"/>
      <c r="C2258"/>
      <c r="D2258"/>
      <c r="E2258"/>
      <c r="F2258"/>
      <c r="G2258"/>
      <c r="H2258"/>
      <c r="I2258"/>
      <c r="J2258"/>
      <c r="K2258" s="13" t="s">
        <v>202</v>
      </c>
      <c r="L2258" s="13" t="s">
        <v>475</v>
      </c>
      <c r="M2258" s="13" t="s">
        <v>470</v>
      </c>
      <c r="N2258" s="15">
        <v>1</v>
      </c>
      <c r="O2258" s="16">
        <v>0</v>
      </c>
      <c r="P2258" s="17">
        <v>0</v>
      </c>
      <c r="Q2258" s="17">
        <v>0</v>
      </c>
      <c r="R2258" s="13"/>
      <c r="S2258" s="13"/>
      <c r="T2258" s="13"/>
      <c r="U2258" s="13"/>
      <c r="V2258" s="13"/>
      <c r="W2258" s="13"/>
    </row>
    <row r="2259" spans="1:23" x14ac:dyDescent="0.2">
      <c r="A2259"/>
      <c r="B2259"/>
      <c r="C2259"/>
      <c r="D2259"/>
      <c r="E2259"/>
      <c r="F2259"/>
      <c r="G2259"/>
      <c r="H2259"/>
      <c r="I2259"/>
      <c r="J2259"/>
      <c r="K2259" s="13" t="s">
        <v>202</v>
      </c>
      <c r="L2259" s="13" t="s">
        <v>605</v>
      </c>
      <c r="M2259" s="13" t="s">
        <v>429</v>
      </c>
      <c r="N2259" s="15">
        <v>0</v>
      </c>
      <c r="O2259" s="16">
        <v>40.010020883673683</v>
      </c>
      <c r="P2259" s="17">
        <v>0</v>
      </c>
      <c r="Q2259" s="17">
        <v>0</v>
      </c>
      <c r="R2259" s="13"/>
      <c r="S2259" s="13"/>
      <c r="T2259" s="13"/>
      <c r="U2259" s="13"/>
      <c r="V2259" s="13"/>
      <c r="W2259" s="13"/>
    </row>
    <row r="2260" spans="1:23" x14ac:dyDescent="0.2">
      <c r="A2260"/>
      <c r="B2260"/>
      <c r="C2260"/>
      <c r="D2260"/>
      <c r="E2260"/>
      <c r="F2260"/>
      <c r="G2260"/>
      <c r="H2260"/>
      <c r="I2260"/>
      <c r="J2260"/>
      <c r="K2260" s="13" t="s">
        <v>202</v>
      </c>
      <c r="L2260" s="13" t="s">
        <v>606</v>
      </c>
      <c r="M2260" s="13" t="s">
        <v>430</v>
      </c>
      <c r="N2260" s="15">
        <v>51</v>
      </c>
      <c r="O2260" s="16">
        <v>0</v>
      </c>
      <c r="P2260" s="17">
        <v>0</v>
      </c>
      <c r="Q2260" s="17">
        <v>0</v>
      </c>
      <c r="R2260" s="13"/>
      <c r="S2260" s="13"/>
      <c r="T2260" s="13"/>
      <c r="U2260" s="13"/>
      <c r="V2260" s="13"/>
      <c r="W2260" s="13"/>
    </row>
    <row r="2261" spans="1:23" x14ac:dyDescent="0.2">
      <c r="A2261"/>
      <c r="B2261"/>
      <c r="C2261"/>
      <c r="D2261"/>
      <c r="E2261"/>
      <c r="F2261"/>
      <c r="G2261"/>
      <c r="H2261"/>
      <c r="I2261"/>
      <c r="J2261"/>
      <c r="K2261" s="13" t="s">
        <v>202</v>
      </c>
      <c r="L2261" s="13" t="s">
        <v>623</v>
      </c>
      <c r="M2261" s="13" t="s">
        <v>530</v>
      </c>
      <c r="N2261" s="15">
        <v>0</v>
      </c>
      <c r="O2261" s="16">
        <v>220.67343752865347</v>
      </c>
      <c r="P2261" s="17">
        <v>0</v>
      </c>
      <c r="Q2261" s="17">
        <v>0</v>
      </c>
      <c r="R2261" s="13"/>
      <c r="S2261" s="13"/>
      <c r="T2261" s="13"/>
      <c r="U2261" s="13"/>
      <c r="V2261" s="13"/>
      <c r="W2261" s="13"/>
    </row>
    <row r="2262" spans="1:23" x14ac:dyDescent="0.2">
      <c r="A2262"/>
      <c r="B2262"/>
      <c r="C2262"/>
      <c r="D2262"/>
      <c r="E2262"/>
      <c r="F2262"/>
      <c r="G2262"/>
      <c r="H2262"/>
      <c r="I2262"/>
      <c r="J2262"/>
      <c r="K2262" s="13" t="s">
        <v>202</v>
      </c>
      <c r="L2262" s="13" t="s">
        <v>607</v>
      </c>
      <c r="M2262" s="13" t="s">
        <v>431</v>
      </c>
      <c r="N2262" s="15">
        <v>8</v>
      </c>
      <c r="O2262" s="16">
        <v>0</v>
      </c>
      <c r="P2262" s="17">
        <v>0</v>
      </c>
      <c r="Q2262" s="17">
        <v>0</v>
      </c>
      <c r="R2262" s="13"/>
      <c r="S2262" s="13"/>
      <c r="T2262" s="13"/>
      <c r="U2262" s="13"/>
      <c r="V2262" s="13"/>
      <c r="W2262" s="13"/>
    </row>
    <row r="2263" spans="1:23" x14ac:dyDescent="0.2">
      <c r="A2263"/>
      <c r="B2263"/>
      <c r="C2263"/>
      <c r="D2263"/>
      <c r="E2263"/>
      <c r="F2263"/>
      <c r="G2263"/>
      <c r="H2263"/>
      <c r="I2263"/>
      <c r="J2263"/>
      <c r="K2263" s="13" t="s">
        <v>202</v>
      </c>
      <c r="L2263" s="13" t="s">
        <v>608</v>
      </c>
      <c r="M2263" s="13" t="s">
        <v>432</v>
      </c>
      <c r="N2263" s="15">
        <v>37</v>
      </c>
      <c r="O2263" s="16">
        <v>0</v>
      </c>
      <c r="P2263" s="17">
        <v>0</v>
      </c>
      <c r="Q2263" s="17">
        <v>0</v>
      </c>
      <c r="R2263" s="13"/>
      <c r="S2263" s="13"/>
      <c r="T2263" s="13"/>
      <c r="U2263" s="13"/>
      <c r="V2263" s="13"/>
      <c r="W2263" s="13"/>
    </row>
    <row r="2264" spans="1:23" x14ac:dyDescent="0.2">
      <c r="A2264"/>
      <c r="B2264"/>
      <c r="C2264"/>
      <c r="D2264"/>
      <c r="E2264"/>
      <c r="F2264"/>
      <c r="G2264"/>
      <c r="H2264"/>
      <c r="I2264"/>
      <c r="J2264"/>
      <c r="K2264" s="13" t="s">
        <v>202</v>
      </c>
      <c r="L2264" s="13" t="s">
        <v>615</v>
      </c>
      <c r="M2264" s="13" t="s">
        <v>449</v>
      </c>
      <c r="N2264" s="15">
        <v>1</v>
      </c>
      <c r="O2264" s="16">
        <v>0</v>
      </c>
      <c r="P2264" s="17">
        <v>0</v>
      </c>
      <c r="Q2264" s="17">
        <v>0</v>
      </c>
      <c r="R2264" s="13"/>
      <c r="S2264" s="13"/>
      <c r="T2264" s="13"/>
      <c r="U2264" s="13"/>
      <c r="V2264" s="13"/>
      <c r="W2264" s="13"/>
    </row>
    <row r="2265" spans="1:23" x14ac:dyDescent="0.2">
      <c r="A2265"/>
      <c r="B2265"/>
      <c r="C2265"/>
      <c r="D2265"/>
      <c r="E2265"/>
      <c r="F2265"/>
      <c r="G2265"/>
      <c r="H2265"/>
      <c r="I2265"/>
      <c r="J2265"/>
      <c r="K2265" s="13" t="s">
        <v>202</v>
      </c>
      <c r="L2265" s="13" t="s">
        <v>415</v>
      </c>
      <c r="M2265" s="13" t="s">
        <v>412</v>
      </c>
      <c r="N2265" s="15">
        <v>0</v>
      </c>
      <c r="O2265" s="16">
        <v>0</v>
      </c>
      <c r="P2265" s="17">
        <v>186.66275350109004</v>
      </c>
      <c r="Q2265" s="17">
        <v>0</v>
      </c>
      <c r="R2265" s="13"/>
      <c r="S2265" s="13"/>
      <c r="T2265" s="13"/>
      <c r="U2265" s="13"/>
      <c r="V2265" s="13"/>
      <c r="W2265" s="13"/>
    </row>
    <row r="2266" spans="1:23" x14ac:dyDescent="0.2">
      <c r="A2266"/>
      <c r="B2266"/>
      <c r="C2266"/>
      <c r="D2266"/>
      <c r="E2266"/>
      <c r="F2266"/>
      <c r="G2266"/>
      <c r="H2266"/>
      <c r="I2266"/>
      <c r="J2266"/>
      <c r="K2266" s="13" t="s">
        <v>202</v>
      </c>
      <c r="L2266" s="13" t="s">
        <v>609</v>
      </c>
      <c r="M2266" s="13" t="s">
        <v>416</v>
      </c>
      <c r="N2266" s="15">
        <v>0</v>
      </c>
      <c r="O2266" s="16">
        <v>108.10793962461533</v>
      </c>
      <c r="P2266" s="17">
        <v>0</v>
      </c>
      <c r="Q2266" s="17">
        <v>0</v>
      </c>
      <c r="R2266" s="13"/>
      <c r="S2266" s="13"/>
      <c r="T2266" s="13"/>
      <c r="U2266" s="13"/>
      <c r="V2266" s="13"/>
      <c r="W2266" s="13"/>
    </row>
    <row r="2267" spans="1:23" x14ac:dyDescent="0.2">
      <c r="A2267"/>
      <c r="B2267"/>
      <c r="C2267"/>
      <c r="D2267"/>
      <c r="E2267"/>
      <c r="F2267"/>
      <c r="G2267"/>
      <c r="H2267"/>
      <c r="I2267"/>
      <c r="J2267"/>
      <c r="K2267" s="13" t="s">
        <v>202</v>
      </c>
      <c r="L2267" s="13" t="s">
        <v>421</v>
      </c>
      <c r="M2267" s="13" t="s">
        <v>443</v>
      </c>
      <c r="N2267" s="15">
        <v>4</v>
      </c>
      <c r="O2267" s="16">
        <v>0</v>
      </c>
      <c r="P2267" s="17">
        <v>0</v>
      </c>
      <c r="Q2267" s="17">
        <v>0</v>
      </c>
      <c r="R2267" s="13"/>
      <c r="S2267" s="13"/>
      <c r="T2267" s="13"/>
      <c r="U2267" s="13"/>
      <c r="V2267" s="13"/>
      <c r="W2267" s="13"/>
    </row>
    <row r="2268" spans="1:23" x14ac:dyDescent="0.2">
      <c r="A2268"/>
      <c r="B2268"/>
      <c r="C2268"/>
      <c r="D2268"/>
      <c r="E2268"/>
      <c r="F2268"/>
      <c r="G2268"/>
      <c r="H2268"/>
      <c r="I2268"/>
      <c r="J2268"/>
      <c r="K2268" s="13" t="s">
        <v>202</v>
      </c>
      <c r="L2268" s="13" t="s">
        <v>383</v>
      </c>
      <c r="M2268" s="13" t="s">
        <v>420</v>
      </c>
      <c r="N2268" s="15">
        <v>12</v>
      </c>
      <c r="O2268" s="16">
        <v>0</v>
      </c>
      <c r="P2268" s="17">
        <v>0</v>
      </c>
      <c r="Q2268" s="17">
        <v>0</v>
      </c>
      <c r="R2268" s="13"/>
      <c r="S2268" s="13"/>
      <c r="T2268" s="13"/>
      <c r="U2268" s="13"/>
      <c r="V2268" s="13"/>
      <c r="W2268" s="13"/>
    </row>
    <row r="2269" spans="1:23" x14ac:dyDescent="0.2">
      <c r="A2269"/>
      <c r="B2269"/>
      <c r="C2269"/>
      <c r="D2269"/>
      <c r="E2269"/>
      <c r="F2269"/>
      <c r="G2269"/>
      <c r="H2269"/>
      <c r="I2269"/>
      <c r="J2269"/>
      <c r="K2269" s="13" t="s">
        <v>202</v>
      </c>
      <c r="L2269" s="13" t="s">
        <v>528</v>
      </c>
      <c r="M2269" s="13" t="s">
        <v>384</v>
      </c>
      <c r="N2269" s="15">
        <v>0</v>
      </c>
      <c r="O2269" s="16">
        <v>158.71774740273594</v>
      </c>
      <c r="P2269" s="17">
        <v>0</v>
      </c>
      <c r="Q2269" s="17">
        <v>0</v>
      </c>
      <c r="R2269" s="13"/>
      <c r="S2269" s="13"/>
      <c r="T2269" s="13"/>
      <c r="U2269" s="13"/>
      <c r="V2269" s="13"/>
      <c r="W2269" s="13"/>
    </row>
    <row r="2270" spans="1:23" x14ac:dyDescent="0.2">
      <c r="A2270"/>
      <c r="B2270"/>
      <c r="C2270"/>
      <c r="D2270"/>
      <c r="E2270"/>
      <c r="F2270"/>
      <c r="G2270"/>
      <c r="H2270"/>
      <c r="I2270"/>
      <c r="J2270"/>
      <c r="K2270" s="13" t="s">
        <v>202</v>
      </c>
      <c r="L2270" s="13" t="s">
        <v>613</v>
      </c>
      <c r="M2270" s="13" t="s">
        <v>444</v>
      </c>
      <c r="N2270" s="15">
        <v>0</v>
      </c>
      <c r="O2270" s="16">
        <v>101.63126055200011</v>
      </c>
      <c r="P2270" s="17">
        <v>0</v>
      </c>
      <c r="Q2270" s="17">
        <v>0</v>
      </c>
      <c r="R2270" s="13"/>
      <c r="S2270" s="13"/>
      <c r="T2270" s="13"/>
      <c r="U2270" s="13"/>
      <c r="V2270" s="13"/>
      <c r="W2270" s="13"/>
    </row>
    <row r="2271" spans="1:23" x14ac:dyDescent="0.2">
      <c r="A2271"/>
      <c r="B2271"/>
      <c r="C2271"/>
      <c r="D2271"/>
      <c r="E2271"/>
      <c r="F2271"/>
      <c r="G2271"/>
      <c r="H2271"/>
      <c r="I2271"/>
      <c r="J2271"/>
      <c r="K2271" s="13" t="s">
        <v>202</v>
      </c>
      <c r="L2271" s="13" t="s">
        <v>611</v>
      </c>
      <c r="M2271" s="13" t="s">
        <v>423</v>
      </c>
      <c r="N2271" s="15">
        <v>0</v>
      </c>
      <c r="O2271" s="16">
        <v>20.002705749893259</v>
      </c>
      <c r="P2271" s="17">
        <v>0</v>
      </c>
      <c r="Q2271" s="17">
        <v>0</v>
      </c>
      <c r="R2271" s="13"/>
      <c r="S2271" s="13"/>
      <c r="T2271" s="13"/>
      <c r="U2271" s="13"/>
      <c r="V2271" s="13"/>
      <c r="W2271" s="13"/>
    </row>
    <row r="2272" spans="1:23" x14ac:dyDescent="0.2">
      <c r="A2272"/>
      <c r="B2272"/>
      <c r="C2272"/>
      <c r="D2272"/>
      <c r="E2272"/>
      <c r="F2272"/>
      <c r="G2272"/>
      <c r="H2272"/>
      <c r="I2272"/>
      <c r="J2272"/>
      <c r="K2272" s="13" t="s">
        <v>202</v>
      </c>
      <c r="L2272" s="13" t="s">
        <v>446</v>
      </c>
      <c r="M2272" s="13" t="s">
        <v>371</v>
      </c>
      <c r="N2272" s="15">
        <v>12</v>
      </c>
      <c r="O2272" s="16">
        <v>0</v>
      </c>
      <c r="P2272" s="17">
        <v>0</v>
      </c>
      <c r="Q2272" s="17">
        <v>0</v>
      </c>
      <c r="R2272" s="13"/>
      <c r="S2272" s="13"/>
      <c r="T2272" s="13"/>
      <c r="U2272" s="13"/>
      <c r="V2272" s="13"/>
      <c r="W2272" s="13"/>
    </row>
    <row r="2273" spans="1:23" x14ac:dyDescent="0.2">
      <c r="A2273"/>
      <c r="B2273"/>
      <c r="C2273"/>
      <c r="D2273"/>
      <c r="E2273"/>
      <c r="F2273"/>
      <c r="G2273"/>
      <c r="H2273"/>
      <c r="I2273"/>
      <c r="J2273"/>
      <c r="K2273" s="13" t="s">
        <v>202</v>
      </c>
      <c r="L2273" s="13" t="s">
        <v>424</v>
      </c>
      <c r="M2273" s="13" t="s">
        <v>468</v>
      </c>
      <c r="N2273" s="15">
        <v>0</v>
      </c>
      <c r="O2273" s="16">
        <v>0</v>
      </c>
      <c r="P2273" s="17">
        <v>18.012649997907712</v>
      </c>
      <c r="Q2273" s="17">
        <v>0</v>
      </c>
      <c r="R2273" s="13"/>
      <c r="S2273" s="13"/>
      <c r="T2273" s="13"/>
      <c r="U2273" s="13"/>
      <c r="V2273" s="13"/>
      <c r="W2273" s="13"/>
    </row>
    <row r="2274" spans="1:23" x14ac:dyDescent="0.2">
      <c r="A2274"/>
      <c r="B2274"/>
      <c r="C2274"/>
      <c r="D2274"/>
      <c r="E2274"/>
      <c r="F2274"/>
      <c r="G2274"/>
      <c r="H2274"/>
      <c r="I2274"/>
      <c r="J2274"/>
      <c r="K2274" s="13" t="s">
        <v>202</v>
      </c>
      <c r="L2274" s="13" t="s">
        <v>484</v>
      </c>
      <c r="M2274" s="13" t="s">
        <v>529</v>
      </c>
      <c r="N2274" s="15">
        <v>0</v>
      </c>
      <c r="O2274" s="16">
        <v>77.516219204946196</v>
      </c>
      <c r="P2274" s="17">
        <v>0</v>
      </c>
      <c r="Q2274" s="17">
        <v>0</v>
      </c>
      <c r="R2274" s="13"/>
      <c r="S2274" s="13"/>
      <c r="T2274" s="13"/>
      <c r="U2274" s="13"/>
      <c r="V2274" s="13"/>
      <c r="W2274" s="13"/>
    </row>
    <row r="2275" spans="1:23" x14ac:dyDescent="0.2">
      <c r="A2275"/>
      <c r="B2275"/>
      <c r="C2275"/>
      <c r="D2275"/>
      <c r="E2275"/>
      <c r="F2275"/>
      <c r="G2275"/>
      <c r="H2275"/>
      <c r="I2275"/>
      <c r="J2275"/>
      <c r="K2275" s="13" t="s">
        <v>202</v>
      </c>
      <c r="L2275" s="13" t="s">
        <v>614</v>
      </c>
      <c r="M2275" s="13" t="s">
        <v>447</v>
      </c>
      <c r="N2275" s="15">
        <v>2</v>
      </c>
      <c r="O2275" s="16">
        <v>0</v>
      </c>
      <c r="P2275" s="17">
        <v>0</v>
      </c>
      <c r="Q2275" s="17">
        <v>0</v>
      </c>
      <c r="R2275" s="13"/>
      <c r="S2275" s="13"/>
      <c r="T2275" s="13"/>
      <c r="U2275" s="13"/>
      <c r="V2275" s="13"/>
      <c r="W2275" s="13"/>
    </row>
    <row r="2276" spans="1:23" x14ac:dyDescent="0.2">
      <c r="A2276"/>
      <c r="B2276"/>
      <c r="C2276"/>
      <c r="D2276"/>
      <c r="E2276"/>
      <c r="F2276"/>
      <c r="G2276"/>
      <c r="H2276"/>
      <c r="I2276"/>
      <c r="J2276"/>
      <c r="K2276" s="13" t="s">
        <v>202</v>
      </c>
      <c r="L2276" s="13" t="s">
        <v>469</v>
      </c>
      <c r="M2276" s="13" t="s">
        <v>426</v>
      </c>
      <c r="N2276" s="15">
        <v>9</v>
      </c>
      <c r="O2276" s="16">
        <v>0</v>
      </c>
      <c r="P2276" s="17">
        <v>0</v>
      </c>
      <c r="Q2276" s="17">
        <v>0</v>
      </c>
      <c r="R2276" s="13"/>
      <c r="S2276" s="13"/>
      <c r="T2276" s="13"/>
      <c r="U2276" s="13"/>
      <c r="V2276" s="13"/>
      <c r="W2276" s="13"/>
    </row>
    <row r="2277" spans="1:23" x14ac:dyDescent="0.2">
      <c r="A2277"/>
      <c r="B2277"/>
      <c r="C2277"/>
      <c r="D2277"/>
      <c r="E2277"/>
      <c r="F2277"/>
      <c r="G2277"/>
      <c r="H2277"/>
      <c r="I2277"/>
      <c r="J2277"/>
      <c r="K2277" s="13" t="s">
        <v>204</v>
      </c>
      <c r="L2277" s="13" t="s">
        <v>435</v>
      </c>
      <c r="M2277" s="13" t="s">
        <v>364</v>
      </c>
      <c r="N2277" s="15">
        <v>0</v>
      </c>
      <c r="O2277" s="16">
        <v>0</v>
      </c>
      <c r="P2277" s="17">
        <v>184.09434999836668</v>
      </c>
      <c r="Q2277" s="17">
        <v>0</v>
      </c>
      <c r="R2277" s="13"/>
      <c r="S2277" s="13"/>
      <c r="T2277" s="13"/>
      <c r="U2277" s="13"/>
      <c r="V2277" s="13"/>
      <c r="W2277" s="13"/>
    </row>
    <row r="2278" spans="1:23" x14ac:dyDescent="0.2">
      <c r="A2278"/>
      <c r="B2278"/>
      <c r="C2278"/>
      <c r="D2278"/>
      <c r="E2278"/>
      <c r="F2278"/>
      <c r="G2278"/>
      <c r="H2278"/>
      <c r="I2278"/>
      <c r="J2278"/>
      <c r="K2278" s="13" t="s">
        <v>204</v>
      </c>
      <c r="L2278" s="13" t="s">
        <v>387</v>
      </c>
      <c r="M2278" s="13" t="s">
        <v>386</v>
      </c>
      <c r="N2278" s="15">
        <v>0</v>
      </c>
      <c r="O2278" s="16">
        <v>0</v>
      </c>
      <c r="P2278" s="17">
        <v>1297.3081595339822</v>
      </c>
      <c r="Q2278" s="17">
        <v>0</v>
      </c>
      <c r="R2278" s="13"/>
      <c r="S2278" s="13"/>
      <c r="T2278" s="13"/>
      <c r="U2278" s="13"/>
      <c r="V2278" s="13"/>
      <c r="W2278" s="13"/>
    </row>
    <row r="2279" spans="1:23" x14ac:dyDescent="0.2">
      <c r="A2279"/>
      <c r="B2279"/>
      <c r="C2279"/>
      <c r="D2279"/>
      <c r="E2279"/>
      <c r="F2279"/>
      <c r="G2279"/>
      <c r="H2279"/>
      <c r="I2279"/>
      <c r="J2279"/>
      <c r="K2279" s="13" t="s">
        <v>204</v>
      </c>
      <c r="L2279" s="13" t="s">
        <v>389</v>
      </c>
      <c r="M2279" s="13" t="s">
        <v>388</v>
      </c>
      <c r="N2279" s="15">
        <v>0</v>
      </c>
      <c r="O2279" s="16">
        <v>0</v>
      </c>
      <c r="P2279" s="17">
        <v>5949.2876712538118</v>
      </c>
      <c r="Q2279" s="17">
        <v>0</v>
      </c>
      <c r="R2279" s="13"/>
      <c r="S2279" s="13"/>
      <c r="T2279" s="13"/>
      <c r="U2279" s="13"/>
      <c r="V2279" s="13"/>
      <c r="W2279" s="13"/>
    </row>
    <row r="2280" spans="1:23" x14ac:dyDescent="0.2">
      <c r="A2280"/>
      <c r="B2280"/>
      <c r="C2280"/>
      <c r="D2280"/>
      <c r="E2280"/>
      <c r="F2280"/>
      <c r="G2280"/>
      <c r="H2280"/>
      <c r="I2280"/>
      <c r="J2280"/>
      <c r="K2280" s="13" t="s">
        <v>204</v>
      </c>
      <c r="L2280" s="13" t="s">
        <v>542</v>
      </c>
      <c r="M2280" s="13" t="s">
        <v>390</v>
      </c>
      <c r="N2280" s="15">
        <v>0</v>
      </c>
      <c r="O2280" s="16">
        <v>0</v>
      </c>
      <c r="P2280" s="17">
        <v>634.63925582143725</v>
      </c>
      <c r="Q2280" s="17">
        <v>0</v>
      </c>
      <c r="R2280" s="13"/>
      <c r="S2280" s="13"/>
      <c r="T2280" s="13"/>
      <c r="U2280" s="13"/>
      <c r="V2280" s="13"/>
      <c r="W2280" s="13"/>
    </row>
    <row r="2281" spans="1:23" x14ac:dyDescent="0.2">
      <c r="A2281"/>
      <c r="B2281"/>
      <c r="C2281"/>
      <c r="D2281"/>
      <c r="E2281"/>
      <c r="F2281"/>
      <c r="G2281"/>
      <c r="H2281"/>
      <c r="I2281"/>
      <c r="J2281"/>
      <c r="K2281" s="13" t="s">
        <v>204</v>
      </c>
      <c r="L2281" s="13" t="s">
        <v>391</v>
      </c>
      <c r="M2281" s="13" t="s">
        <v>358</v>
      </c>
      <c r="N2281" s="15">
        <v>0</v>
      </c>
      <c r="O2281" s="16">
        <v>0</v>
      </c>
      <c r="P2281" s="17">
        <v>1872.5443499625014</v>
      </c>
      <c r="Q2281" s="17">
        <v>0</v>
      </c>
      <c r="R2281" s="13"/>
      <c r="S2281" s="13"/>
      <c r="T2281" s="13"/>
      <c r="U2281" s="13"/>
      <c r="V2281" s="13"/>
      <c r="W2281" s="13"/>
    </row>
    <row r="2282" spans="1:23" x14ac:dyDescent="0.2">
      <c r="A2282"/>
      <c r="B2282"/>
      <c r="C2282"/>
      <c r="D2282"/>
      <c r="E2282"/>
      <c r="F2282"/>
      <c r="G2282"/>
      <c r="H2282"/>
      <c r="I2282"/>
      <c r="J2282"/>
      <c r="K2282" s="13" t="s">
        <v>204</v>
      </c>
      <c r="L2282" s="13" t="s">
        <v>392</v>
      </c>
      <c r="M2282" s="13" t="s">
        <v>437</v>
      </c>
      <c r="N2282" s="15">
        <v>0</v>
      </c>
      <c r="O2282" s="16">
        <v>0</v>
      </c>
      <c r="P2282" s="17">
        <v>8.4045000012208479</v>
      </c>
      <c r="Q2282" s="17">
        <v>0</v>
      </c>
      <c r="R2282" s="13"/>
      <c r="S2282" s="13"/>
      <c r="T2282" s="13"/>
      <c r="U2282" s="13"/>
      <c r="V2282" s="13"/>
      <c r="W2282" s="13"/>
    </row>
    <row r="2283" spans="1:23" x14ac:dyDescent="0.2">
      <c r="A2283"/>
      <c r="B2283"/>
      <c r="C2283"/>
      <c r="D2283"/>
      <c r="E2283"/>
      <c r="F2283"/>
      <c r="G2283"/>
      <c r="H2283"/>
      <c r="I2283"/>
      <c r="J2283"/>
      <c r="K2283" s="13" t="s">
        <v>204</v>
      </c>
      <c r="L2283" s="13" t="s">
        <v>486</v>
      </c>
      <c r="M2283" s="13" t="s">
        <v>439</v>
      </c>
      <c r="N2283" s="15">
        <v>0</v>
      </c>
      <c r="O2283" s="16">
        <v>0</v>
      </c>
      <c r="P2283" s="17">
        <v>38.671949993641505</v>
      </c>
      <c r="Q2283" s="17">
        <v>0</v>
      </c>
      <c r="R2283" s="13"/>
      <c r="S2283" s="13"/>
      <c r="T2283" s="13"/>
      <c r="U2283" s="13"/>
      <c r="V2283" s="13"/>
      <c r="W2283" s="13"/>
    </row>
    <row r="2284" spans="1:23" x14ac:dyDescent="0.2">
      <c r="A2284"/>
      <c r="B2284"/>
      <c r="C2284"/>
      <c r="D2284"/>
      <c r="E2284"/>
      <c r="F2284"/>
      <c r="G2284"/>
      <c r="H2284"/>
      <c r="I2284"/>
      <c r="J2284"/>
      <c r="K2284" s="13" t="s">
        <v>204</v>
      </c>
      <c r="L2284" s="13" t="s">
        <v>515</v>
      </c>
      <c r="M2284" s="13" t="s">
        <v>527</v>
      </c>
      <c r="N2284" s="15">
        <v>0</v>
      </c>
      <c r="O2284" s="16">
        <v>0</v>
      </c>
      <c r="P2284" s="17">
        <v>301.6615499863305</v>
      </c>
      <c r="Q2284" s="17">
        <v>0</v>
      </c>
      <c r="R2284" s="13"/>
      <c r="S2284" s="13"/>
      <c r="T2284" s="13"/>
      <c r="U2284" s="13"/>
      <c r="V2284" s="13"/>
      <c r="W2284" s="13"/>
    </row>
    <row r="2285" spans="1:23" x14ac:dyDescent="0.2">
      <c r="A2285"/>
      <c r="B2285"/>
      <c r="C2285"/>
      <c r="D2285"/>
      <c r="E2285"/>
      <c r="F2285"/>
      <c r="G2285"/>
      <c r="H2285"/>
      <c r="I2285"/>
      <c r="J2285"/>
      <c r="K2285" s="13" t="s">
        <v>204</v>
      </c>
      <c r="L2285" s="13" t="s">
        <v>532</v>
      </c>
      <c r="M2285" s="13" t="s">
        <v>620</v>
      </c>
      <c r="N2285" s="15">
        <v>0</v>
      </c>
      <c r="O2285" s="16">
        <v>0</v>
      </c>
      <c r="P2285" s="17">
        <v>94.911899998686877</v>
      </c>
      <c r="Q2285" s="17">
        <v>0</v>
      </c>
      <c r="R2285" s="13"/>
      <c r="S2285" s="13"/>
      <c r="T2285" s="13"/>
      <c r="U2285" s="13"/>
      <c r="V2285" s="13"/>
      <c r="W2285" s="13"/>
    </row>
    <row r="2286" spans="1:23" x14ac:dyDescent="0.2">
      <c r="A2286"/>
      <c r="B2286"/>
      <c r="C2286"/>
      <c r="D2286"/>
      <c r="E2286"/>
      <c r="F2286"/>
      <c r="G2286"/>
      <c r="H2286"/>
      <c r="I2286"/>
      <c r="J2286"/>
      <c r="K2286" s="13" t="s">
        <v>204</v>
      </c>
      <c r="L2286" s="13" t="s">
        <v>440</v>
      </c>
      <c r="M2286" s="13" t="s">
        <v>441</v>
      </c>
      <c r="N2286" s="15">
        <v>3</v>
      </c>
      <c r="O2286" s="16">
        <v>0</v>
      </c>
      <c r="P2286" s="17">
        <v>0</v>
      </c>
      <c r="Q2286" s="17">
        <v>0</v>
      </c>
      <c r="R2286" s="13"/>
      <c r="S2286" s="13"/>
      <c r="T2286" s="13"/>
      <c r="U2286" s="13"/>
      <c r="V2286" s="13"/>
      <c r="W2286" s="13"/>
    </row>
    <row r="2287" spans="1:23" x14ac:dyDescent="0.2">
      <c r="A2287"/>
      <c r="B2287"/>
      <c r="C2287"/>
      <c r="D2287"/>
      <c r="E2287"/>
      <c r="F2287"/>
      <c r="G2287"/>
      <c r="H2287"/>
      <c r="I2287"/>
      <c r="J2287"/>
      <c r="K2287" s="13" t="s">
        <v>204</v>
      </c>
      <c r="L2287" s="13" t="s">
        <v>395</v>
      </c>
      <c r="M2287" s="13" t="s">
        <v>602</v>
      </c>
      <c r="N2287" s="15">
        <v>97</v>
      </c>
      <c r="O2287" s="16">
        <v>0</v>
      </c>
      <c r="P2287" s="17">
        <v>0</v>
      </c>
      <c r="Q2287" s="17">
        <v>0</v>
      </c>
      <c r="R2287" s="13"/>
      <c r="S2287" s="13"/>
      <c r="T2287" s="13"/>
      <c r="U2287" s="13"/>
      <c r="V2287" s="13"/>
      <c r="W2287" s="13"/>
    </row>
    <row r="2288" spans="1:23" x14ac:dyDescent="0.2">
      <c r="A2288"/>
      <c r="B2288"/>
      <c r="C2288"/>
      <c r="D2288"/>
      <c r="E2288"/>
      <c r="F2288"/>
      <c r="G2288"/>
      <c r="H2288"/>
      <c r="I2288"/>
      <c r="J2288"/>
      <c r="K2288" s="13" t="s">
        <v>204</v>
      </c>
      <c r="L2288" s="13" t="s">
        <v>397</v>
      </c>
      <c r="M2288" s="13" t="s">
        <v>398</v>
      </c>
      <c r="N2288" s="15">
        <v>0</v>
      </c>
      <c r="O2288" s="16">
        <v>0</v>
      </c>
      <c r="P2288" s="17">
        <v>137.1622999999542</v>
      </c>
      <c r="Q2288" s="17">
        <v>0</v>
      </c>
      <c r="R2288" s="13"/>
      <c r="S2288" s="13"/>
      <c r="T2288" s="13"/>
      <c r="U2288" s="13"/>
      <c r="V2288" s="13"/>
      <c r="W2288" s="13"/>
    </row>
    <row r="2289" spans="1:23" x14ac:dyDescent="0.2">
      <c r="A2289"/>
      <c r="B2289"/>
      <c r="C2289"/>
      <c r="D2289"/>
      <c r="E2289"/>
      <c r="F2289"/>
      <c r="G2289"/>
      <c r="H2289"/>
      <c r="I2289"/>
      <c r="J2289"/>
      <c r="K2289" s="13" t="s">
        <v>204</v>
      </c>
      <c r="L2289" s="13" t="s">
        <v>399</v>
      </c>
      <c r="M2289" s="13" t="s">
        <v>400</v>
      </c>
      <c r="N2289" s="15">
        <v>0</v>
      </c>
      <c r="O2289" s="16">
        <v>0</v>
      </c>
      <c r="P2289" s="17">
        <v>256.10499995580756</v>
      </c>
      <c r="Q2289" s="17">
        <v>0</v>
      </c>
      <c r="R2289" s="13"/>
      <c r="S2289" s="13"/>
      <c r="T2289" s="13"/>
      <c r="U2289" s="13"/>
      <c r="V2289" s="13"/>
      <c r="W2289" s="13"/>
    </row>
    <row r="2290" spans="1:23" x14ac:dyDescent="0.2">
      <c r="A2290"/>
      <c r="B2290"/>
      <c r="C2290"/>
      <c r="D2290"/>
      <c r="E2290"/>
      <c r="F2290"/>
      <c r="G2290"/>
      <c r="H2290"/>
      <c r="I2290"/>
      <c r="J2290"/>
      <c r="K2290" s="13" t="s">
        <v>204</v>
      </c>
      <c r="L2290" s="13" t="s">
        <v>401</v>
      </c>
      <c r="M2290" s="13" t="s">
        <v>360</v>
      </c>
      <c r="N2290" s="15">
        <v>0</v>
      </c>
      <c r="O2290" s="16">
        <v>0</v>
      </c>
      <c r="P2290" s="17">
        <v>957.73826349365686</v>
      </c>
      <c r="Q2290" s="17">
        <v>0</v>
      </c>
      <c r="R2290" s="13"/>
      <c r="S2290" s="13"/>
      <c r="T2290" s="13"/>
      <c r="U2290" s="13"/>
      <c r="V2290" s="13"/>
      <c r="W2290" s="13"/>
    </row>
    <row r="2291" spans="1:23" x14ac:dyDescent="0.2">
      <c r="A2291"/>
      <c r="B2291"/>
      <c r="C2291"/>
      <c r="D2291"/>
      <c r="E2291"/>
      <c r="F2291"/>
      <c r="G2291"/>
      <c r="H2291"/>
      <c r="I2291"/>
      <c r="J2291"/>
      <c r="K2291" s="13" t="s">
        <v>204</v>
      </c>
      <c r="L2291" s="13" t="s">
        <v>511</v>
      </c>
      <c r="M2291" s="13" t="s">
        <v>377</v>
      </c>
      <c r="N2291" s="15">
        <v>0</v>
      </c>
      <c r="O2291" s="16">
        <v>0</v>
      </c>
      <c r="P2291" s="17">
        <v>57.600550003532476</v>
      </c>
      <c r="Q2291" s="17">
        <v>0</v>
      </c>
      <c r="R2291" s="13"/>
      <c r="S2291" s="13"/>
      <c r="T2291" s="13"/>
      <c r="U2291" s="13"/>
      <c r="V2291" s="13"/>
      <c r="W2291" s="13"/>
    </row>
    <row r="2292" spans="1:23" x14ac:dyDescent="0.2">
      <c r="A2292"/>
      <c r="B2292"/>
      <c r="C2292"/>
      <c r="D2292"/>
      <c r="E2292"/>
      <c r="F2292"/>
      <c r="G2292"/>
      <c r="H2292"/>
      <c r="I2292"/>
      <c r="J2292"/>
      <c r="K2292" s="13" t="s">
        <v>204</v>
      </c>
      <c r="L2292" s="13" t="s">
        <v>402</v>
      </c>
      <c r="M2292" s="13" t="s">
        <v>403</v>
      </c>
      <c r="N2292" s="15">
        <v>0</v>
      </c>
      <c r="O2292" s="16">
        <v>0</v>
      </c>
      <c r="P2292" s="17">
        <v>5003.2611477028349</v>
      </c>
      <c r="Q2292" s="17">
        <v>0</v>
      </c>
      <c r="R2292" s="13"/>
      <c r="S2292" s="13"/>
      <c r="T2292" s="13"/>
      <c r="U2292" s="13"/>
      <c r="V2292" s="13"/>
      <c r="W2292" s="13"/>
    </row>
    <row r="2293" spans="1:23" x14ac:dyDescent="0.2">
      <c r="A2293"/>
      <c r="B2293"/>
      <c r="C2293"/>
      <c r="D2293"/>
      <c r="E2293"/>
      <c r="F2293"/>
      <c r="G2293"/>
      <c r="H2293"/>
      <c r="I2293"/>
      <c r="J2293"/>
      <c r="K2293" s="13" t="s">
        <v>204</v>
      </c>
      <c r="L2293" s="13" t="s">
        <v>448</v>
      </c>
      <c r="M2293" s="13" t="s">
        <v>366</v>
      </c>
      <c r="N2293" s="15">
        <v>0</v>
      </c>
      <c r="O2293" s="16">
        <v>0</v>
      </c>
      <c r="P2293" s="17">
        <v>244.21359960531643</v>
      </c>
      <c r="Q2293" s="17">
        <v>0</v>
      </c>
      <c r="R2293" s="13"/>
      <c r="S2293" s="13"/>
      <c r="T2293" s="13"/>
      <c r="U2293" s="13"/>
      <c r="V2293" s="13"/>
      <c r="W2293" s="13"/>
    </row>
    <row r="2294" spans="1:23" x14ac:dyDescent="0.2">
      <c r="A2294"/>
      <c r="B2294"/>
      <c r="C2294"/>
      <c r="D2294"/>
      <c r="E2294"/>
      <c r="F2294"/>
      <c r="G2294"/>
      <c r="H2294"/>
      <c r="I2294"/>
      <c r="J2294"/>
      <c r="K2294" s="13" t="s">
        <v>204</v>
      </c>
      <c r="L2294" s="13" t="s">
        <v>404</v>
      </c>
      <c r="M2294" s="13" t="s">
        <v>405</v>
      </c>
      <c r="N2294" s="15">
        <v>0</v>
      </c>
      <c r="O2294" s="16">
        <v>0</v>
      </c>
      <c r="P2294" s="17">
        <v>4.0141999993163164</v>
      </c>
      <c r="Q2294" s="17">
        <v>15.285092625338256</v>
      </c>
      <c r="R2294" s="13"/>
      <c r="S2294" s="13"/>
      <c r="T2294" s="13"/>
      <c r="U2294" s="13"/>
      <c r="V2294" s="13"/>
      <c r="W2294" s="13"/>
    </row>
    <row r="2295" spans="1:23" x14ac:dyDescent="0.2">
      <c r="A2295"/>
      <c r="B2295"/>
      <c r="C2295"/>
      <c r="D2295"/>
      <c r="E2295"/>
      <c r="F2295"/>
      <c r="G2295"/>
      <c r="H2295"/>
      <c r="I2295"/>
      <c r="J2295"/>
      <c r="K2295" s="13" t="s">
        <v>204</v>
      </c>
      <c r="L2295" s="13" t="s">
        <v>406</v>
      </c>
      <c r="M2295" s="13" t="s">
        <v>361</v>
      </c>
      <c r="N2295" s="15">
        <v>0</v>
      </c>
      <c r="O2295" s="16">
        <v>0</v>
      </c>
      <c r="P2295" s="17">
        <v>304.59960002081135</v>
      </c>
      <c r="Q2295" s="17">
        <v>556.44916731256001</v>
      </c>
      <c r="R2295" s="13"/>
      <c r="S2295" s="13"/>
      <c r="T2295" s="13"/>
      <c r="U2295" s="13"/>
      <c r="V2295" s="13"/>
      <c r="W2295" s="13"/>
    </row>
    <row r="2296" spans="1:23" x14ac:dyDescent="0.2">
      <c r="A2296"/>
      <c r="B2296"/>
      <c r="C2296"/>
      <c r="D2296"/>
      <c r="E2296"/>
      <c r="F2296"/>
      <c r="G2296"/>
      <c r="H2296"/>
      <c r="I2296"/>
      <c r="J2296"/>
      <c r="K2296" s="13" t="s">
        <v>204</v>
      </c>
      <c r="L2296" s="13" t="s">
        <v>381</v>
      </c>
      <c r="M2296" s="13" t="s">
        <v>382</v>
      </c>
      <c r="N2296" s="15">
        <v>96</v>
      </c>
      <c r="O2296" s="16">
        <v>0</v>
      </c>
      <c r="P2296" s="17">
        <v>0</v>
      </c>
      <c r="Q2296" s="17">
        <v>0</v>
      </c>
      <c r="R2296" s="13"/>
      <c r="S2296" s="13"/>
      <c r="T2296" s="13"/>
      <c r="U2296" s="13"/>
      <c r="V2296" s="13"/>
      <c r="W2296" s="13"/>
    </row>
    <row r="2297" spans="1:23" x14ac:dyDescent="0.2">
      <c r="A2297"/>
      <c r="B2297"/>
      <c r="C2297"/>
      <c r="D2297"/>
      <c r="E2297"/>
      <c r="F2297"/>
      <c r="G2297"/>
      <c r="H2297"/>
      <c r="I2297"/>
      <c r="J2297"/>
      <c r="K2297" s="13" t="s">
        <v>204</v>
      </c>
      <c r="L2297" s="13" t="s">
        <v>471</v>
      </c>
      <c r="M2297" s="13" t="s">
        <v>472</v>
      </c>
      <c r="N2297" s="15">
        <v>0</v>
      </c>
      <c r="O2297" s="16">
        <v>0</v>
      </c>
      <c r="P2297" s="17">
        <v>4463.656390736799</v>
      </c>
      <c r="Q2297" s="17">
        <v>0</v>
      </c>
      <c r="R2297" s="13"/>
      <c r="S2297" s="13"/>
      <c r="T2297" s="13"/>
      <c r="U2297" s="13"/>
      <c r="V2297" s="13"/>
      <c r="W2297" s="13"/>
    </row>
    <row r="2298" spans="1:23" x14ac:dyDescent="0.2">
      <c r="A2298"/>
      <c r="B2298"/>
      <c r="C2298"/>
      <c r="D2298"/>
      <c r="E2298"/>
      <c r="F2298"/>
      <c r="G2298"/>
      <c r="H2298"/>
      <c r="I2298"/>
      <c r="J2298"/>
      <c r="K2298" s="13" t="s">
        <v>204</v>
      </c>
      <c r="L2298" s="13" t="s">
        <v>411</v>
      </c>
      <c r="M2298" s="13" t="s">
        <v>362</v>
      </c>
      <c r="N2298" s="15">
        <v>0</v>
      </c>
      <c r="O2298" s="16">
        <v>584.56671860829954</v>
      </c>
      <c r="P2298" s="17">
        <v>0</v>
      </c>
      <c r="Q2298" s="17">
        <v>0</v>
      </c>
      <c r="R2298" s="13"/>
      <c r="S2298" s="13"/>
      <c r="T2298" s="13"/>
      <c r="U2298" s="13"/>
      <c r="V2298" s="13"/>
      <c r="W2298" s="13"/>
    </row>
    <row r="2299" spans="1:23" x14ac:dyDescent="0.2">
      <c r="A2299"/>
      <c r="B2299"/>
      <c r="C2299"/>
      <c r="D2299"/>
      <c r="E2299"/>
      <c r="F2299"/>
      <c r="G2299"/>
      <c r="H2299"/>
      <c r="I2299"/>
      <c r="J2299"/>
      <c r="K2299" s="13" t="s">
        <v>204</v>
      </c>
      <c r="L2299" s="13" t="s">
        <v>413</v>
      </c>
      <c r="M2299" s="13" t="s">
        <v>428</v>
      </c>
      <c r="N2299" s="15">
        <v>2</v>
      </c>
      <c r="O2299" s="16">
        <v>0</v>
      </c>
      <c r="P2299" s="17">
        <v>0</v>
      </c>
      <c r="Q2299" s="17">
        <v>0</v>
      </c>
      <c r="R2299" s="13"/>
      <c r="S2299" s="13"/>
      <c r="T2299" s="13"/>
      <c r="U2299" s="13"/>
      <c r="V2299" s="13"/>
      <c r="W2299" s="13"/>
    </row>
    <row r="2300" spans="1:23" x14ac:dyDescent="0.2">
      <c r="A2300"/>
      <c r="B2300"/>
      <c r="C2300"/>
      <c r="D2300"/>
      <c r="E2300"/>
      <c r="F2300"/>
      <c r="G2300"/>
      <c r="H2300"/>
      <c r="I2300"/>
      <c r="J2300"/>
      <c r="K2300" s="13" t="s">
        <v>204</v>
      </c>
      <c r="L2300" s="13" t="s">
        <v>475</v>
      </c>
      <c r="M2300" s="13" t="s">
        <v>470</v>
      </c>
      <c r="N2300" s="15">
        <v>2</v>
      </c>
      <c r="O2300" s="16">
        <v>0</v>
      </c>
      <c r="P2300" s="17">
        <v>0</v>
      </c>
      <c r="Q2300" s="17">
        <v>0</v>
      </c>
      <c r="R2300" s="13"/>
      <c r="S2300" s="13"/>
      <c r="T2300" s="13"/>
      <c r="U2300" s="13"/>
      <c r="V2300" s="13"/>
      <c r="W2300" s="13"/>
    </row>
    <row r="2301" spans="1:23" x14ac:dyDescent="0.2">
      <c r="A2301"/>
      <c r="B2301"/>
      <c r="C2301"/>
      <c r="D2301"/>
      <c r="E2301"/>
      <c r="F2301"/>
      <c r="G2301"/>
      <c r="H2301"/>
      <c r="I2301"/>
      <c r="J2301"/>
      <c r="K2301" s="13" t="s">
        <v>204</v>
      </c>
      <c r="L2301" s="13" t="s">
        <v>603</v>
      </c>
      <c r="M2301" s="13" t="s">
        <v>385</v>
      </c>
      <c r="N2301" s="15">
        <v>22</v>
      </c>
      <c r="O2301" s="16">
        <v>0</v>
      </c>
      <c r="P2301" s="17">
        <v>0</v>
      </c>
      <c r="Q2301" s="17">
        <v>0</v>
      </c>
      <c r="R2301" s="13"/>
      <c r="S2301" s="13"/>
      <c r="T2301" s="13"/>
      <c r="U2301" s="13"/>
      <c r="V2301" s="13"/>
      <c r="W2301" s="13"/>
    </row>
    <row r="2302" spans="1:23" x14ac:dyDescent="0.2">
      <c r="A2302"/>
      <c r="B2302"/>
      <c r="C2302"/>
      <c r="D2302"/>
      <c r="E2302"/>
      <c r="F2302"/>
      <c r="G2302"/>
      <c r="H2302"/>
      <c r="I2302"/>
      <c r="J2302"/>
      <c r="K2302" s="13" t="s">
        <v>204</v>
      </c>
      <c r="L2302" s="13" t="s">
        <v>605</v>
      </c>
      <c r="M2302" s="13" t="s">
        <v>429</v>
      </c>
      <c r="N2302" s="15">
        <v>0</v>
      </c>
      <c r="O2302" s="16">
        <v>103.44163205401568</v>
      </c>
      <c r="P2302" s="17">
        <v>0</v>
      </c>
      <c r="Q2302" s="17">
        <v>0</v>
      </c>
      <c r="R2302" s="13"/>
      <c r="S2302" s="13"/>
      <c r="T2302" s="13"/>
      <c r="U2302" s="13"/>
      <c r="V2302" s="13"/>
      <c r="W2302" s="13"/>
    </row>
    <row r="2303" spans="1:23" x14ac:dyDescent="0.2">
      <c r="A2303"/>
      <c r="B2303"/>
      <c r="C2303"/>
      <c r="D2303"/>
      <c r="E2303"/>
      <c r="F2303"/>
      <c r="G2303"/>
      <c r="H2303"/>
      <c r="I2303"/>
      <c r="J2303"/>
      <c r="K2303" s="13" t="s">
        <v>204</v>
      </c>
      <c r="L2303" s="13" t="s">
        <v>606</v>
      </c>
      <c r="M2303" s="13" t="s">
        <v>430</v>
      </c>
      <c r="N2303" s="15">
        <v>34</v>
      </c>
      <c r="O2303" s="16">
        <v>0</v>
      </c>
      <c r="P2303" s="17">
        <v>0</v>
      </c>
      <c r="Q2303" s="17">
        <v>0</v>
      </c>
      <c r="R2303" s="13"/>
      <c r="S2303" s="13"/>
      <c r="T2303" s="13"/>
      <c r="U2303" s="13"/>
      <c r="V2303" s="13"/>
      <c r="W2303" s="13"/>
    </row>
    <row r="2304" spans="1:23" x14ac:dyDescent="0.2">
      <c r="A2304"/>
      <c r="B2304"/>
      <c r="C2304"/>
      <c r="D2304"/>
      <c r="E2304"/>
      <c r="F2304"/>
      <c r="G2304"/>
      <c r="H2304"/>
      <c r="I2304"/>
      <c r="J2304"/>
      <c r="K2304" s="13" t="s">
        <v>204</v>
      </c>
      <c r="L2304" s="13" t="s">
        <v>623</v>
      </c>
      <c r="M2304" s="13" t="s">
        <v>530</v>
      </c>
      <c r="N2304" s="15">
        <v>0</v>
      </c>
      <c r="O2304" s="16">
        <v>43.635587763019096</v>
      </c>
      <c r="P2304" s="17">
        <v>0</v>
      </c>
      <c r="Q2304" s="17">
        <v>0</v>
      </c>
      <c r="R2304" s="13"/>
      <c r="S2304" s="13"/>
      <c r="T2304" s="13"/>
      <c r="U2304" s="13"/>
      <c r="V2304" s="13"/>
      <c r="W2304" s="13"/>
    </row>
    <row r="2305" spans="1:23" x14ac:dyDescent="0.2">
      <c r="A2305"/>
      <c r="B2305"/>
      <c r="C2305"/>
      <c r="D2305"/>
      <c r="E2305"/>
      <c r="F2305"/>
      <c r="G2305"/>
      <c r="H2305"/>
      <c r="I2305"/>
      <c r="J2305"/>
      <c r="K2305" s="13" t="s">
        <v>204</v>
      </c>
      <c r="L2305" s="13" t="s">
        <v>624</v>
      </c>
      <c r="M2305" s="13" t="s">
        <v>531</v>
      </c>
      <c r="N2305" s="15">
        <v>4</v>
      </c>
      <c r="O2305" s="16">
        <v>0</v>
      </c>
      <c r="P2305" s="17">
        <v>0</v>
      </c>
      <c r="Q2305" s="17">
        <v>0</v>
      </c>
      <c r="R2305" s="13"/>
      <c r="S2305" s="13"/>
      <c r="T2305" s="13"/>
      <c r="U2305" s="13"/>
      <c r="V2305" s="13"/>
      <c r="W2305" s="13"/>
    </row>
    <row r="2306" spans="1:23" x14ac:dyDescent="0.2">
      <c r="A2306"/>
      <c r="B2306"/>
      <c r="C2306"/>
      <c r="D2306"/>
      <c r="E2306"/>
      <c r="F2306"/>
      <c r="G2306"/>
      <c r="H2306"/>
      <c r="I2306"/>
      <c r="J2306"/>
      <c r="K2306" s="13" t="s">
        <v>204</v>
      </c>
      <c r="L2306" s="13" t="s">
        <v>607</v>
      </c>
      <c r="M2306" s="13" t="s">
        <v>431</v>
      </c>
      <c r="N2306" s="15">
        <v>1</v>
      </c>
      <c r="O2306" s="16">
        <v>0</v>
      </c>
      <c r="P2306" s="17">
        <v>0</v>
      </c>
      <c r="Q2306" s="17">
        <v>0</v>
      </c>
      <c r="R2306" s="13"/>
      <c r="S2306" s="13"/>
      <c r="T2306" s="13"/>
      <c r="U2306" s="13"/>
      <c r="V2306" s="13"/>
      <c r="W2306" s="13"/>
    </row>
    <row r="2307" spans="1:23" x14ac:dyDescent="0.2">
      <c r="A2307"/>
      <c r="B2307"/>
      <c r="C2307"/>
      <c r="D2307"/>
      <c r="E2307"/>
      <c r="F2307"/>
      <c r="G2307"/>
      <c r="H2307"/>
      <c r="I2307"/>
      <c r="J2307"/>
      <c r="K2307" s="13" t="s">
        <v>204</v>
      </c>
      <c r="L2307" s="13" t="s">
        <v>608</v>
      </c>
      <c r="M2307" s="13" t="s">
        <v>432</v>
      </c>
      <c r="N2307" s="15">
        <v>17</v>
      </c>
      <c r="O2307" s="16">
        <v>0</v>
      </c>
      <c r="P2307" s="17">
        <v>0</v>
      </c>
      <c r="Q2307" s="17">
        <v>0</v>
      </c>
      <c r="R2307" s="13"/>
      <c r="S2307" s="13"/>
      <c r="T2307" s="13"/>
      <c r="U2307" s="13"/>
      <c r="V2307" s="13"/>
      <c r="W2307" s="13"/>
    </row>
    <row r="2308" spans="1:23" x14ac:dyDescent="0.2">
      <c r="A2308"/>
      <c r="B2308"/>
      <c r="C2308"/>
      <c r="D2308"/>
      <c r="E2308"/>
      <c r="F2308"/>
      <c r="G2308"/>
      <c r="H2308"/>
      <c r="I2308"/>
      <c r="J2308"/>
      <c r="K2308" s="13" t="s">
        <v>204</v>
      </c>
      <c r="L2308" s="13" t="s">
        <v>615</v>
      </c>
      <c r="M2308" s="13" t="s">
        <v>449</v>
      </c>
      <c r="N2308" s="15">
        <v>1</v>
      </c>
      <c r="O2308" s="16">
        <v>0</v>
      </c>
      <c r="P2308" s="17">
        <v>0</v>
      </c>
      <c r="Q2308" s="17">
        <v>0</v>
      </c>
      <c r="R2308" s="13"/>
      <c r="S2308" s="13"/>
      <c r="T2308" s="13"/>
      <c r="U2308" s="13"/>
      <c r="V2308" s="13"/>
      <c r="W2308" s="13"/>
    </row>
    <row r="2309" spans="1:23" x14ac:dyDescent="0.2">
      <c r="A2309"/>
      <c r="B2309"/>
      <c r="C2309"/>
      <c r="D2309"/>
      <c r="E2309"/>
      <c r="F2309"/>
      <c r="G2309"/>
      <c r="H2309"/>
      <c r="I2309"/>
      <c r="J2309"/>
      <c r="K2309" s="13" t="s">
        <v>204</v>
      </c>
      <c r="L2309" s="13" t="s">
        <v>415</v>
      </c>
      <c r="M2309" s="13" t="s">
        <v>412</v>
      </c>
      <c r="N2309" s="15">
        <v>0</v>
      </c>
      <c r="O2309" s="16">
        <v>0</v>
      </c>
      <c r="P2309" s="17">
        <v>83.385649998157191</v>
      </c>
      <c r="Q2309" s="17">
        <v>0</v>
      </c>
      <c r="R2309" s="13"/>
      <c r="S2309" s="13"/>
      <c r="T2309" s="13"/>
      <c r="U2309" s="13"/>
      <c r="V2309" s="13"/>
      <c r="W2309" s="13"/>
    </row>
    <row r="2310" spans="1:23" x14ac:dyDescent="0.2">
      <c r="A2310"/>
      <c r="B2310"/>
      <c r="C2310"/>
      <c r="D2310"/>
      <c r="E2310"/>
      <c r="F2310"/>
      <c r="G2310"/>
      <c r="H2310"/>
      <c r="I2310"/>
      <c r="J2310"/>
      <c r="K2310" s="13" t="s">
        <v>204</v>
      </c>
      <c r="L2310" s="13" t="s">
        <v>609</v>
      </c>
      <c r="M2310" s="13" t="s">
        <v>416</v>
      </c>
      <c r="N2310" s="15">
        <v>0</v>
      </c>
      <c r="O2310" s="16">
        <v>147.41885728348822</v>
      </c>
      <c r="P2310" s="17">
        <v>0</v>
      </c>
      <c r="Q2310" s="17">
        <v>0</v>
      </c>
      <c r="R2310" s="13"/>
      <c r="S2310" s="13"/>
      <c r="T2310" s="13"/>
      <c r="U2310" s="13"/>
      <c r="V2310" s="13"/>
      <c r="W2310" s="13"/>
    </row>
    <row r="2311" spans="1:23" x14ac:dyDescent="0.2">
      <c r="A2311"/>
      <c r="B2311"/>
      <c r="C2311"/>
      <c r="D2311"/>
      <c r="E2311"/>
      <c r="F2311"/>
      <c r="G2311"/>
      <c r="H2311"/>
      <c r="I2311"/>
      <c r="J2311"/>
      <c r="K2311" s="13" t="s">
        <v>204</v>
      </c>
      <c r="L2311" s="13" t="s">
        <v>610</v>
      </c>
      <c r="M2311" s="13" t="s">
        <v>418</v>
      </c>
      <c r="N2311" s="15">
        <v>0</v>
      </c>
      <c r="O2311" s="16">
        <v>5.7917401778154689</v>
      </c>
      <c r="P2311" s="17">
        <v>0</v>
      </c>
      <c r="Q2311" s="17">
        <v>0</v>
      </c>
      <c r="R2311" s="13"/>
      <c r="S2311" s="13"/>
      <c r="T2311" s="13"/>
      <c r="U2311" s="13"/>
      <c r="V2311" s="13"/>
      <c r="W2311" s="13"/>
    </row>
    <row r="2312" spans="1:23" x14ac:dyDescent="0.2">
      <c r="A2312"/>
      <c r="B2312"/>
      <c r="C2312"/>
      <c r="D2312"/>
      <c r="E2312"/>
      <c r="F2312"/>
      <c r="G2312"/>
      <c r="H2312"/>
      <c r="I2312"/>
      <c r="J2312"/>
      <c r="K2312" s="13" t="s">
        <v>204</v>
      </c>
      <c r="L2312" s="13" t="s">
        <v>622</v>
      </c>
      <c r="M2312" s="13" t="s">
        <v>524</v>
      </c>
      <c r="N2312" s="15">
        <v>0</v>
      </c>
      <c r="O2312" s="16">
        <v>19.861960172782418</v>
      </c>
      <c r="P2312" s="17">
        <v>0</v>
      </c>
      <c r="Q2312" s="17">
        <v>0</v>
      </c>
      <c r="R2312" s="13"/>
      <c r="S2312" s="13"/>
      <c r="T2312" s="13"/>
      <c r="U2312" s="13"/>
      <c r="V2312" s="13"/>
      <c r="W2312" s="13"/>
    </row>
    <row r="2313" spans="1:23" x14ac:dyDescent="0.2">
      <c r="A2313"/>
      <c r="B2313"/>
      <c r="C2313"/>
      <c r="D2313"/>
      <c r="E2313"/>
      <c r="F2313"/>
      <c r="G2313"/>
      <c r="H2313"/>
      <c r="I2313"/>
      <c r="J2313"/>
      <c r="K2313" s="13" t="s">
        <v>204</v>
      </c>
      <c r="L2313" s="13" t="s">
        <v>421</v>
      </c>
      <c r="M2313" s="13" t="s">
        <v>443</v>
      </c>
      <c r="N2313" s="15">
        <v>23</v>
      </c>
      <c r="O2313" s="16">
        <v>0</v>
      </c>
      <c r="P2313" s="17">
        <v>0</v>
      </c>
      <c r="Q2313" s="17">
        <v>0</v>
      </c>
      <c r="R2313" s="13"/>
      <c r="S2313" s="13"/>
      <c r="T2313" s="13"/>
      <c r="U2313" s="13"/>
      <c r="V2313" s="13"/>
      <c r="W2313" s="13"/>
    </row>
    <row r="2314" spans="1:23" x14ac:dyDescent="0.2">
      <c r="A2314"/>
      <c r="B2314"/>
      <c r="C2314"/>
      <c r="D2314"/>
      <c r="E2314"/>
      <c r="F2314"/>
      <c r="G2314"/>
      <c r="H2314"/>
      <c r="I2314"/>
      <c r="J2314"/>
      <c r="K2314" s="13" t="s">
        <v>204</v>
      </c>
      <c r="L2314" s="13" t="s">
        <v>383</v>
      </c>
      <c r="M2314" s="13" t="s">
        <v>420</v>
      </c>
      <c r="N2314" s="15">
        <v>12</v>
      </c>
      <c r="O2314" s="16">
        <v>0</v>
      </c>
      <c r="P2314" s="17">
        <v>0</v>
      </c>
      <c r="Q2314" s="17">
        <v>0</v>
      </c>
      <c r="R2314" s="13"/>
      <c r="S2314" s="13"/>
      <c r="T2314" s="13"/>
      <c r="U2314" s="13"/>
      <c r="V2314" s="13"/>
      <c r="W2314" s="13"/>
    </row>
    <row r="2315" spans="1:23" x14ac:dyDescent="0.2">
      <c r="A2315"/>
      <c r="B2315"/>
      <c r="C2315"/>
      <c r="D2315"/>
      <c r="E2315"/>
      <c r="F2315"/>
      <c r="G2315"/>
      <c r="H2315"/>
      <c r="I2315"/>
      <c r="J2315"/>
      <c r="K2315" s="13" t="s">
        <v>204</v>
      </c>
      <c r="L2315" s="13" t="s">
        <v>528</v>
      </c>
      <c r="M2315" s="13" t="s">
        <v>384</v>
      </c>
      <c r="N2315" s="15">
        <v>0</v>
      </c>
      <c r="O2315" s="16">
        <v>72.34454526763767</v>
      </c>
      <c r="P2315" s="17">
        <v>0</v>
      </c>
      <c r="Q2315" s="17">
        <v>0</v>
      </c>
      <c r="R2315" s="13"/>
      <c r="S2315" s="13"/>
      <c r="T2315" s="13"/>
      <c r="U2315" s="13"/>
      <c r="V2315" s="13"/>
      <c r="W2315" s="13"/>
    </row>
    <row r="2316" spans="1:23" x14ac:dyDescent="0.2">
      <c r="A2316"/>
      <c r="B2316"/>
      <c r="C2316"/>
      <c r="D2316"/>
      <c r="E2316"/>
      <c r="F2316"/>
      <c r="G2316"/>
      <c r="H2316"/>
      <c r="I2316"/>
      <c r="J2316"/>
      <c r="K2316" s="13" t="s">
        <v>204</v>
      </c>
      <c r="L2316" s="13" t="s">
        <v>613</v>
      </c>
      <c r="M2316" s="13" t="s">
        <v>444</v>
      </c>
      <c r="N2316" s="15">
        <v>0</v>
      </c>
      <c r="O2316" s="16">
        <v>428.34914273226127</v>
      </c>
      <c r="P2316" s="17">
        <v>0</v>
      </c>
      <c r="Q2316" s="17">
        <v>0</v>
      </c>
      <c r="R2316" s="13"/>
      <c r="S2316" s="13"/>
      <c r="T2316" s="13"/>
      <c r="U2316" s="13"/>
      <c r="V2316" s="13"/>
      <c r="W2316" s="13"/>
    </row>
    <row r="2317" spans="1:23" x14ac:dyDescent="0.2">
      <c r="A2317"/>
      <c r="B2317"/>
      <c r="C2317"/>
      <c r="D2317"/>
      <c r="E2317"/>
      <c r="F2317"/>
      <c r="G2317"/>
      <c r="H2317"/>
      <c r="I2317"/>
      <c r="J2317"/>
      <c r="K2317" s="13" t="s">
        <v>204</v>
      </c>
      <c r="L2317" s="13" t="s">
        <v>611</v>
      </c>
      <c r="M2317" s="13" t="s">
        <v>423</v>
      </c>
      <c r="N2317" s="15">
        <v>0</v>
      </c>
      <c r="O2317" s="16">
        <v>209.90629702403967</v>
      </c>
      <c r="P2317" s="17">
        <v>0</v>
      </c>
      <c r="Q2317" s="17">
        <v>0</v>
      </c>
      <c r="R2317" s="13"/>
      <c r="S2317" s="13"/>
      <c r="T2317" s="13"/>
      <c r="U2317" s="13"/>
      <c r="V2317" s="13"/>
      <c r="W2317" s="13"/>
    </row>
    <row r="2318" spans="1:23" x14ac:dyDescent="0.2">
      <c r="A2318"/>
      <c r="B2318"/>
      <c r="C2318"/>
      <c r="D2318"/>
      <c r="E2318"/>
      <c r="F2318"/>
      <c r="G2318"/>
      <c r="H2318"/>
      <c r="I2318"/>
      <c r="J2318"/>
      <c r="K2318" s="13" t="s">
        <v>204</v>
      </c>
      <c r="L2318" s="13" t="s">
        <v>446</v>
      </c>
      <c r="M2318" s="13" t="s">
        <v>371</v>
      </c>
      <c r="N2318" s="15">
        <v>5</v>
      </c>
      <c r="O2318" s="16">
        <v>0</v>
      </c>
      <c r="P2318" s="17">
        <v>0</v>
      </c>
      <c r="Q2318" s="17">
        <v>0</v>
      </c>
      <c r="R2318" s="13"/>
      <c r="S2318" s="13"/>
      <c r="T2318" s="13"/>
      <c r="U2318" s="13"/>
      <c r="V2318" s="13"/>
      <c r="W2318" s="13"/>
    </row>
    <row r="2319" spans="1:23" x14ac:dyDescent="0.2">
      <c r="A2319"/>
      <c r="B2319"/>
      <c r="C2319"/>
      <c r="D2319"/>
      <c r="E2319"/>
      <c r="F2319"/>
      <c r="G2319"/>
      <c r="H2319"/>
      <c r="I2319"/>
      <c r="J2319"/>
      <c r="K2319" s="13" t="s">
        <v>204</v>
      </c>
      <c r="L2319" s="13" t="s">
        <v>614</v>
      </c>
      <c r="M2319" s="13" t="s">
        <v>447</v>
      </c>
      <c r="N2319" s="15">
        <v>10</v>
      </c>
      <c r="O2319" s="16">
        <v>0</v>
      </c>
      <c r="P2319" s="17">
        <v>0</v>
      </c>
      <c r="Q2319" s="17">
        <v>0</v>
      </c>
      <c r="R2319" s="13"/>
      <c r="S2319" s="13"/>
      <c r="T2319" s="13"/>
      <c r="U2319" s="13"/>
      <c r="V2319" s="13"/>
      <c r="W2319" s="13"/>
    </row>
    <row r="2320" spans="1:23" x14ac:dyDescent="0.2">
      <c r="A2320"/>
      <c r="B2320"/>
      <c r="C2320"/>
      <c r="D2320"/>
      <c r="E2320"/>
      <c r="F2320"/>
      <c r="G2320"/>
      <c r="H2320"/>
      <c r="I2320"/>
      <c r="J2320"/>
      <c r="K2320" s="13" t="s">
        <v>204</v>
      </c>
      <c r="L2320" s="13" t="s">
        <v>469</v>
      </c>
      <c r="M2320" s="13" t="s">
        <v>426</v>
      </c>
      <c r="N2320" s="15">
        <v>9</v>
      </c>
      <c r="O2320" s="16">
        <v>0</v>
      </c>
      <c r="P2320" s="17">
        <v>0</v>
      </c>
      <c r="Q2320" s="17">
        <v>0</v>
      </c>
      <c r="R2320" s="13"/>
      <c r="S2320" s="13"/>
      <c r="T2320" s="13"/>
      <c r="U2320" s="13"/>
      <c r="V2320" s="13"/>
      <c r="W2320" s="13"/>
    </row>
    <row r="2321" spans="1:23" x14ac:dyDescent="0.2">
      <c r="A2321"/>
      <c r="B2321"/>
      <c r="C2321"/>
      <c r="D2321"/>
      <c r="E2321"/>
      <c r="F2321"/>
      <c r="G2321"/>
      <c r="H2321"/>
      <c r="I2321"/>
      <c r="J2321"/>
      <c r="K2321" s="13" t="s">
        <v>206</v>
      </c>
      <c r="L2321" s="13" t="s">
        <v>435</v>
      </c>
      <c r="M2321" s="13" t="s">
        <v>364</v>
      </c>
      <c r="N2321" s="15">
        <v>0</v>
      </c>
      <c r="O2321" s="16">
        <v>0</v>
      </c>
      <c r="P2321" s="17">
        <v>1.2866915893874546</v>
      </c>
      <c r="Q2321" s="17">
        <v>0</v>
      </c>
      <c r="R2321" s="13"/>
      <c r="S2321" s="13"/>
      <c r="T2321" s="13"/>
      <c r="U2321" s="13"/>
      <c r="V2321" s="13"/>
      <c r="W2321" s="13"/>
    </row>
    <row r="2322" spans="1:23" x14ac:dyDescent="0.2">
      <c r="A2322"/>
      <c r="B2322"/>
      <c r="C2322"/>
      <c r="D2322"/>
      <c r="E2322"/>
      <c r="F2322"/>
      <c r="G2322"/>
      <c r="H2322"/>
      <c r="I2322"/>
      <c r="J2322"/>
      <c r="K2322" s="13" t="s">
        <v>206</v>
      </c>
      <c r="L2322" s="13" t="s">
        <v>435</v>
      </c>
      <c r="M2322" s="13" t="s">
        <v>364</v>
      </c>
      <c r="N2322" s="15">
        <v>0</v>
      </c>
      <c r="O2322" s="16">
        <v>32.652528797942054</v>
      </c>
      <c r="P2322" s="17">
        <v>0</v>
      </c>
      <c r="Q2322" s="17">
        <v>0</v>
      </c>
      <c r="R2322" s="13"/>
      <c r="S2322" s="13"/>
      <c r="T2322" s="13"/>
      <c r="U2322" s="13"/>
      <c r="V2322" s="13"/>
      <c r="W2322" s="13"/>
    </row>
    <row r="2323" spans="1:23" x14ac:dyDescent="0.2">
      <c r="A2323"/>
      <c r="B2323"/>
      <c r="C2323"/>
      <c r="D2323"/>
      <c r="E2323"/>
      <c r="F2323"/>
      <c r="G2323"/>
      <c r="H2323"/>
      <c r="I2323"/>
      <c r="J2323"/>
      <c r="K2323" s="13" t="s">
        <v>206</v>
      </c>
      <c r="L2323" s="13" t="s">
        <v>435</v>
      </c>
      <c r="M2323" s="13" t="s">
        <v>364</v>
      </c>
      <c r="N2323" s="15">
        <v>11</v>
      </c>
      <c r="O2323" s="16">
        <v>0</v>
      </c>
      <c r="P2323" s="17">
        <v>0</v>
      </c>
      <c r="Q2323" s="17">
        <v>0</v>
      </c>
      <c r="R2323" s="13"/>
      <c r="S2323" s="13"/>
      <c r="T2323" s="13"/>
      <c r="U2323" s="13"/>
      <c r="V2323" s="13"/>
      <c r="W2323" s="13"/>
    </row>
    <row r="2324" spans="1:23" x14ac:dyDescent="0.2">
      <c r="A2324"/>
      <c r="B2324"/>
      <c r="C2324"/>
      <c r="D2324"/>
      <c r="E2324"/>
      <c r="F2324"/>
      <c r="G2324"/>
      <c r="H2324"/>
      <c r="I2324"/>
      <c r="J2324"/>
      <c r="K2324" s="13" t="s">
        <v>206</v>
      </c>
      <c r="L2324" s="13" t="s">
        <v>536</v>
      </c>
      <c r="M2324" s="13" t="s">
        <v>378</v>
      </c>
      <c r="N2324" s="15">
        <v>0</v>
      </c>
      <c r="O2324" s="16">
        <v>176.74148077263408</v>
      </c>
      <c r="P2324" s="17">
        <v>0</v>
      </c>
      <c r="Q2324" s="17">
        <v>0</v>
      </c>
      <c r="R2324" s="13"/>
      <c r="S2324" s="13"/>
      <c r="T2324" s="13"/>
      <c r="U2324" s="13"/>
      <c r="V2324" s="13"/>
      <c r="W2324" s="13"/>
    </row>
    <row r="2325" spans="1:23" x14ac:dyDescent="0.2">
      <c r="A2325"/>
      <c r="B2325"/>
      <c r="C2325"/>
      <c r="D2325"/>
      <c r="E2325"/>
      <c r="F2325"/>
      <c r="G2325"/>
      <c r="H2325"/>
      <c r="I2325"/>
      <c r="J2325"/>
      <c r="K2325" s="13" t="s">
        <v>206</v>
      </c>
      <c r="L2325" s="13" t="s">
        <v>387</v>
      </c>
      <c r="M2325" s="13" t="s">
        <v>386</v>
      </c>
      <c r="N2325" s="15">
        <v>0</v>
      </c>
      <c r="O2325" s="16">
        <v>0</v>
      </c>
      <c r="P2325" s="17">
        <v>5842.6323998348944</v>
      </c>
      <c r="Q2325" s="17">
        <v>0</v>
      </c>
      <c r="R2325" s="13"/>
      <c r="S2325" s="13"/>
      <c r="T2325" s="13"/>
      <c r="U2325" s="13"/>
      <c r="V2325" s="13"/>
      <c r="W2325" s="13"/>
    </row>
    <row r="2326" spans="1:23" x14ac:dyDescent="0.2">
      <c r="A2326"/>
      <c r="B2326"/>
      <c r="C2326"/>
      <c r="D2326"/>
      <c r="E2326"/>
      <c r="F2326"/>
      <c r="G2326"/>
      <c r="H2326"/>
      <c r="I2326"/>
      <c r="J2326"/>
      <c r="K2326" s="13" t="s">
        <v>206</v>
      </c>
      <c r="L2326" s="13" t="s">
        <v>389</v>
      </c>
      <c r="M2326" s="13" t="s">
        <v>388</v>
      </c>
      <c r="N2326" s="15">
        <v>0</v>
      </c>
      <c r="O2326" s="16">
        <v>0</v>
      </c>
      <c r="P2326" s="17">
        <v>8456.6733319913365</v>
      </c>
      <c r="Q2326" s="17">
        <v>0</v>
      </c>
      <c r="R2326" s="13"/>
      <c r="S2326" s="13"/>
      <c r="T2326" s="13"/>
      <c r="U2326" s="13"/>
      <c r="V2326" s="13"/>
      <c r="W2326" s="13"/>
    </row>
    <row r="2327" spans="1:23" x14ac:dyDescent="0.2">
      <c r="A2327"/>
      <c r="B2327"/>
      <c r="C2327"/>
      <c r="D2327"/>
      <c r="E2327"/>
      <c r="F2327"/>
      <c r="G2327"/>
      <c r="H2327"/>
      <c r="I2327"/>
      <c r="J2327"/>
      <c r="K2327" s="13" t="s">
        <v>206</v>
      </c>
      <c r="L2327" s="13" t="s">
        <v>391</v>
      </c>
      <c r="M2327" s="13" t="s">
        <v>358</v>
      </c>
      <c r="N2327" s="15">
        <v>0</v>
      </c>
      <c r="O2327" s="16">
        <v>0</v>
      </c>
      <c r="P2327" s="17">
        <v>375.82748707467476</v>
      </c>
      <c r="Q2327" s="17">
        <v>0</v>
      </c>
      <c r="R2327" s="13"/>
      <c r="S2327" s="13"/>
      <c r="T2327" s="13"/>
      <c r="U2327" s="13"/>
      <c r="V2327" s="13"/>
      <c r="W2327" s="13"/>
    </row>
    <row r="2328" spans="1:23" x14ac:dyDescent="0.2">
      <c r="A2328"/>
      <c r="B2328"/>
      <c r="C2328"/>
      <c r="D2328"/>
      <c r="E2328"/>
      <c r="F2328"/>
      <c r="G2328"/>
      <c r="H2328"/>
      <c r="I2328"/>
      <c r="J2328"/>
      <c r="K2328" s="13" t="s">
        <v>206</v>
      </c>
      <c r="L2328" s="13" t="s">
        <v>392</v>
      </c>
      <c r="M2328" s="13" t="s">
        <v>437</v>
      </c>
      <c r="N2328" s="15">
        <v>0</v>
      </c>
      <c r="O2328" s="16">
        <v>0</v>
      </c>
      <c r="P2328" s="17">
        <v>44.672546682458574</v>
      </c>
      <c r="Q2328" s="17">
        <v>0</v>
      </c>
      <c r="R2328" s="13"/>
      <c r="S2328" s="13"/>
      <c r="T2328" s="13"/>
      <c r="U2328" s="13"/>
      <c r="V2328" s="13"/>
      <c r="W2328" s="13"/>
    </row>
    <row r="2329" spans="1:23" x14ac:dyDescent="0.2">
      <c r="A2329"/>
      <c r="B2329"/>
      <c r="C2329"/>
      <c r="D2329"/>
      <c r="E2329"/>
      <c r="F2329"/>
      <c r="G2329"/>
      <c r="H2329"/>
      <c r="I2329"/>
      <c r="J2329"/>
      <c r="K2329" s="13" t="s">
        <v>206</v>
      </c>
      <c r="L2329" s="13" t="s">
        <v>486</v>
      </c>
      <c r="M2329" s="13" t="s">
        <v>439</v>
      </c>
      <c r="N2329" s="15">
        <v>0</v>
      </c>
      <c r="O2329" s="16">
        <v>0</v>
      </c>
      <c r="P2329" s="17">
        <v>80.417882064649106</v>
      </c>
      <c r="Q2329" s="17">
        <v>0</v>
      </c>
      <c r="R2329" s="13"/>
      <c r="S2329" s="13"/>
      <c r="T2329" s="13"/>
      <c r="U2329" s="13"/>
      <c r="V2329" s="13"/>
      <c r="W2329" s="13"/>
    </row>
    <row r="2330" spans="1:23" x14ac:dyDescent="0.2">
      <c r="A2330"/>
      <c r="B2330"/>
      <c r="C2330"/>
      <c r="D2330"/>
      <c r="E2330"/>
      <c r="F2330"/>
      <c r="G2330"/>
      <c r="H2330"/>
      <c r="I2330"/>
      <c r="J2330"/>
      <c r="K2330" s="13" t="s">
        <v>206</v>
      </c>
      <c r="L2330" s="13" t="s">
        <v>621</v>
      </c>
      <c r="M2330" s="13" t="s">
        <v>520</v>
      </c>
      <c r="N2330" s="15">
        <v>0</v>
      </c>
      <c r="O2330" s="16">
        <v>0</v>
      </c>
      <c r="P2330" s="17">
        <v>634.90844999340038</v>
      </c>
      <c r="Q2330" s="17">
        <v>0</v>
      </c>
      <c r="R2330" s="13"/>
      <c r="S2330" s="13"/>
      <c r="T2330" s="13"/>
      <c r="U2330" s="13"/>
      <c r="V2330" s="13"/>
      <c r="W2330" s="13"/>
    </row>
    <row r="2331" spans="1:23" x14ac:dyDescent="0.2">
      <c r="A2331"/>
      <c r="B2331"/>
      <c r="C2331"/>
      <c r="D2331"/>
      <c r="E2331"/>
      <c r="F2331"/>
      <c r="G2331"/>
      <c r="H2331"/>
      <c r="I2331"/>
      <c r="J2331"/>
      <c r="K2331" s="13" t="s">
        <v>206</v>
      </c>
      <c r="L2331" s="13" t="s">
        <v>512</v>
      </c>
      <c r="M2331" s="13" t="s">
        <v>466</v>
      </c>
      <c r="N2331" s="15">
        <v>0</v>
      </c>
      <c r="O2331" s="16">
        <v>0</v>
      </c>
      <c r="P2331" s="17">
        <v>280.14609999698627</v>
      </c>
      <c r="Q2331" s="17">
        <v>0</v>
      </c>
      <c r="R2331" s="13"/>
      <c r="S2331" s="13"/>
      <c r="T2331" s="13"/>
      <c r="U2331" s="13"/>
      <c r="V2331" s="13"/>
      <c r="W2331" s="13"/>
    </row>
    <row r="2332" spans="1:23" x14ac:dyDescent="0.2">
      <c r="A2332"/>
      <c r="B2332"/>
      <c r="C2332"/>
      <c r="D2332"/>
      <c r="E2332"/>
      <c r="F2332"/>
      <c r="G2332"/>
      <c r="H2332"/>
      <c r="I2332"/>
      <c r="J2332"/>
      <c r="K2332" s="13" t="s">
        <v>206</v>
      </c>
      <c r="L2332" s="13" t="s">
        <v>513</v>
      </c>
      <c r="M2332" s="13" t="s">
        <v>533</v>
      </c>
      <c r="N2332" s="15">
        <v>0</v>
      </c>
      <c r="O2332" s="16">
        <v>0</v>
      </c>
      <c r="P2332" s="17">
        <v>123.06194998702625</v>
      </c>
      <c r="Q2332" s="17">
        <v>0</v>
      </c>
      <c r="R2332" s="13"/>
      <c r="S2332" s="13"/>
      <c r="T2332" s="13"/>
      <c r="U2332" s="13"/>
      <c r="V2332" s="13"/>
      <c r="W2332" s="13"/>
    </row>
    <row r="2333" spans="1:23" x14ac:dyDescent="0.2">
      <c r="A2333"/>
      <c r="B2333"/>
      <c r="C2333"/>
      <c r="D2333"/>
      <c r="E2333"/>
      <c r="F2333"/>
      <c r="G2333"/>
      <c r="H2333"/>
      <c r="I2333"/>
      <c r="J2333"/>
      <c r="K2333" s="13" t="s">
        <v>206</v>
      </c>
      <c r="L2333" s="13" t="s">
        <v>636</v>
      </c>
      <c r="M2333" s="13" t="s">
        <v>637</v>
      </c>
      <c r="N2333" s="15">
        <v>0</v>
      </c>
      <c r="O2333" s="16">
        <v>0</v>
      </c>
      <c r="P2333" s="17">
        <v>19.936955531319395</v>
      </c>
      <c r="Q2333" s="17">
        <v>0</v>
      </c>
      <c r="R2333" s="13"/>
      <c r="S2333" s="13"/>
      <c r="T2333" s="13"/>
      <c r="U2333" s="13"/>
      <c r="V2333" s="13"/>
      <c r="W2333" s="13"/>
    </row>
    <row r="2334" spans="1:23" x14ac:dyDescent="0.2">
      <c r="A2334"/>
      <c r="B2334"/>
      <c r="C2334"/>
      <c r="D2334"/>
      <c r="E2334"/>
      <c r="F2334"/>
      <c r="G2334"/>
      <c r="H2334"/>
      <c r="I2334"/>
      <c r="J2334"/>
      <c r="K2334" s="13" t="s">
        <v>206</v>
      </c>
      <c r="L2334" s="13" t="s">
        <v>440</v>
      </c>
      <c r="M2334" s="13" t="s">
        <v>441</v>
      </c>
      <c r="N2334" s="15">
        <v>8</v>
      </c>
      <c r="O2334" s="16">
        <v>0</v>
      </c>
      <c r="P2334" s="17">
        <v>0</v>
      </c>
      <c r="Q2334" s="17">
        <v>0</v>
      </c>
      <c r="R2334" s="13"/>
      <c r="S2334" s="13"/>
      <c r="T2334" s="13"/>
      <c r="U2334" s="13"/>
      <c r="V2334" s="13"/>
      <c r="W2334" s="13"/>
    </row>
    <row r="2335" spans="1:23" x14ac:dyDescent="0.2">
      <c r="A2335"/>
      <c r="B2335"/>
      <c r="C2335"/>
      <c r="D2335"/>
      <c r="E2335"/>
      <c r="F2335"/>
      <c r="G2335"/>
      <c r="H2335"/>
      <c r="I2335"/>
      <c r="J2335"/>
      <c r="K2335" s="13" t="s">
        <v>206</v>
      </c>
      <c r="L2335" s="13" t="s">
        <v>394</v>
      </c>
      <c r="M2335" s="13" t="s">
        <v>359</v>
      </c>
      <c r="N2335" s="15">
        <v>0</v>
      </c>
      <c r="O2335" s="16">
        <v>0</v>
      </c>
      <c r="P2335" s="17">
        <v>45.858959402140208</v>
      </c>
      <c r="Q2335" s="17">
        <v>0</v>
      </c>
      <c r="R2335" s="13"/>
      <c r="S2335" s="13"/>
      <c r="T2335" s="13"/>
      <c r="U2335" s="13"/>
      <c r="V2335" s="13"/>
      <c r="W2335" s="13"/>
    </row>
    <row r="2336" spans="1:23" x14ac:dyDescent="0.2">
      <c r="A2336"/>
      <c r="B2336"/>
      <c r="C2336"/>
      <c r="D2336"/>
      <c r="E2336"/>
      <c r="F2336"/>
      <c r="G2336"/>
      <c r="H2336"/>
      <c r="I2336"/>
      <c r="J2336"/>
      <c r="K2336" s="13" t="s">
        <v>206</v>
      </c>
      <c r="L2336" s="13" t="s">
        <v>397</v>
      </c>
      <c r="M2336" s="13" t="s">
        <v>398</v>
      </c>
      <c r="N2336" s="15">
        <v>0</v>
      </c>
      <c r="O2336" s="16">
        <v>0</v>
      </c>
      <c r="P2336" s="17">
        <v>971.02531020759795</v>
      </c>
      <c r="Q2336" s="17">
        <v>0</v>
      </c>
      <c r="R2336" s="13"/>
      <c r="S2336" s="13"/>
      <c r="T2336" s="13"/>
      <c r="U2336" s="13"/>
      <c r="V2336" s="13"/>
      <c r="W2336" s="13"/>
    </row>
    <row r="2337" spans="1:23" x14ac:dyDescent="0.2">
      <c r="A2337"/>
      <c r="B2337"/>
      <c r="C2337"/>
      <c r="D2337"/>
      <c r="E2337"/>
      <c r="F2337"/>
      <c r="G2337"/>
      <c r="H2337"/>
      <c r="I2337"/>
      <c r="J2337"/>
      <c r="K2337" s="13" t="s">
        <v>206</v>
      </c>
      <c r="L2337" s="13" t="s">
        <v>399</v>
      </c>
      <c r="M2337" s="13" t="s">
        <v>400</v>
      </c>
      <c r="N2337" s="15">
        <v>0</v>
      </c>
      <c r="O2337" s="16">
        <v>0</v>
      </c>
      <c r="P2337" s="17">
        <v>50.835532331316777</v>
      </c>
      <c r="Q2337" s="17">
        <v>0</v>
      </c>
      <c r="R2337" s="13"/>
      <c r="S2337" s="13"/>
      <c r="T2337" s="13"/>
      <c r="U2337" s="13"/>
      <c r="V2337" s="13"/>
      <c r="W2337" s="13"/>
    </row>
    <row r="2338" spans="1:23" x14ac:dyDescent="0.2">
      <c r="A2338"/>
      <c r="B2338"/>
      <c r="C2338"/>
      <c r="D2338"/>
      <c r="E2338"/>
      <c r="F2338"/>
      <c r="G2338"/>
      <c r="H2338"/>
      <c r="I2338"/>
      <c r="J2338"/>
      <c r="K2338" s="13" t="s">
        <v>206</v>
      </c>
      <c r="L2338" s="13" t="s">
        <v>401</v>
      </c>
      <c r="M2338" s="13" t="s">
        <v>360</v>
      </c>
      <c r="N2338" s="15">
        <v>0</v>
      </c>
      <c r="O2338" s="16">
        <v>0</v>
      </c>
      <c r="P2338" s="17">
        <v>4250.9470234694318</v>
      </c>
      <c r="Q2338" s="17">
        <v>0</v>
      </c>
      <c r="R2338" s="13"/>
      <c r="S2338" s="13"/>
      <c r="T2338" s="13"/>
      <c r="U2338" s="13"/>
      <c r="V2338" s="13"/>
      <c r="W2338" s="13"/>
    </row>
    <row r="2339" spans="1:23" x14ac:dyDescent="0.2">
      <c r="A2339"/>
      <c r="B2339"/>
      <c r="C2339"/>
      <c r="D2339"/>
      <c r="E2339"/>
      <c r="F2339"/>
      <c r="G2339"/>
      <c r="H2339"/>
      <c r="I2339"/>
      <c r="J2339"/>
      <c r="K2339" s="13" t="s">
        <v>206</v>
      </c>
      <c r="L2339" s="13" t="s">
        <v>511</v>
      </c>
      <c r="M2339" s="13" t="s">
        <v>377</v>
      </c>
      <c r="N2339" s="15">
        <v>0</v>
      </c>
      <c r="O2339" s="16">
        <v>0</v>
      </c>
      <c r="P2339" s="17">
        <v>142.05039998471602</v>
      </c>
      <c r="Q2339" s="17">
        <v>0</v>
      </c>
      <c r="R2339" s="13"/>
      <c r="S2339" s="13"/>
      <c r="T2339" s="13"/>
      <c r="U2339" s="13"/>
      <c r="V2339" s="13"/>
      <c r="W2339" s="13"/>
    </row>
    <row r="2340" spans="1:23" x14ac:dyDescent="0.2">
      <c r="A2340"/>
      <c r="B2340"/>
      <c r="C2340"/>
      <c r="D2340"/>
      <c r="E2340"/>
      <c r="F2340"/>
      <c r="G2340"/>
      <c r="H2340"/>
      <c r="I2340"/>
      <c r="J2340"/>
      <c r="K2340" s="13" t="s">
        <v>206</v>
      </c>
      <c r="L2340" s="13" t="s">
        <v>402</v>
      </c>
      <c r="M2340" s="13" t="s">
        <v>403</v>
      </c>
      <c r="N2340" s="15">
        <v>0</v>
      </c>
      <c r="O2340" s="16">
        <v>0</v>
      </c>
      <c r="P2340" s="17">
        <v>7389.3397174914526</v>
      </c>
      <c r="Q2340" s="17">
        <v>0</v>
      </c>
      <c r="R2340" s="13"/>
      <c r="S2340" s="13"/>
      <c r="T2340" s="13"/>
      <c r="U2340" s="13"/>
      <c r="V2340" s="13"/>
      <c r="W2340" s="13"/>
    </row>
    <row r="2341" spans="1:23" x14ac:dyDescent="0.2">
      <c r="A2341"/>
      <c r="B2341"/>
      <c r="C2341"/>
      <c r="D2341"/>
      <c r="E2341"/>
      <c r="F2341"/>
      <c r="G2341"/>
      <c r="H2341"/>
      <c r="I2341"/>
      <c r="J2341"/>
      <c r="K2341" s="13" t="s">
        <v>206</v>
      </c>
      <c r="L2341" s="13" t="s">
        <v>448</v>
      </c>
      <c r="M2341" s="13" t="s">
        <v>366</v>
      </c>
      <c r="N2341" s="15">
        <v>0</v>
      </c>
      <c r="O2341" s="16">
        <v>0</v>
      </c>
      <c r="P2341" s="17">
        <v>580.53368126932935</v>
      </c>
      <c r="Q2341" s="17">
        <v>0</v>
      </c>
      <c r="R2341" s="13"/>
      <c r="S2341" s="13"/>
      <c r="T2341" s="13"/>
      <c r="U2341" s="13"/>
      <c r="V2341" s="13"/>
      <c r="W2341" s="13"/>
    </row>
    <row r="2342" spans="1:23" x14ac:dyDescent="0.2">
      <c r="A2342"/>
      <c r="B2342"/>
      <c r="C2342"/>
      <c r="D2342"/>
      <c r="E2342"/>
      <c r="F2342"/>
      <c r="G2342"/>
      <c r="H2342"/>
      <c r="I2342"/>
      <c r="J2342"/>
      <c r="K2342" s="13" t="s">
        <v>206</v>
      </c>
      <c r="L2342" s="13" t="s">
        <v>462</v>
      </c>
      <c r="M2342" s="13" t="s">
        <v>370</v>
      </c>
      <c r="N2342" s="15">
        <v>0</v>
      </c>
      <c r="O2342" s="16">
        <v>0</v>
      </c>
      <c r="P2342" s="17">
        <v>50.459299991392697</v>
      </c>
      <c r="Q2342" s="17">
        <v>0</v>
      </c>
      <c r="R2342" s="13"/>
      <c r="S2342" s="13"/>
      <c r="T2342" s="13"/>
      <c r="U2342" s="13"/>
      <c r="V2342" s="13"/>
      <c r="W2342" s="13"/>
    </row>
    <row r="2343" spans="1:23" x14ac:dyDescent="0.2">
      <c r="A2343"/>
      <c r="B2343"/>
      <c r="C2343"/>
      <c r="D2343"/>
      <c r="E2343"/>
      <c r="F2343"/>
      <c r="G2343"/>
      <c r="H2343"/>
      <c r="I2343"/>
      <c r="J2343"/>
      <c r="K2343" s="13" t="s">
        <v>206</v>
      </c>
      <c r="L2343" s="13" t="s">
        <v>456</v>
      </c>
      <c r="M2343" s="13" t="s">
        <v>457</v>
      </c>
      <c r="N2343" s="15">
        <v>0</v>
      </c>
      <c r="O2343" s="16">
        <v>0</v>
      </c>
      <c r="P2343" s="17">
        <v>149.43209999405224</v>
      </c>
      <c r="Q2343" s="17">
        <v>0</v>
      </c>
      <c r="R2343" s="13"/>
      <c r="S2343" s="13"/>
      <c r="T2343" s="13"/>
      <c r="U2343" s="13"/>
      <c r="V2343" s="13"/>
      <c r="W2343" s="13"/>
    </row>
    <row r="2344" spans="1:23" x14ac:dyDescent="0.2">
      <c r="A2344"/>
      <c r="B2344"/>
      <c r="C2344"/>
      <c r="D2344"/>
      <c r="E2344"/>
      <c r="F2344"/>
      <c r="G2344"/>
      <c r="H2344"/>
      <c r="I2344"/>
      <c r="J2344"/>
      <c r="K2344" s="13" t="s">
        <v>206</v>
      </c>
      <c r="L2344" s="13" t="s">
        <v>404</v>
      </c>
      <c r="M2344" s="13" t="s">
        <v>405</v>
      </c>
      <c r="N2344" s="15">
        <v>0</v>
      </c>
      <c r="O2344" s="16">
        <v>0</v>
      </c>
      <c r="P2344" s="17">
        <v>59.342800009450016</v>
      </c>
      <c r="Q2344" s="17">
        <v>207.56492644292956</v>
      </c>
      <c r="R2344" s="13"/>
      <c r="S2344" s="13"/>
      <c r="T2344" s="13"/>
      <c r="U2344" s="13"/>
      <c r="V2344" s="13"/>
      <c r="W2344" s="13"/>
    </row>
    <row r="2345" spans="1:23" x14ac:dyDescent="0.2">
      <c r="A2345"/>
      <c r="B2345"/>
      <c r="C2345"/>
      <c r="D2345"/>
      <c r="E2345"/>
      <c r="F2345"/>
      <c r="G2345"/>
      <c r="H2345"/>
      <c r="I2345"/>
      <c r="J2345"/>
      <c r="K2345" s="13" t="s">
        <v>206</v>
      </c>
      <c r="L2345" s="13" t="s">
        <v>406</v>
      </c>
      <c r="M2345" s="13" t="s">
        <v>361</v>
      </c>
      <c r="N2345" s="15">
        <v>0</v>
      </c>
      <c r="O2345" s="16">
        <v>0</v>
      </c>
      <c r="P2345" s="17">
        <v>12.985049999503001</v>
      </c>
      <c r="Q2345" s="17">
        <v>47.184995622372256</v>
      </c>
      <c r="R2345" s="13"/>
      <c r="S2345" s="13"/>
      <c r="T2345" s="13"/>
      <c r="U2345" s="13"/>
      <c r="V2345" s="13"/>
      <c r="W2345" s="13"/>
    </row>
    <row r="2346" spans="1:23" x14ac:dyDescent="0.2">
      <c r="A2346"/>
      <c r="B2346"/>
      <c r="C2346"/>
      <c r="D2346"/>
      <c r="E2346"/>
      <c r="F2346"/>
      <c r="G2346"/>
      <c r="H2346"/>
      <c r="I2346"/>
      <c r="J2346"/>
      <c r="K2346" s="13" t="s">
        <v>206</v>
      </c>
      <c r="L2346" s="13" t="s">
        <v>381</v>
      </c>
      <c r="M2346" s="13" t="s">
        <v>382</v>
      </c>
      <c r="N2346" s="15">
        <v>58</v>
      </c>
      <c r="O2346" s="16">
        <v>0</v>
      </c>
      <c r="P2346" s="17">
        <v>0</v>
      </c>
      <c r="Q2346" s="17">
        <v>0</v>
      </c>
      <c r="R2346" s="13"/>
      <c r="S2346" s="13"/>
      <c r="T2346" s="13"/>
      <c r="U2346" s="13"/>
      <c r="V2346" s="13"/>
      <c r="W2346" s="13"/>
    </row>
    <row r="2347" spans="1:23" x14ac:dyDescent="0.2">
      <c r="A2347"/>
      <c r="B2347"/>
      <c r="C2347"/>
      <c r="D2347"/>
      <c r="E2347"/>
      <c r="F2347"/>
      <c r="G2347"/>
      <c r="H2347"/>
      <c r="I2347"/>
      <c r="J2347"/>
      <c r="K2347" s="13" t="s">
        <v>206</v>
      </c>
      <c r="L2347" s="13" t="s">
        <v>407</v>
      </c>
      <c r="M2347" s="13" t="s">
        <v>408</v>
      </c>
      <c r="N2347" s="15">
        <v>6</v>
      </c>
      <c r="O2347" s="16">
        <v>0</v>
      </c>
      <c r="P2347" s="17">
        <v>0</v>
      </c>
      <c r="Q2347" s="17">
        <v>0</v>
      </c>
      <c r="R2347" s="13"/>
      <c r="S2347" s="13"/>
      <c r="T2347" s="13"/>
      <c r="U2347" s="13"/>
      <c r="V2347" s="13"/>
      <c r="W2347" s="13"/>
    </row>
    <row r="2348" spans="1:23" x14ac:dyDescent="0.2">
      <c r="A2348"/>
      <c r="B2348"/>
      <c r="C2348"/>
      <c r="D2348"/>
      <c r="E2348"/>
      <c r="F2348"/>
      <c r="G2348"/>
      <c r="H2348"/>
      <c r="I2348"/>
      <c r="J2348"/>
      <c r="K2348" s="13" t="s">
        <v>206</v>
      </c>
      <c r="L2348" s="13" t="s">
        <v>411</v>
      </c>
      <c r="M2348" s="13" t="s">
        <v>362</v>
      </c>
      <c r="N2348" s="15">
        <v>0</v>
      </c>
      <c r="O2348" s="16">
        <v>0</v>
      </c>
      <c r="P2348" s="17">
        <v>5.4593999999267115</v>
      </c>
      <c r="Q2348" s="17">
        <v>0</v>
      </c>
      <c r="R2348" s="13"/>
      <c r="S2348" s="13"/>
      <c r="T2348" s="13"/>
      <c r="U2348" s="13"/>
      <c r="V2348" s="13"/>
      <c r="W2348" s="13"/>
    </row>
    <row r="2349" spans="1:23" x14ac:dyDescent="0.2">
      <c r="A2349"/>
      <c r="B2349"/>
      <c r="C2349"/>
      <c r="D2349"/>
      <c r="E2349"/>
      <c r="F2349"/>
      <c r="G2349"/>
      <c r="H2349"/>
      <c r="I2349"/>
      <c r="J2349"/>
      <c r="K2349" s="13" t="s">
        <v>206</v>
      </c>
      <c r="L2349" s="13" t="s">
        <v>411</v>
      </c>
      <c r="M2349" s="13" t="s">
        <v>362</v>
      </c>
      <c r="N2349" s="15">
        <v>0</v>
      </c>
      <c r="O2349" s="16">
        <v>1799.8562326537053</v>
      </c>
      <c r="P2349" s="17">
        <v>0</v>
      </c>
      <c r="Q2349" s="17">
        <v>0</v>
      </c>
      <c r="R2349" s="13"/>
      <c r="S2349" s="13"/>
      <c r="T2349" s="13"/>
      <c r="U2349" s="13"/>
      <c r="V2349" s="13"/>
      <c r="W2349" s="13"/>
    </row>
    <row r="2350" spans="1:23" x14ac:dyDescent="0.2">
      <c r="A2350"/>
      <c r="B2350"/>
      <c r="C2350"/>
      <c r="D2350"/>
      <c r="E2350"/>
      <c r="F2350"/>
      <c r="G2350"/>
      <c r="H2350"/>
      <c r="I2350"/>
      <c r="J2350"/>
      <c r="K2350" s="13" t="s">
        <v>206</v>
      </c>
      <c r="L2350" s="13" t="s">
        <v>411</v>
      </c>
      <c r="M2350" s="13" t="s">
        <v>362</v>
      </c>
      <c r="N2350" s="15">
        <v>1</v>
      </c>
      <c r="O2350" s="16">
        <v>0</v>
      </c>
      <c r="P2350" s="17">
        <v>0</v>
      </c>
      <c r="Q2350" s="17">
        <v>0</v>
      </c>
      <c r="R2350" s="13"/>
      <c r="S2350" s="13"/>
      <c r="T2350" s="13"/>
      <c r="U2350" s="13"/>
      <c r="V2350" s="13"/>
      <c r="W2350" s="13"/>
    </row>
    <row r="2351" spans="1:23" x14ac:dyDescent="0.2">
      <c r="A2351"/>
      <c r="B2351"/>
      <c r="C2351"/>
      <c r="D2351"/>
      <c r="E2351"/>
      <c r="F2351"/>
      <c r="G2351"/>
      <c r="H2351"/>
      <c r="I2351"/>
      <c r="J2351"/>
      <c r="K2351" s="13" t="s">
        <v>206</v>
      </c>
      <c r="L2351" s="13" t="s">
        <v>638</v>
      </c>
      <c r="M2351" s="13" t="s">
        <v>639</v>
      </c>
      <c r="N2351" s="15">
        <v>0</v>
      </c>
      <c r="O2351" s="16">
        <v>28.119359160657595</v>
      </c>
      <c r="P2351" s="17">
        <v>0</v>
      </c>
      <c r="Q2351" s="17">
        <v>0</v>
      </c>
      <c r="R2351" s="13"/>
      <c r="S2351" s="13"/>
      <c r="T2351" s="13"/>
      <c r="U2351" s="13"/>
      <c r="V2351" s="13"/>
      <c r="W2351" s="13"/>
    </row>
    <row r="2352" spans="1:23" x14ac:dyDescent="0.2">
      <c r="A2352"/>
      <c r="B2352"/>
      <c r="C2352"/>
      <c r="D2352"/>
      <c r="E2352"/>
      <c r="F2352"/>
      <c r="G2352"/>
      <c r="H2352"/>
      <c r="I2352"/>
      <c r="J2352"/>
      <c r="K2352" s="13" t="s">
        <v>206</v>
      </c>
      <c r="L2352" s="13" t="s">
        <v>413</v>
      </c>
      <c r="M2352" s="13" t="s">
        <v>428</v>
      </c>
      <c r="N2352" s="15">
        <v>1</v>
      </c>
      <c r="O2352" s="16">
        <v>0</v>
      </c>
      <c r="P2352" s="17">
        <v>0</v>
      </c>
      <c r="Q2352" s="17">
        <v>0</v>
      </c>
      <c r="R2352" s="13"/>
      <c r="S2352" s="13"/>
      <c r="T2352" s="13"/>
      <c r="U2352" s="13"/>
      <c r="V2352" s="13"/>
      <c r="W2352" s="13"/>
    </row>
    <row r="2353" spans="1:23" x14ac:dyDescent="0.2">
      <c r="A2353"/>
      <c r="B2353"/>
      <c r="C2353"/>
      <c r="D2353"/>
      <c r="E2353"/>
      <c r="F2353"/>
      <c r="G2353"/>
      <c r="H2353"/>
      <c r="I2353"/>
      <c r="J2353"/>
      <c r="K2353" s="13" t="s">
        <v>206</v>
      </c>
      <c r="L2353" s="13" t="s">
        <v>475</v>
      </c>
      <c r="M2353" s="13" t="s">
        <v>470</v>
      </c>
      <c r="N2353" s="15">
        <v>1</v>
      </c>
      <c r="O2353" s="16">
        <v>0</v>
      </c>
      <c r="P2353" s="17">
        <v>0</v>
      </c>
      <c r="Q2353" s="17">
        <v>0</v>
      </c>
      <c r="R2353" s="13"/>
      <c r="S2353" s="13"/>
      <c r="T2353" s="13"/>
      <c r="U2353" s="13"/>
      <c r="V2353" s="13"/>
      <c r="W2353" s="13"/>
    </row>
    <row r="2354" spans="1:23" x14ac:dyDescent="0.2">
      <c r="A2354"/>
      <c r="B2354"/>
      <c r="C2354"/>
      <c r="D2354"/>
      <c r="E2354"/>
      <c r="F2354"/>
      <c r="G2354"/>
      <c r="H2354"/>
      <c r="I2354"/>
      <c r="J2354"/>
      <c r="K2354" s="13" t="s">
        <v>206</v>
      </c>
      <c r="L2354" s="13" t="s">
        <v>605</v>
      </c>
      <c r="M2354" s="13" t="s">
        <v>429</v>
      </c>
      <c r="N2354" s="15">
        <v>0</v>
      </c>
      <c r="O2354" s="16">
        <v>104.81275921561945</v>
      </c>
      <c r="P2354" s="17">
        <v>0</v>
      </c>
      <c r="Q2354" s="17">
        <v>0</v>
      </c>
      <c r="R2354" s="13"/>
      <c r="S2354" s="13"/>
      <c r="T2354" s="13"/>
      <c r="U2354" s="13"/>
      <c r="V2354" s="13"/>
      <c r="W2354" s="13"/>
    </row>
    <row r="2355" spans="1:23" x14ac:dyDescent="0.2">
      <c r="A2355"/>
      <c r="B2355"/>
      <c r="C2355"/>
      <c r="D2355"/>
      <c r="E2355"/>
      <c r="F2355"/>
      <c r="G2355"/>
      <c r="H2355"/>
      <c r="I2355"/>
      <c r="J2355"/>
      <c r="K2355" s="13" t="s">
        <v>206</v>
      </c>
      <c r="L2355" s="13" t="s">
        <v>606</v>
      </c>
      <c r="M2355" s="13" t="s">
        <v>430</v>
      </c>
      <c r="N2355" s="15">
        <v>56</v>
      </c>
      <c r="O2355" s="16">
        <v>0</v>
      </c>
      <c r="P2355" s="17">
        <v>0</v>
      </c>
      <c r="Q2355" s="17">
        <v>0</v>
      </c>
      <c r="R2355" s="13"/>
      <c r="S2355" s="13"/>
      <c r="T2355" s="13"/>
      <c r="U2355" s="13"/>
      <c r="V2355" s="13"/>
      <c r="W2355" s="13"/>
    </row>
    <row r="2356" spans="1:23" x14ac:dyDescent="0.2">
      <c r="A2356"/>
      <c r="B2356"/>
      <c r="C2356"/>
      <c r="D2356"/>
      <c r="E2356"/>
      <c r="F2356"/>
      <c r="G2356"/>
      <c r="H2356"/>
      <c r="I2356"/>
      <c r="J2356"/>
      <c r="K2356" s="13" t="s">
        <v>206</v>
      </c>
      <c r="L2356" s="13" t="s">
        <v>623</v>
      </c>
      <c r="M2356" s="13" t="s">
        <v>530</v>
      </c>
      <c r="N2356" s="15">
        <v>0</v>
      </c>
      <c r="O2356" s="16">
        <v>59.194615789402725</v>
      </c>
      <c r="P2356" s="17">
        <v>0</v>
      </c>
      <c r="Q2356" s="17">
        <v>0</v>
      </c>
      <c r="R2356" s="13"/>
      <c r="S2356" s="13"/>
      <c r="T2356" s="13"/>
      <c r="U2356" s="13"/>
      <c r="V2356" s="13"/>
      <c r="W2356" s="13"/>
    </row>
    <row r="2357" spans="1:23" x14ac:dyDescent="0.2">
      <c r="A2357"/>
      <c r="B2357"/>
      <c r="C2357"/>
      <c r="D2357"/>
      <c r="E2357"/>
      <c r="F2357"/>
      <c r="G2357"/>
      <c r="H2357"/>
      <c r="I2357"/>
      <c r="J2357"/>
      <c r="K2357" s="13" t="s">
        <v>206</v>
      </c>
      <c r="L2357" s="13" t="s">
        <v>608</v>
      </c>
      <c r="M2357" s="13" t="s">
        <v>432</v>
      </c>
      <c r="N2357" s="15">
        <v>25</v>
      </c>
      <c r="O2357" s="16">
        <v>0</v>
      </c>
      <c r="P2357" s="17">
        <v>0</v>
      </c>
      <c r="Q2357" s="17">
        <v>0</v>
      </c>
      <c r="R2357" s="13"/>
      <c r="S2357" s="13"/>
      <c r="T2357" s="13"/>
      <c r="U2357" s="13"/>
      <c r="V2357" s="13"/>
      <c r="W2357" s="13"/>
    </row>
    <row r="2358" spans="1:23" x14ac:dyDescent="0.2">
      <c r="A2358"/>
      <c r="B2358"/>
      <c r="C2358"/>
      <c r="D2358"/>
      <c r="E2358"/>
      <c r="F2358"/>
      <c r="G2358"/>
      <c r="H2358"/>
      <c r="I2358"/>
      <c r="J2358"/>
      <c r="K2358" s="13" t="s">
        <v>206</v>
      </c>
      <c r="L2358" s="13" t="s">
        <v>615</v>
      </c>
      <c r="M2358" s="13" t="s">
        <v>449</v>
      </c>
      <c r="N2358" s="15">
        <v>1</v>
      </c>
      <c r="O2358" s="16">
        <v>0</v>
      </c>
      <c r="P2358" s="17">
        <v>0</v>
      </c>
      <c r="Q2358" s="17">
        <v>0</v>
      </c>
      <c r="R2358" s="13"/>
      <c r="S2358" s="13"/>
      <c r="T2358" s="13"/>
      <c r="U2358" s="13"/>
      <c r="V2358" s="13"/>
      <c r="W2358" s="13"/>
    </row>
    <row r="2359" spans="1:23" x14ac:dyDescent="0.2">
      <c r="A2359"/>
      <c r="B2359"/>
      <c r="C2359"/>
      <c r="D2359"/>
      <c r="E2359"/>
      <c r="F2359"/>
      <c r="G2359"/>
      <c r="H2359"/>
      <c r="I2359"/>
      <c r="J2359"/>
      <c r="K2359" s="13" t="s">
        <v>206</v>
      </c>
      <c r="L2359" s="13" t="s">
        <v>640</v>
      </c>
      <c r="M2359" s="13" t="s">
        <v>641</v>
      </c>
      <c r="N2359" s="15">
        <v>0</v>
      </c>
      <c r="O2359" s="16">
        <v>0</v>
      </c>
      <c r="P2359" s="17">
        <v>3.7580420724187924</v>
      </c>
      <c r="Q2359" s="17">
        <v>0</v>
      </c>
      <c r="R2359" s="13"/>
      <c r="S2359" s="13"/>
      <c r="T2359" s="13"/>
      <c r="U2359" s="13"/>
      <c r="V2359" s="13"/>
      <c r="W2359" s="13"/>
    </row>
    <row r="2360" spans="1:23" x14ac:dyDescent="0.2">
      <c r="A2360"/>
      <c r="B2360"/>
      <c r="C2360"/>
      <c r="D2360"/>
      <c r="E2360"/>
      <c r="F2360"/>
      <c r="G2360"/>
      <c r="H2360"/>
      <c r="I2360"/>
      <c r="J2360"/>
      <c r="K2360" s="13" t="s">
        <v>206</v>
      </c>
      <c r="L2360" s="13" t="s">
        <v>415</v>
      </c>
      <c r="M2360" s="13" t="s">
        <v>412</v>
      </c>
      <c r="N2360" s="15">
        <v>0</v>
      </c>
      <c r="O2360" s="16">
        <v>0</v>
      </c>
      <c r="P2360" s="17">
        <v>216.90626850773549</v>
      </c>
      <c r="Q2360" s="17">
        <v>0</v>
      </c>
      <c r="R2360" s="13"/>
      <c r="S2360" s="13"/>
      <c r="T2360" s="13"/>
      <c r="U2360" s="13"/>
      <c r="V2360" s="13"/>
      <c r="W2360" s="13"/>
    </row>
    <row r="2361" spans="1:23" x14ac:dyDescent="0.2">
      <c r="A2361"/>
      <c r="B2361"/>
      <c r="C2361"/>
      <c r="D2361"/>
      <c r="E2361"/>
      <c r="F2361"/>
      <c r="G2361"/>
      <c r="H2361"/>
      <c r="I2361"/>
      <c r="J2361"/>
      <c r="K2361" s="13" t="s">
        <v>206</v>
      </c>
      <c r="L2361" s="13" t="s">
        <v>523</v>
      </c>
      <c r="M2361" s="13" t="s">
        <v>476</v>
      </c>
      <c r="N2361" s="15">
        <v>0</v>
      </c>
      <c r="O2361" s="16">
        <v>0</v>
      </c>
      <c r="P2361" s="17">
        <v>24.889878107662319</v>
      </c>
      <c r="Q2361" s="17">
        <v>0</v>
      </c>
      <c r="R2361" s="13"/>
      <c r="S2361" s="13"/>
      <c r="T2361" s="13"/>
      <c r="U2361" s="13"/>
      <c r="V2361" s="13"/>
      <c r="W2361" s="13"/>
    </row>
    <row r="2362" spans="1:23" x14ac:dyDescent="0.2">
      <c r="A2362"/>
      <c r="B2362"/>
      <c r="C2362"/>
      <c r="D2362"/>
      <c r="E2362"/>
      <c r="F2362"/>
      <c r="G2362"/>
      <c r="H2362"/>
      <c r="I2362"/>
      <c r="J2362"/>
      <c r="K2362" s="13" t="s">
        <v>206</v>
      </c>
      <c r="L2362" s="13" t="s">
        <v>421</v>
      </c>
      <c r="M2362" s="13" t="s">
        <v>443</v>
      </c>
      <c r="N2362" s="15">
        <v>7</v>
      </c>
      <c r="O2362" s="16">
        <v>0</v>
      </c>
      <c r="P2362" s="17">
        <v>0</v>
      </c>
      <c r="Q2362" s="17">
        <v>0</v>
      </c>
      <c r="R2362" s="13"/>
      <c r="S2362" s="13"/>
      <c r="T2362" s="13"/>
      <c r="U2362" s="13"/>
      <c r="V2362" s="13"/>
      <c r="W2362" s="13"/>
    </row>
    <row r="2363" spans="1:23" x14ac:dyDescent="0.2">
      <c r="A2363"/>
      <c r="B2363"/>
      <c r="C2363"/>
      <c r="D2363"/>
      <c r="E2363"/>
      <c r="F2363"/>
      <c r="G2363"/>
      <c r="H2363"/>
      <c r="I2363"/>
      <c r="J2363"/>
      <c r="K2363" s="13" t="s">
        <v>206</v>
      </c>
      <c r="L2363" s="13" t="s">
        <v>383</v>
      </c>
      <c r="M2363" s="13" t="s">
        <v>420</v>
      </c>
      <c r="N2363" s="15">
        <v>14</v>
      </c>
      <c r="O2363" s="16">
        <v>0</v>
      </c>
      <c r="P2363" s="17">
        <v>0</v>
      </c>
      <c r="Q2363" s="17">
        <v>0</v>
      </c>
      <c r="R2363" s="13"/>
      <c r="S2363" s="13"/>
      <c r="T2363" s="13"/>
      <c r="U2363" s="13"/>
      <c r="V2363" s="13"/>
      <c r="W2363" s="13"/>
    </row>
    <row r="2364" spans="1:23" x14ac:dyDescent="0.2">
      <c r="A2364"/>
      <c r="B2364"/>
      <c r="C2364"/>
      <c r="D2364"/>
      <c r="E2364"/>
      <c r="F2364"/>
      <c r="G2364"/>
      <c r="H2364"/>
      <c r="I2364"/>
      <c r="J2364"/>
      <c r="K2364" s="13" t="s">
        <v>206</v>
      </c>
      <c r="L2364" s="13" t="s">
        <v>528</v>
      </c>
      <c r="M2364" s="13" t="s">
        <v>384</v>
      </c>
      <c r="N2364" s="15">
        <v>0</v>
      </c>
      <c r="O2364" s="16">
        <v>9.4019200149235083</v>
      </c>
      <c r="P2364" s="17">
        <v>0</v>
      </c>
      <c r="Q2364" s="17">
        <v>0</v>
      </c>
      <c r="R2364" s="13"/>
      <c r="S2364" s="13"/>
      <c r="T2364" s="13"/>
      <c r="U2364" s="13"/>
      <c r="V2364" s="13"/>
      <c r="W2364" s="13"/>
    </row>
    <row r="2365" spans="1:23" x14ac:dyDescent="0.2">
      <c r="A2365"/>
      <c r="B2365"/>
      <c r="C2365"/>
      <c r="D2365"/>
      <c r="E2365"/>
      <c r="F2365"/>
      <c r="G2365"/>
      <c r="H2365"/>
      <c r="I2365"/>
      <c r="J2365"/>
      <c r="K2365" s="13" t="s">
        <v>206</v>
      </c>
      <c r="L2365" s="13" t="s">
        <v>613</v>
      </c>
      <c r="M2365" s="13" t="s">
        <v>444</v>
      </c>
      <c r="N2365" s="15">
        <v>0</v>
      </c>
      <c r="O2365" s="16">
        <v>178.56600088479044</v>
      </c>
      <c r="P2365" s="17">
        <v>0</v>
      </c>
      <c r="Q2365" s="17">
        <v>0</v>
      </c>
      <c r="R2365" s="13"/>
      <c r="S2365" s="13"/>
      <c r="T2365" s="13"/>
      <c r="U2365" s="13"/>
      <c r="V2365" s="13"/>
      <c r="W2365" s="13"/>
    </row>
    <row r="2366" spans="1:23" x14ac:dyDescent="0.2">
      <c r="A2366"/>
      <c r="B2366"/>
      <c r="C2366"/>
      <c r="D2366"/>
      <c r="E2366"/>
      <c r="F2366"/>
      <c r="G2366"/>
      <c r="H2366"/>
      <c r="I2366"/>
      <c r="J2366"/>
      <c r="K2366" s="13" t="s">
        <v>206</v>
      </c>
      <c r="L2366" s="13" t="s">
        <v>611</v>
      </c>
      <c r="M2366" s="13" t="s">
        <v>423</v>
      </c>
      <c r="N2366" s="15">
        <v>0</v>
      </c>
      <c r="O2366" s="16">
        <v>101.75766038466359</v>
      </c>
      <c r="P2366" s="17">
        <v>0</v>
      </c>
      <c r="Q2366" s="17">
        <v>0</v>
      </c>
      <c r="R2366" s="13"/>
      <c r="S2366" s="13"/>
      <c r="T2366" s="13"/>
      <c r="U2366" s="13"/>
      <c r="V2366" s="13"/>
      <c r="W2366" s="13"/>
    </row>
    <row r="2367" spans="1:23" x14ac:dyDescent="0.2">
      <c r="A2367"/>
      <c r="B2367"/>
      <c r="C2367"/>
      <c r="D2367"/>
      <c r="E2367"/>
      <c r="F2367"/>
      <c r="G2367"/>
      <c r="H2367"/>
      <c r="I2367"/>
      <c r="J2367"/>
      <c r="K2367" s="13" t="s">
        <v>206</v>
      </c>
      <c r="L2367" s="13" t="s">
        <v>446</v>
      </c>
      <c r="M2367" s="13" t="s">
        <v>371</v>
      </c>
      <c r="N2367" s="15">
        <v>28</v>
      </c>
      <c r="O2367" s="16">
        <v>0</v>
      </c>
      <c r="P2367" s="17">
        <v>0</v>
      </c>
      <c r="Q2367" s="17">
        <v>0</v>
      </c>
      <c r="R2367" s="13"/>
      <c r="S2367" s="13"/>
      <c r="T2367" s="13"/>
      <c r="U2367" s="13"/>
      <c r="V2367" s="13"/>
      <c r="W2367" s="13"/>
    </row>
    <row r="2368" spans="1:23" x14ac:dyDescent="0.2">
      <c r="A2368"/>
      <c r="B2368"/>
      <c r="C2368"/>
      <c r="D2368"/>
      <c r="E2368"/>
      <c r="F2368"/>
      <c r="G2368"/>
      <c r="H2368"/>
      <c r="I2368"/>
      <c r="J2368"/>
      <c r="K2368" s="13" t="s">
        <v>206</v>
      </c>
      <c r="L2368" s="13" t="s">
        <v>424</v>
      </c>
      <c r="M2368" s="13" t="s">
        <v>468</v>
      </c>
      <c r="N2368" s="15">
        <v>0</v>
      </c>
      <c r="O2368" s="16">
        <v>0</v>
      </c>
      <c r="P2368" s="17">
        <v>48.47680000090498</v>
      </c>
      <c r="Q2368" s="17">
        <v>0</v>
      </c>
      <c r="R2368" s="13"/>
      <c r="S2368" s="13"/>
      <c r="T2368" s="13"/>
      <c r="U2368" s="13"/>
      <c r="V2368" s="13"/>
      <c r="W2368" s="13"/>
    </row>
    <row r="2369" spans="1:23" x14ac:dyDescent="0.2">
      <c r="A2369"/>
      <c r="B2369"/>
      <c r="C2369"/>
      <c r="D2369"/>
      <c r="E2369"/>
      <c r="F2369"/>
      <c r="G2369"/>
      <c r="H2369"/>
      <c r="I2369"/>
      <c r="J2369"/>
      <c r="K2369" s="13" t="s">
        <v>206</v>
      </c>
      <c r="L2369" s="13" t="s">
        <v>484</v>
      </c>
      <c r="M2369" s="13" t="s">
        <v>529</v>
      </c>
      <c r="N2369" s="15">
        <v>0</v>
      </c>
      <c r="O2369" s="16">
        <v>78.435040432087348</v>
      </c>
      <c r="P2369" s="17">
        <v>0</v>
      </c>
      <c r="Q2369" s="17">
        <v>0</v>
      </c>
      <c r="R2369" s="13"/>
      <c r="S2369" s="13"/>
      <c r="T2369" s="13"/>
      <c r="U2369" s="13"/>
      <c r="V2369" s="13"/>
      <c r="W2369" s="13"/>
    </row>
    <row r="2370" spans="1:23" x14ac:dyDescent="0.2">
      <c r="A2370"/>
      <c r="B2370"/>
      <c r="C2370"/>
      <c r="D2370"/>
      <c r="E2370"/>
      <c r="F2370"/>
      <c r="G2370"/>
      <c r="H2370"/>
      <c r="I2370"/>
      <c r="J2370"/>
      <c r="K2370" s="13" t="s">
        <v>206</v>
      </c>
      <c r="L2370" s="13" t="s">
        <v>614</v>
      </c>
      <c r="M2370" s="13" t="s">
        <v>447</v>
      </c>
      <c r="N2370" s="15">
        <v>5</v>
      </c>
      <c r="O2370" s="16">
        <v>0</v>
      </c>
      <c r="P2370" s="17">
        <v>0</v>
      </c>
      <c r="Q2370" s="17">
        <v>0</v>
      </c>
      <c r="R2370" s="13"/>
      <c r="S2370" s="13"/>
      <c r="T2370" s="13"/>
      <c r="U2370" s="13"/>
      <c r="V2370" s="13"/>
      <c r="W2370" s="13"/>
    </row>
    <row r="2371" spans="1:23" x14ac:dyDescent="0.2">
      <c r="A2371"/>
      <c r="B2371"/>
      <c r="C2371"/>
      <c r="D2371"/>
      <c r="E2371"/>
      <c r="F2371"/>
      <c r="G2371"/>
      <c r="H2371"/>
      <c r="I2371"/>
      <c r="J2371"/>
      <c r="K2371" s="13" t="s">
        <v>206</v>
      </c>
      <c r="L2371" s="13" t="s">
        <v>612</v>
      </c>
      <c r="M2371" s="13" t="s">
        <v>425</v>
      </c>
      <c r="N2371" s="15">
        <v>4</v>
      </c>
      <c r="O2371" s="16">
        <v>0</v>
      </c>
      <c r="P2371" s="17">
        <v>0</v>
      </c>
      <c r="Q2371" s="17">
        <v>0</v>
      </c>
      <c r="R2371" s="13"/>
      <c r="S2371" s="13"/>
      <c r="T2371" s="13"/>
      <c r="U2371" s="13"/>
      <c r="V2371" s="13"/>
      <c r="W2371" s="13"/>
    </row>
    <row r="2372" spans="1:23" x14ac:dyDescent="0.2">
      <c r="A2372"/>
      <c r="B2372"/>
      <c r="C2372"/>
      <c r="D2372"/>
      <c r="E2372"/>
      <c r="F2372"/>
      <c r="G2372"/>
      <c r="H2372"/>
      <c r="I2372"/>
      <c r="J2372"/>
      <c r="K2372" s="13" t="s">
        <v>206</v>
      </c>
      <c r="L2372" s="13" t="s">
        <v>469</v>
      </c>
      <c r="M2372" s="13" t="s">
        <v>426</v>
      </c>
      <c r="N2372" s="15">
        <v>4</v>
      </c>
      <c r="O2372" s="16">
        <v>0</v>
      </c>
      <c r="P2372" s="17">
        <v>0</v>
      </c>
      <c r="Q2372" s="17">
        <v>0</v>
      </c>
      <c r="R2372" s="13"/>
      <c r="S2372" s="13"/>
      <c r="T2372" s="13"/>
      <c r="U2372" s="13"/>
      <c r="V2372" s="13"/>
      <c r="W2372" s="13"/>
    </row>
    <row r="2373" spans="1:23" x14ac:dyDescent="0.2">
      <c r="A2373"/>
      <c r="B2373"/>
      <c r="C2373"/>
      <c r="D2373"/>
      <c r="E2373"/>
      <c r="F2373"/>
      <c r="G2373"/>
      <c r="H2373"/>
      <c r="I2373"/>
      <c r="J2373"/>
      <c r="K2373" s="13" t="s">
        <v>207</v>
      </c>
      <c r="L2373" s="13" t="s">
        <v>435</v>
      </c>
      <c r="M2373" s="13" t="s">
        <v>364</v>
      </c>
      <c r="N2373" s="15">
        <v>0</v>
      </c>
      <c r="O2373" s="16">
        <v>0</v>
      </c>
      <c r="P2373" s="17">
        <v>48.922499989902128</v>
      </c>
      <c r="Q2373" s="17">
        <v>0</v>
      </c>
      <c r="R2373" s="13"/>
      <c r="S2373" s="13"/>
      <c r="T2373" s="13"/>
      <c r="U2373" s="13"/>
      <c r="V2373" s="13"/>
      <c r="W2373" s="13"/>
    </row>
    <row r="2374" spans="1:23" x14ac:dyDescent="0.2">
      <c r="A2374"/>
      <c r="B2374"/>
      <c r="C2374"/>
      <c r="D2374"/>
      <c r="E2374"/>
      <c r="F2374"/>
      <c r="G2374"/>
      <c r="H2374"/>
      <c r="I2374"/>
      <c r="J2374"/>
      <c r="K2374" s="13" t="s">
        <v>207</v>
      </c>
      <c r="L2374" s="13" t="s">
        <v>435</v>
      </c>
      <c r="M2374" s="13" t="s">
        <v>364</v>
      </c>
      <c r="N2374" s="15">
        <v>1</v>
      </c>
      <c r="O2374" s="16">
        <v>0</v>
      </c>
      <c r="P2374" s="17">
        <v>0</v>
      </c>
      <c r="Q2374" s="17">
        <v>0</v>
      </c>
      <c r="R2374" s="13"/>
      <c r="S2374" s="13"/>
      <c r="T2374" s="13"/>
      <c r="U2374" s="13"/>
      <c r="V2374" s="13"/>
      <c r="W2374" s="13"/>
    </row>
    <row r="2375" spans="1:23" x14ac:dyDescent="0.2">
      <c r="A2375"/>
      <c r="B2375"/>
      <c r="C2375"/>
      <c r="D2375"/>
      <c r="E2375"/>
      <c r="F2375"/>
      <c r="G2375"/>
      <c r="H2375"/>
      <c r="I2375"/>
      <c r="J2375"/>
      <c r="K2375" s="13" t="s">
        <v>207</v>
      </c>
      <c r="L2375" s="13" t="s">
        <v>387</v>
      </c>
      <c r="M2375" s="13" t="s">
        <v>386</v>
      </c>
      <c r="N2375" s="15">
        <v>0</v>
      </c>
      <c r="O2375" s="16">
        <v>0</v>
      </c>
      <c r="P2375" s="17">
        <v>1412.1572000236449</v>
      </c>
      <c r="Q2375" s="17">
        <v>0</v>
      </c>
      <c r="R2375" s="13"/>
      <c r="S2375" s="13"/>
      <c r="T2375" s="13"/>
      <c r="U2375" s="13"/>
      <c r="V2375" s="13"/>
      <c r="W2375" s="13"/>
    </row>
    <row r="2376" spans="1:23" x14ac:dyDescent="0.2">
      <c r="A2376"/>
      <c r="B2376"/>
      <c r="C2376"/>
      <c r="D2376"/>
      <c r="E2376"/>
      <c r="F2376"/>
      <c r="G2376"/>
      <c r="H2376"/>
      <c r="I2376"/>
      <c r="J2376"/>
      <c r="K2376" s="13" t="s">
        <v>207</v>
      </c>
      <c r="L2376" s="13" t="s">
        <v>389</v>
      </c>
      <c r="M2376" s="13" t="s">
        <v>388</v>
      </c>
      <c r="N2376" s="15">
        <v>0</v>
      </c>
      <c r="O2376" s="16">
        <v>0</v>
      </c>
      <c r="P2376" s="17">
        <v>6684.7208984747695</v>
      </c>
      <c r="Q2376" s="17">
        <v>0</v>
      </c>
      <c r="R2376" s="13"/>
      <c r="S2376" s="13"/>
      <c r="T2376" s="13"/>
      <c r="U2376" s="13"/>
      <c r="V2376" s="13"/>
      <c r="W2376" s="13"/>
    </row>
    <row r="2377" spans="1:23" x14ac:dyDescent="0.2">
      <c r="A2377"/>
      <c r="B2377"/>
      <c r="C2377"/>
      <c r="D2377"/>
      <c r="E2377"/>
      <c r="F2377"/>
      <c r="G2377"/>
      <c r="H2377"/>
      <c r="I2377"/>
      <c r="J2377"/>
      <c r="K2377" s="13" t="s">
        <v>207</v>
      </c>
      <c r="L2377" s="13" t="s">
        <v>542</v>
      </c>
      <c r="M2377" s="13" t="s">
        <v>390</v>
      </c>
      <c r="N2377" s="15">
        <v>0</v>
      </c>
      <c r="O2377" s="16">
        <v>0</v>
      </c>
      <c r="P2377" s="17">
        <v>3210.8761571751656</v>
      </c>
      <c r="Q2377" s="17">
        <v>0</v>
      </c>
      <c r="R2377" s="13"/>
      <c r="S2377" s="13"/>
      <c r="T2377" s="13"/>
      <c r="U2377" s="13"/>
      <c r="V2377" s="13"/>
      <c r="W2377" s="13"/>
    </row>
    <row r="2378" spans="1:23" x14ac:dyDescent="0.2">
      <c r="A2378"/>
      <c r="B2378"/>
      <c r="C2378"/>
      <c r="D2378"/>
      <c r="E2378"/>
      <c r="F2378"/>
      <c r="G2378"/>
      <c r="H2378"/>
      <c r="I2378"/>
      <c r="J2378"/>
      <c r="K2378" s="13" t="s">
        <v>207</v>
      </c>
      <c r="L2378" s="13" t="s">
        <v>391</v>
      </c>
      <c r="M2378" s="13" t="s">
        <v>358</v>
      </c>
      <c r="N2378" s="15">
        <v>0</v>
      </c>
      <c r="O2378" s="16">
        <v>0</v>
      </c>
      <c r="P2378" s="17">
        <v>212.73024998214589</v>
      </c>
      <c r="Q2378" s="17">
        <v>0</v>
      </c>
      <c r="R2378" s="13"/>
      <c r="S2378" s="13"/>
      <c r="T2378" s="13"/>
      <c r="U2378" s="13"/>
      <c r="V2378" s="13"/>
      <c r="W2378" s="13"/>
    </row>
    <row r="2379" spans="1:23" x14ac:dyDescent="0.2">
      <c r="A2379"/>
      <c r="B2379"/>
      <c r="C2379"/>
      <c r="D2379"/>
      <c r="E2379"/>
      <c r="F2379"/>
      <c r="G2379"/>
      <c r="H2379"/>
      <c r="I2379"/>
      <c r="J2379"/>
      <c r="K2379" s="13" t="s">
        <v>207</v>
      </c>
      <c r="L2379" s="13" t="s">
        <v>392</v>
      </c>
      <c r="M2379" s="13" t="s">
        <v>437</v>
      </c>
      <c r="N2379" s="15">
        <v>0</v>
      </c>
      <c r="O2379" s="16">
        <v>0</v>
      </c>
      <c r="P2379" s="17">
        <v>11.78589240699141</v>
      </c>
      <c r="Q2379" s="17">
        <v>0</v>
      </c>
      <c r="R2379" s="13"/>
      <c r="S2379" s="13"/>
      <c r="T2379" s="13"/>
      <c r="U2379" s="13"/>
      <c r="V2379" s="13"/>
      <c r="W2379" s="13"/>
    </row>
    <row r="2380" spans="1:23" x14ac:dyDescent="0.2">
      <c r="A2380"/>
      <c r="B2380"/>
      <c r="C2380"/>
      <c r="D2380"/>
      <c r="E2380"/>
      <c r="F2380"/>
      <c r="G2380"/>
      <c r="H2380"/>
      <c r="I2380"/>
      <c r="J2380"/>
      <c r="K2380" s="13" t="s">
        <v>207</v>
      </c>
      <c r="L2380" s="13" t="s">
        <v>486</v>
      </c>
      <c r="M2380" s="13" t="s">
        <v>439</v>
      </c>
      <c r="N2380" s="15">
        <v>0</v>
      </c>
      <c r="O2380" s="16">
        <v>0</v>
      </c>
      <c r="P2380" s="17">
        <v>215.12584999595268</v>
      </c>
      <c r="Q2380" s="17">
        <v>0</v>
      </c>
      <c r="R2380" s="13"/>
      <c r="S2380" s="13"/>
      <c r="T2380" s="13"/>
      <c r="U2380" s="13"/>
      <c r="V2380" s="13"/>
      <c r="W2380" s="13"/>
    </row>
    <row r="2381" spans="1:23" x14ac:dyDescent="0.2">
      <c r="A2381"/>
      <c r="B2381"/>
      <c r="C2381"/>
      <c r="D2381"/>
      <c r="E2381"/>
      <c r="F2381"/>
      <c r="G2381"/>
      <c r="H2381"/>
      <c r="I2381"/>
      <c r="J2381"/>
      <c r="K2381" s="13" t="s">
        <v>207</v>
      </c>
      <c r="L2381" s="13" t="s">
        <v>517</v>
      </c>
      <c r="M2381" s="13" t="s">
        <v>516</v>
      </c>
      <c r="N2381" s="15">
        <v>0</v>
      </c>
      <c r="O2381" s="16">
        <v>0</v>
      </c>
      <c r="P2381" s="17">
        <v>219.54574998733014</v>
      </c>
      <c r="Q2381" s="17">
        <v>0</v>
      </c>
      <c r="R2381" s="13"/>
      <c r="S2381" s="13"/>
      <c r="T2381" s="13"/>
      <c r="U2381" s="13"/>
      <c r="V2381" s="13"/>
      <c r="W2381" s="13"/>
    </row>
    <row r="2382" spans="1:23" x14ac:dyDescent="0.2">
      <c r="A2382"/>
      <c r="B2382"/>
      <c r="C2382"/>
      <c r="D2382"/>
      <c r="E2382"/>
      <c r="F2382"/>
      <c r="G2382"/>
      <c r="H2382"/>
      <c r="I2382"/>
      <c r="J2382"/>
      <c r="K2382" s="13" t="s">
        <v>207</v>
      </c>
      <c r="L2382" s="13" t="s">
        <v>512</v>
      </c>
      <c r="M2382" s="13" t="s">
        <v>466</v>
      </c>
      <c r="N2382" s="15">
        <v>0</v>
      </c>
      <c r="O2382" s="16">
        <v>0</v>
      </c>
      <c r="P2382" s="17">
        <v>667.13789998553784</v>
      </c>
      <c r="Q2382" s="17">
        <v>0</v>
      </c>
      <c r="R2382" s="13"/>
      <c r="S2382" s="13"/>
      <c r="T2382" s="13"/>
      <c r="U2382" s="13"/>
      <c r="V2382" s="13"/>
      <c r="W2382" s="13"/>
    </row>
    <row r="2383" spans="1:23" x14ac:dyDescent="0.2">
      <c r="A2383"/>
      <c r="B2383"/>
      <c r="C2383"/>
      <c r="D2383"/>
      <c r="E2383"/>
      <c r="F2383"/>
      <c r="G2383"/>
      <c r="H2383"/>
      <c r="I2383"/>
      <c r="J2383"/>
      <c r="K2383" s="13" t="s">
        <v>207</v>
      </c>
      <c r="L2383" s="13" t="s">
        <v>440</v>
      </c>
      <c r="M2383" s="13" t="s">
        <v>441</v>
      </c>
      <c r="N2383" s="15">
        <v>2</v>
      </c>
      <c r="O2383" s="16">
        <v>0</v>
      </c>
      <c r="P2383" s="17">
        <v>0</v>
      </c>
      <c r="Q2383" s="17">
        <v>0</v>
      </c>
      <c r="R2383" s="13"/>
      <c r="S2383" s="13"/>
      <c r="T2383" s="13"/>
      <c r="U2383" s="13"/>
      <c r="V2383" s="13"/>
      <c r="W2383" s="13"/>
    </row>
    <row r="2384" spans="1:23" x14ac:dyDescent="0.2">
      <c r="A2384"/>
      <c r="B2384"/>
      <c r="C2384"/>
      <c r="D2384"/>
      <c r="E2384"/>
      <c r="F2384"/>
      <c r="G2384"/>
      <c r="H2384"/>
      <c r="I2384"/>
      <c r="J2384"/>
      <c r="K2384" s="13" t="s">
        <v>207</v>
      </c>
      <c r="L2384" s="13" t="s">
        <v>395</v>
      </c>
      <c r="M2384" s="13" t="s">
        <v>602</v>
      </c>
      <c r="N2384" s="15">
        <v>1</v>
      </c>
      <c r="O2384" s="16">
        <v>0</v>
      </c>
      <c r="P2384" s="17">
        <v>0</v>
      </c>
      <c r="Q2384" s="17">
        <v>0</v>
      </c>
      <c r="R2384" s="13"/>
      <c r="S2384" s="13"/>
      <c r="T2384" s="13"/>
      <c r="U2384" s="13"/>
      <c r="V2384" s="13"/>
      <c r="W2384" s="13"/>
    </row>
    <row r="2385" spans="1:23" x14ac:dyDescent="0.2">
      <c r="A2385"/>
      <c r="B2385"/>
      <c r="C2385"/>
      <c r="D2385"/>
      <c r="E2385"/>
      <c r="F2385"/>
      <c r="G2385"/>
      <c r="H2385"/>
      <c r="I2385"/>
      <c r="J2385"/>
      <c r="K2385" s="13" t="s">
        <v>207</v>
      </c>
      <c r="L2385" s="13" t="s">
        <v>399</v>
      </c>
      <c r="M2385" s="13" t="s">
        <v>400</v>
      </c>
      <c r="N2385" s="15">
        <v>0</v>
      </c>
      <c r="O2385" s="16">
        <v>0</v>
      </c>
      <c r="P2385" s="17">
        <v>2.2026999993344769</v>
      </c>
      <c r="Q2385" s="17">
        <v>0</v>
      </c>
      <c r="R2385" s="13"/>
      <c r="S2385" s="13"/>
      <c r="T2385" s="13"/>
      <c r="U2385" s="13"/>
      <c r="V2385" s="13"/>
      <c r="W2385" s="13"/>
    </row>
    <row r="2386" spans="1:23" x14ac:dyDescent="0.2">
      <c r="A2386"/>
      <c r="B2386"/>
      <c r="C2386"/>
      <c r="D2386"/>
      <c r="E2386"/>
      <c r="F2386"/>
      <c r="G2386"/>
      <c r="H2386"/>
      <c r="I2386"/>
      <c r="J2386"/>
      <c r="K2386" s="13" t="s">
        <v>207</v>
      </c>
      <c r="L2386" s="13" t="s">
        <v>401</v>
      </c>
      <c r="M2386" s="13" t="s">
        <v>360</v>
      </c>
      <c r="N2386" s="15">
        <v>0</v>
      </c>
      <c r="O2386" s="16">
        <v>0</v>
      </c>
      <c r="P2386" s="17">
        <v>3664.8450999135707</v>
      </c>
      <c r="Q2386" s="17">
        <v>0</v>
      </c>
      <c r="R2386" s="13"/>
      <c r="S2386" s="13"/>
      <c r="T2386" s="13"/>
      <c r="U2386" s="13"/>
      <c r="V2386" s="13"/>
      <c r="W2386" s="13"/>
    </row>
    <row r="2387" spans="1:23" x14ac:dyDescent="0.2">
      <c r="A2387"/>
      <c r="B2387"/>
      <c r="C2387"/>
      <c r="D2387"/>
      <c r="E2387"/>
      <c r="F2387"/>
      <c r="G2387"/>
      <c r="H2387"/>
      <c r="I2387"/>
      <c r="J2387"/>
      <c r="K2387" s="13" t="s">
        <v>207</v>
      </c>
      <c r="L2387" s="13" t="s">
        <v>511</v>
      </c>
      <c r="M2387" s="13" t="s">
        <v>377</v>
      </c>
      <c r="N2387" s="15">
        <v>0</v>
      </c>
      <c r="O2387" s="16">
        <v>0</v>
      </c>
      <c r="P2387" s="17">
        <v>813.17809997315828</v>
      </c>
      <c r="Q2387" s="17">
        <v>0</v>
      </c>
      <c r="R2387" s="13"/>
      <c r="S2387" s="13"/>
      <c r="T2387" s="13"/>
      <c r="U2387" s="13"/>
      <c r="V2387" s="13"/>
      <c r="W2387" s="13"/>
    </row>
    <row r="2388" spans="1:23" x14ac:dyDescent="0.2">
      <c r="A2388"/>
      <c r="B2388"/>
      <c r="C2388"/>
      <c r="D2388"/>
      <c r="E2388"/>
      <c r="F2388"/>
      <c r="G2388"/>
      <c r="H2388"/>
      <c r="I2388"/>
      <c r="J2388"/>
      <c r="K2388" s="13" t="s">
        <v>207</v>
      </c>
      <c r="L2388" s="13" t="s">
        <v>402</v>
      </c>
      <c r="M2388" s="13" t="s">
        <v>403</v>
      </c>
      <c r="N2388" s="15">
        <v>0</v>
      </c>
      <c r="O2388" s="16">
        <v>0</v>
      </c>
      <c r="P2388" s="17">
        <v>5282.7122992511167</v>
      </c>
      <c r="Q2388" s="17">
        <v>0</v>
      </c>
      <c r="R2388" s="13"/>
      <c r="S2388" s="13"/>
      <c r="T2388" s="13"/>
      <c r="U2388" s="13"/>
      <c r="V2388" s="13"/>
      <c r="W2388" s="13"/>
    </row>
    <row r="2389" spans="1:23" x14ac:dyDescent="0.2">
      <c r="A2389"/>
      <c r="B2389"/>
      <c r="C2389"/>
      <c r="D2389"/>
      <c r="E2389"/>
      <c r="F2389"/>
      <c r="G2389"/>
      <c r="H2389"/>
      <c r="I2389"/>
      <c r="J2389"/>
      <c r="K2389" s="13" t="s">
        <v>207</v>
      </c>
      <c r="L2389" s="13" t="s">
        <v>448</v>
      </c>
      <c r="M2389" s="13" t="s">
        <v>366</v>
      </c>
      <c r="N2389" s="15">
        <v>0</v>
      </c>
      <c r="O2389" s="16">
        <v>0</v>
      </c>
      <c r="P2389" s="17">
        <v>897.65745001047549</v>
      </c>
      <c r="Q2389" s="17">
        <v>0</v>
      </c>
      <c r="R2389" s="13"/>
      <c r="S2389" s="13"/>
      <c r="T2389" s="13"/>
      <c r="U2389" s="13"/>
      <c r="V2389" s="13"/>
      <c r="W2389" s="13"/>
    </row>
    <row r="2390" spans="1:23" x14ac:dyDescent="0.2">
      <c r="A2390"/>
      <c r="B2390"/>
      <c r="C2390"/>
      <c r="D2390"/>
      <c r="E2390"/>
      <c r="F2390"/>
      <c r="G2390"/>
      <c r="H2390"/>
      <c r="I2390"/>
      <c r="J2390"/>
      <c r="K2390" s="13" t="s">
        <v>207</v>
      </c>
      <c r="L2390" s="13" t="s">
        <v>456</v>
      </c>
      <c r="M2390" s="13" t="s">
        <v>457</v>
      </c>
      <c r="N2390" s="15">
        <v>0</v>
      </c>
      <c r="O2390" s="16">
        <v>0</v>
      </c>
      <c r="P2390" s="17">
        <v>131.63027856983621</v>
      </c>
      <c r="Q2390" s="17">
        <v>0</v>
      </c>
      <c r="R2390" s="13"/>
      <c r="S2390" s="13"/>
      <c r="T2390" s="13"/>
      <c r="U2390" s="13"/>
      <c r="V2390" s="13"/>
      <c r="W2390" s="13"/>
    </row>
    <row r="2391" spans="1:23" x14ac:dyDescent="0.2">
      <c r="A2391"/>
      <c r="B2391"/>
      <c r="C2391"/>
      <c r="D2391"/>
      <c r="E2391"/>
      <c r="F2391"/>
      <c r="G2391"/>
      <c r="H2391"/>
      <c r="I2391"/>
      <c r="J2391"/>
      <c r="K2391" s="13" t="s">
        <v>207</v>
      </c>
      <c r="L2391" s="13" t="s">
        <v>404</v>
      </c>
      <c r="M2391" s="13" t="s">
        <v>405</v>
      </c>
      <c r="N2391" s="15">
        <v>0</v>
      </c>
      <c r="O2391" s="16">
        <v>0</v>
      </c>
      <c r="P2391" s="17">
        <v>67.633399988008563</v>
      </c>
      <c r="Q2391" s="17">
        <v>126.55067424981232</v>
      </c>
      <c r="R2391" s="13"/>
      <c r="S2391" s="13"/>
      <c r="T2391" s="13"/>
      <c r="U2391" s="13"/>
      <c r="V2391" s="13"/>
      <c r="W2391" s="13"/>
    </row>
    <row r="2392" spans="1:23" x14ac:dyDescent="0.2">
      <c r="A2392"/>
      <c r="B2392"/>
      <c r="C2392"/>
      <c r="D2392"/>
      <c r="E2392"/>
      <c r="F2392"/>
      <c r="G2392"/>
      <c r="H2392"/>
      <c r="I2392"/>
      <c r="J2392"/>
      <c r="K2392" s="13" t="s">
        <v>207</v>
      </c>
      <c r="L2392" s="13" t="s">
        <v>406</v>
      </c>
      <c r="M2392" s="13" t="s">
        <v>361</v>
      </c>
      <c r="N2392" s="15">
        <v>0</v>
      </c>
      <c r="O2392" s="16">
        <v>0</v>
      </c>
      <c r="P2392" s="17">
        <v>193.52023766941119</v>
      </c>
      <c r="Q2392" s="17">
        <v>328.49334072548527</v>
      </c>
      <c r="R2392" s="13"/>
      <c r="S2392" s="13"/>
      <c r="T2392" s="13"/>
      <c r="U2392" s="13"/>
      <c r="V2392" s="13"/>
      <c r="W2392" s="13"/>
    </row>
    <row r="2393" spans="1:23" x14ac:dyDescent="0.2">
      <c r="A2393"/>
      <c r="B2393"/>
      <c r="C2393"/>
      <c r="D2393"/>
      <c r="E2393"/>
      <c r="F2393"/>
      <c r="G2393"/>
      <c r="H2393"/>
      <c r="I2393"/>
      <c r="J2393"/>
      <c r="K2393" s="13" t="s">
        <v>207</v>
      </c>
      <c r="L2393" s="13" t="s">
        <v>381</v>
      </c>
      <c r="M2393" s="13" t="s">
        <v>382</v>
      </c>
      <c r="N2393" s="15">
        <v>68</v>
      </c>
      <c r="O2393" s="16">
        <v>0</v>
      </c>
      <c r="P2393" s="17">
        <v>0</v>
      </c>
      <c r="Q2393" s="17">
        <v>0</v>
      </c>
      <c r="R2393" s="13"/>
      <c r="S2393" s="13"/>
      <c r="T2393" s="13"/>
      <c r="U2393" s="13"/>
      <c r="V2393" s="13"/>
      <c r="W2393" s="13"/>
    </row>
    <row r="2394" spans="1:23" x14ac:dyDescent="0.2">
      <c r="A2394"/>
      <c r="B2394"/>
      <c r="C2394"/>
      <c r="D2394"/>
      <c r="E2394"/>
      <c r="F2394"/>
      <c r="G2394"/>
      <c r="H2394"/>
      <c r="I2394"/>
      <c r="J2394"/>
      <c r="K2394" s="13" t="s">
        <v>207</v>
      </c>
      <c r="L2394" s="13" t="s">
        <v>534</v>
      </c>
      <c r="M2394" s="13" t="s">
        <v>535</v>
      </c>
      <c r="N2394" s="15">
        <v>0</v>
      </c>
      <c r="O2394" s="16">
        <v>0</v>
      </c>
      <c r="P2394" s="17">
        <v>2349.6701999652778</v>
      </c>
      <c r="Q2394" s="17">
        <v>0</v>
      </c>
      <c r="R2394" s="13"/>
      <c r="S2394" s="13"/>
      <c r="T2394" s="13"/>
      <c r="U2394" s="13"/>
      <c r="V2394" s="13"/>
      <c r="W2394" s="13"/>
    </row>
    <row r="2395" spans="1:23" x14ac:dyDescent="0.2">
      <c r="A2395"/>
      <c r="B2395"/>
      <c r="C2395"/>
      <c r="D2395"/>
      <c r="E2395"/>
      <c r="F2395"/>
      <c r="G2395"/>
      <c r="H2395"/>
      <c r="I2395"/>
      <c r="J2395"/>
      <c r="K2395" s="13" t="s">
        <v>207</v>
      </c>
      <c r="L2395" s="13" t="s">
        <v>411</v>
      </c>
      <c r="M2395" s="13" t="s">
        <v>362</v>
      </c>
      <c r="N2395" s="15">
        <v>0</v>
      </c>
      <c r="O2395" s="16">
        <v>0</v>
      </c>
      <c r="P2395" s="17">
        <v>469.72944999997867</v>
      </c>
      <c r="Q2395" s="17">
        <v>0</v>
      </c>
      <c r="R2395" s="13"/>
      <c r="S2395" s="13"/>
      <c r="T2395" s="13"/>
      <c r="U2395" s="13"/>
      <c r="V2395" s="13"/>
      <c r="W2395" s="13"/>
    </row>
    <row r="2396" spans="1:23" x14ac:dyDescent="0.2">
      <c r="A2396"/>
      <c r="B2396"/>
      <c r="C2396"/>
      <c r="D2396"/>
      <c r="E2396"/>
      <c r="F2396"/>
      <c r="G2396"/>
      <c r="H2396"/>
      <c r="I2396"/>
      <c r="J2396"/>
      <c r="K2396" s="13" t="s">
        <v>207</v>
      </c>
      <c r="L2396" s="13" t="s">
        <v>411</v>
      </c>
      <c r="M2396" s="13" t="s">
        <v>362</v>
      </c>
      <c r="N2396" s="15">
        <v>0</v>
      </c>
      <c r="O2396" s="16">
        <v>511.53090441504833</v>
      </c>
      <c r="P2396" s="17">
        <v>0</v>
      </c>
      <c r="Q2396" s="17">
        <v>0</v>
      </c>
      <c r="R2396" s="13"/>
      <c r="S2396" s="13"/>
      <c r="T2396" s="13"/>
      <c r="U2396" s="13"/>
      <c r="V2396" s="13"/>
      <c r="W2396" s="13"/>
    </row>
    <row r="2397" spans="1:23" x14ac:dyDescent="0.2">
      <c r="A2397"/>
      <c r="B2397"/>
      <c r="C2397"/>
      <c r="D2397"/>
      <c r="E2397"/>
      <c r="F2397"/>
      <c r="G2397"/>
      <c r="H2397"/>
      <c r="I2397"/>
      <c r="J2397"/>
      <c r="K2397" s="13" t="s">
        <v>207</v>
      </c>
      <c r="L2397" s="13" t="s">
        <v>411</v>
      </c>
      <c r="M2397" s="13" t="s">
        <v>362</v>
      </c>
      <c r="N2397" s="15">
        <v>2</v>
      </c>
      <c r="O2397" s="16">
        <v>0</v>
      </c>
      <c r="P2397" s="17">
        <v>0</v>
      </c>
      <c r="Q2397" s="17">
        <v>0</v>
      </c>
      <c r="R2397" s="13"/>
      <c r="S2397" s="13"/>
      <c r="T2397" s="13"/>
      <c r="U2397" s="13"/>
      <c r="V2397" s="13"/>
      <c r="W2397" s="13"/>
    </row>
    <row r="2398" spans="1:23" x14ac:dyDescent="0.2">
      <c r="A2398"/>
      <c r="B2398"/>
      <c r="C2398"/>
      <c r="D2398"/>
      <c r="E2398"/>
      <c r="F2398"/>
      <c r="G2398"/>
      <c r="H2398"/>
      <c r="I2398"/>
      <c r="J2398"/>
      <c r="K2398" s="13" t="s">
        <v>207</v>
      </c>
      <c r="L2398" s="13" t="s">
        <v>413</v>
      </c>
      <c r="M2398" s="13" t="s">
        <v>428</v>
      </c>
      <c r="N2398" s="15">
        <v>2</v>
      </c>
      <c r="O2398" s="16">
        <v>0</v>
      </c>
      <c r="P2398" s="17">
        <v>0</v>
      </c>
      <c r="Q2398" s="17">
        <v>0</v>
      </c>
      <c r="R2398" s="13"/>
      <c r="S2398" s="13"/>
      <c r="T2398" s="13"/>
      <c r="U2398" s="13"/>
      <c r="V2398" s="13"/>
      <c r="W2398" s="13"/>
    </row>
    <row r="2399" spans="1:23" x14ac:dyDescent="0.2">
      <c r="A2399"/>
      <c r="B2399"/>
      <c r="C2399"/>
      <c r="D2399"/>
      <c r="E2399"/>
      <c r="F2399"/>
      <c r="G2399"/>
      <c r="H2399"/>
      <c r="I2399"/>
      <c r="J2399"/>
      <c r="K2399" s="13" t="s">
        <v>207</v>
      </c>
      <c r="L2399" s="13" t="s">
        <v>475</v>
      </c>
      <c r="M2399" s="13" t="s">
        <v>470</v>
      </c>
      <c r="N2399" s="15">
        <v>3</v>
      </c>
      <c r="O2399" s="16">
        <v>0</v>
      </c>
      <c r="P2399" s="17">
        <v>0</v>
      </c>
      <c r="Q2399" s="17">
        <v>0</v>
      </c>
      <c r="R2399" s="13"/>
      <c r="S2399" s="13"/>
      <c r="T2399" s="13"/>
      <c r="U2399" s="13"/>
      <c r="V2399" s="13"/>
      <c r="W2399" s="13"/>
    </row>
    <row r="2400" spans="1:23" x14ac:dyDescent="0.2">
      <c r="A2400"/>
      <c r="B2400"/>
      <c r="C2400"/>
      <c r="D2400"/>
      <c r="E2400"/>
      <c r="F2400"/>
      <c r="G2400"/>
      <c r="H2400"/>
      <c r="I2400"/>
      <c r="J2400"/>
      <c r="K2400" s="13" t="s">
        <v>207</v>
      </c>
      <c r="L2400" s="13" t="s">
        <v>603</v>
      </c>
      <c r="M2400" s="13" t="s">
        <v>385</v>
      </c>
      <c r="N2400" s="15">
        <v>28</v>
      </c>
      <c r="O2400" s="16">
        <v>0</v>
      </c>
      <c r="P2400" s="17">
        <v>0</v>
      </c>
      <c r="Q2400" s="17">
        <v>0</v>
      </c>
      <c r="R2400" s="13"/>
      <c r="S2400" s="13"/>
      <c r="T2400" s="13"/>
      <c r="U2400" s="13"/>
      <c r="V2400" s="13"/>
      <c r="W2400" s="13"/>
    </row>
    <row r="2401" spans="1:23" x14ac:dyDescent="0.2">
      <c r="A2401"/>
      <c r="B2401"/>
      <c r="C2401"/>
      <c r="D2401"/>
      <c r="E2401"/>
      <c r="F2401"/>
      <c r="G2401"/>
      <c r="H2401"/>
      <c r="I2401"/>
      <c r="J2401"/>
      <c r="K2401" s="13" t="s">
        <v>207</v>
      </c>
      <c r="L2401" s="13" t="s">
        <v>605</v>
      </c>
      <c r="M2401" s="13" t="s">
        <v>429</v>
      </c>
      <c r="N2401" s="15">
        <v>0</v>
      </c>
      <c r="O2401" s="16">
        <v>87.901115711855738</v>
      </c>
      <c r="P2401" s="17">
        <v>0</v>
      </c>
      <c r="Q2401" s="17">
        <v>0</v>
      </c>
      <c r="R2401" s="13"/>
      <c r="S2401" s="13"/>
      <c r="T2401" s="13"/>
      <c r="U2401" s="13"/>
      <c r="V2401" s="13"/>
      <c r="W2401" s="13"/>
    </row>
    <row r="2402" spans="1:23" x14ac:dyDescent="0.2">
      <c r="A2402"/>
      <c r="B2402"/>
      <c r="C2402"/>
      <c r="D2402"/>
      <c r="E2402"/>
      <c r="F2402"/>
      <c r="G2402"/>
      <c r="H2402"/>
      <c r="I2402"/>
      <c r="J2402"/>
      <c r="K2402" s="13" t="s">
        <v>207</v>
      </c>
      <c r="L2402" s="13" t="s">
        <v>606</v>
      </c>
      <c r="M2402" s="13" t="s">
        <v>430</v>
      </c>
      <c r="N2402" s="15">
        <v>67</v>
      </c>
      <c r="O2402" s="16">
        <v>0</v>
      </c>
      <c r="P2402" s="17">
        <v>0</v>
      </c>
      <c r="Q2402" s="17">
        <v>0</v>
      </c>
      <c r="R2402" s="13"/>
      <c r="S2402" s="13"/>
      <c r="T2402" s="13"/>
      <c r="U2402" s="13"/>
      <c r="V2402" s="13"/>
      <c r="W2402" s="13"/>
    </row>
    <row r="2403" spans="1:23" x14ac:dyDescent="0.2">
      <c r="A2403"/>
      <c r="B2403"/>
      <c r="C2403"/>
      <c r="D2403"/>
      <c r="E2403"/>
      <c r="F2403"/>
      <c r="G2403"/>
      <c r="H2403"/>
      <c r="I2403"/>
      <c r="J2403"/>
      <c r="K2403" s="13" t="s">
        <v>207</v>
      </c>
      <c r="L2403" s="13" t="s">
        <v>623</v>
      </c>
      <c r="M2403" s="13" t="s">
        <v>530</v>
      </c>
      <c r="N2403" s="15">
        <v>0</v>
      </c>
      <c r="O2403" s="16">
        <v>51.456289911747938</v>
      </c>
      <c r="P2403" s="17">
        <v>0</v>
      </c>
      <c r="Q2403" s="17">
        <v>0</v>
      </c>
      <c r="R2403" s="13"/>
      <c r="S2403" s="13"/>
      <c r="T2403" s="13"/>
      <c r="U2403" s="13"/>
      <c r="V2403" s="13"/>
      <c r="W2403" s="13"/>
    </row>
    <row r="2404" spans="1:23" x14ac:dyDescent="0.2">
      <c r="A2404"/>
      <c r="B2404"/>
      <c r="C2404"/>
      <c r="D2404"/>
      <c r="E2404"/>
      <c r="F2404"/>
      <c r="G2404"/>
      <c r="H2404"/>
      <c r="I2404"/>
      <c r="J2404"/>
      <c r="K2404" s="13" t="s">
        <v>207</v>
      </c>
      <c r="L2404" s="13" t="s">
        <v>607</v>
      </c>
      <c r="M2404" s="13" t="s">
        <v>431</v>
      </c>
      <c r="N2404" s="15">
        <v>1</v>
      </c>
      <c r="O2404" s="16">
        <v>0</v>
      </c>
      <c r="P2404" s="17">
        <v>0</v>
      </c>
      <c r="Q2404" s="17">
        <v>0</v>
      </c>
      <c r="R2404" s="13"/>
      <c r="S2404" s="13"/>
      <c r="T2404" s="13"/>
      <c r="U2404" s="13"/>
      <c r="V2404" s="13"/>
      <c r="W2404" s="13"/>
    </row>
    <row r="2405" spans="1:23" x14ac:dyDescent="0.2">
      <c r="A2405"/>
      <c r="B2405"/>
      <c r="C2405"/>
      <c r="D2405"/>
      <c r="E2405"/>
      <c r="F2405"/>
      <c r="G2405"/>
      <c r="H2405"/>
      <c r="I2405"/>
      <c r="J2405"/>
      <c r="K2405" s="13" t="s">
        <v>207</v>
      </c>
      <c r="L2405" s="13" t="s">
        <v>608</v>
      </c>
      <c r="M2405" s="13" t="s">
        <v>432</v>
      </c>
      <c r="N2405" s="15">
        <v>62</v>
      </c>
      <c r="O2405" s="16">
        <v>0</v>
      </c>
      <c r="P2405" s="17">
        <v>0</v>
      </c>
      <c r="Q2405" s="17">
        <v>0</v>
      </c>
      <c r="R2405" s="13"/>
      <c r="S2405" s="13"/>
      <c r="T2405" s="13"/>
      <c r="U2405" s="13"/>
      <c r="V2405" s="13"/>
      <c r="W2405" s="13"/>
    </row>
    <row r="2406" spans="1:23" x14ac:dyDescent="0.2">
      <c r="A2406"/>
      <c r="B2406"/>
      <c r="C2406"/>
      <c r="D2406"/>
      <c r="E2406"/>
      <c r="F2406"/>
      <c r="G2406"/>
      <c r="H2406"/>
      <c r="I2406"/>
      <c r="J2406"/>
      <c r="K2406" s="13" t="s">
        <v>207</v>
      </c>
      <c r="L2406" s="13" t="s">
        <v>615</v>
      </c>
      <c r="M2406" s="13" t="s">
        <v>449</v>
      </c>
      <c r="N2406" s="15">
        <v>4</v>
      </c>
      <c r="O2406" s="16">
        <v>0</v>
      </c>
      <c r="P2406" s="17">
        <v>0</v>
      </c>
      <c r="Q2406" s="17">
        <v>0</v>
      </c>
      <c r="R2406" s="13"/>
      <c r="S2406" s="13"/>
      <c r="T2406" s="13"/>
      <c r="U2406" s="13"/>
      <c r="V2406" s="13"/>
      <c r="W2406" s="13"/>
    </row>
    <row r="2407" spans="1:23" x14ac:dyDescent="0.2">
      <c r="A2407"/>
      <c r="B2407"/>
      <c r="C2407"/>
      <c r="D2407"/>
      <c r="E2407"/>
      <c r="F2407"/>
      <c r="G2407"/>
      <c r="H2407"/>
      <c r="I2407"/>
      <c r="J2407"/>
      <c r="K2407" s="13" t="s">
        <v>207</v>
      </c>
      <c r="L2407" s="13" t="s">
        <v>415</v>
      </c>
      <c r="M2407" s="13" t="s">
        <v>412</v>
      </c>
      <c r="N2407" s="15">
        <v>0</v>
      </c>
      <c r="O2407" s="16">
        <v>0</v>
      </c>
      <c r="P2407" s="17">
        <v>85.28463282818052</v>
      </c>
      <c r="Q2407" s="17">
        <v>0</v>
      </c>
      <c r="R2407" s="13"/>
      <c r="S2407" s="13"/>
      <c r="T2407" s="13"/>
      <c r="U2407" s="13"/>
      <c r="V2407" s="13"/>
      <c r="W2407" s="13"/>
    </row>
    <row r="2408" spans="1:23" x14ac:dyDescent="0.2">
      <c r="A2408"/>
      <c r="B2408"/>
      <c r="C2408"/>
      <c r="D2408"/>
      <c r="E2408"/>
      <c r="F2408"/>
      <c r="G2408"/>
      <c r="H2408"/>
      <c r="I2408"/>
      <c r="J2408"/>
      <c r="K2408" s="13" t="s">
        <v>207</v>
      </c>
      <c r="L2408" s="13" t="s">
        <v>417</v>
      </c>
      <c r="M2408" s="13" t="s">
        <v>414</v>
      </c>
      <c r="N2408" s="15">
        <v>0</v>
      </c>
      <c r="O2408" s="16">
        <v>0</v>
      </c>
      <c r="P2408" s="17">
        <v>71.91039999461654</v>
      </c>
      <c r="Q2408" s="17">
        <v>0</v>
      </c>
      <c r="R2408" s="13"/>
      <c r="S2408" s="13"/>
      <c r="T2408" s="13"/>
      <c r="U2408" s="13"/>
      <c r="V2408" s="13"/>
      <c r="W2408" s="13"/>
    </row>
    <row r="2409" spans="1:23" x14ac:dyDescent="0.2">
      <c r="A2409"/>
      <c r="B2409"/>
      <c r="C2409"/>
      <c r="D2409"/>
      <c r="E2409"/>
      <c r="F2409"/>
      <c r="G2409"/>
      <c r="H2409"/>
      <c r="I2409"/>
      <c r="J2409"/>
      <c r="K2409" s="13" t="s">
        <v>207</v>
      </c>
      <c r="L2409" s="13" t="s">
        <v>609</v>
      </c>
      <c r="M2409" s="13" t="s">
        <v>416</v>
      </c>
      <c r="N2409" s="15">
        <v>0</v>
      </c>
      <c r="O2409" s="16">
        <v>145.90657829603958</v>
      </c>
      <c r="P2409" s="17">
        <v>0</v>
      </c>
      <c r="Q2409" s="17">
        <v>0</v>
      </c>
      <c r="R2409" s="13"/>
      <c r="S2409" s="13"/>
      <c r="T2409" s="13"/>
      <c r="U2409" s="13"/>
      <c r="V2409" s="13"/>
      <c r="W2409" s="13"/>
    </row>
    <row r="2410" spans="1:23" x14ac:dyDescent="0.2">
      <c r="A2410"/>
      <c r="B2410"/>
      <c r="C2410"/>
      <c r="D2410"/>
      <c r="E2410"/>
      <c r="F2410"/>
      <c r="G2410"/>
      <c r="H2410"/>
      <c r="I2410"/>
      <c r="J2410"/>
      <c r="K2410" s="13" t="s">
        <v>207</v>
      </c>
      <c r="L2410" s="13" t="s">
        <v>610</v>
      </c>
      <c r="M2410" s="13" t="s">
        <v>418</v>
      </c>
      <c r="N2410" s="15">
        <v>0</v>
      </c>
      <c r="O2410" s="16">
        <v>272.44672514686818</v>
      </c>
      <c r="P2410" s="17">
        <v>0</v>
      </c>
      <c r="Q2410" s="17">
        <v>0</v>
      </c>
      <c r="R2410" s="13"/>
      <c r="S2410" s="13"/>
      <c r="T2410" s="13"/>
      <c r="U2410" s="13"/>
      <c r="V2410" s="13"/>
      <c r="W2410" s="13"/>
    </row>
    <row r="2411" spans="1:23" x14ac:dyDescent="0.2">
      <c r="A2411"/>
      <c r="B2411"/>
      <c r="C2411"/>
      <c r="D2411"/>
      <c r="E2411"/>
      <c r="F2411"/>
      <c r="G2411"/>
      <c r="H2411"/>
      <c r="I2411"/>
      <c r="J2411"/>
      <c r="K2411" s="13" t="s">
        <v>207</v>
      </c>
      <c r="L2411" s="13" t="s">
        <v>622</v>
      </c>
      <c r="M2411" s="13" t="s">
        <v>524</v>
      </c>
      <c r="N2411" s="15">
        <v>0</v>
      </c>
      <c r="O2411" s="16">
        <v>220.42684642485588</v>
      </c>
      <c r="P2411" s="17">
        <v>0</v>
      </c>
      <c r="Q2411" s="17">
        <v>0</v>
      </c>
      <c r="R2411" s="13"/>
      <c r="S2411" s="13"/>
      <c r="T2411" s="13"/>
      <c r="U2411" s="13"/>
      <c r="V2411" s="13"/>
      <c r="W2411" s="13"/>
    </row>
    <row r="2412" spans="1:23" x14ac:dyDescent="0.2">
      <c r="A2412"/>
      <c r="B2412"/>
      <c r="C2412"/>
      <c r="D2412"/>
      <c r="E2412"/>
      <c r="F2412"/>
      <c r="G2412"/>
      <c r="H2412"/>
      <c r="I2412"/>
      <c r="J2412"/>
      <c r="K2412" s="13" t="s">
        <v>207</v>
      </c>
      <c r="L2412" s="13" t="s">
        <v>421</v>
      </c>
      <c r="M2412" s="13" t="s">
        <v>443</v>
      </c>
      <c r="N2412" s="15">
        <v>1</v>
      </c>
      <c r="O2412" s="16">
        <v>0</v>
      </c>
      <c r="P2412" s="17">
        <v>0</v>
      </c>
      <c r="Q2412" s="17">
        <v>0</v>
      </c>
      <c r="R2412" s="13"/>
      <c r="S2412" s="13"/>
      <c r="T2412" s="13"/>
      <c r="U2412" s="13"/>
      <c r="V2412" s="13"/>
      <c r="W2412" s="13"/>
    </row>
    <row r="2413" spans="1:23" x14ac:dyDescent="0.2">
      <c r="A2413"/>
      <c r="B2413"/>
      <c r="C2413"/>
      <c r="D2413"/>
      <c r="E2413"/>
      <c r="F2413"/>
      <c r="G2413"/>
      <c r="H2413"/>
      <c r="I2413"/>
      <c r="J2413"/>
      <c r="K2413" s="13" t="s">
        <v>207</v>
      </c>
      <c r="L2413" s="13" t="s">
        <v>383</v>
      </c>
      <c r="M2413" s="13" t="s">
        <v>420</v>
      </c>
      <c r="N2413" s="15">
        <v>37</v>
      </c>
      <c r="O2413" s="16">
        <v>0</v>
      </c>
      <c r="P2413" s="17">
        <v>0</v>
      </c>
      <c r="Q2413" s="17">
        <v>0</v>
      </c>
      <c r="R2413" s="13"/>
      <c r="S2413" s="13"/>
      <c r="T2413" s="13"/>
      <c r="U2413" s="13"/>
      <c r="V2413" s="13"/>
      <c r="W2413" s="13"/>
    </row>
    <row r="2414" spans="1:23" x14ac:dyDescent="0.2">
      <c r="A2414"/>
      <c r="B2414"/>
      <c r="C2414"/>
      <c r="D2414"/>
      <c r="E2414"/>
      <c r="F2414"/>
      <c r="G2414"/>
      <c r="H2414"/>
      <c r="I2414"/>
      <c r="J2414"/>
      <c r="K2414" s="13" t="s">
        <v>207</v>
      </c>
      <c r="L2414" s="13" t="s">
        <v>613</v>
      </c>
      <c r="M2414" s="13" t="s">
        <v>444</v>
      </c>
      <c r="N2414" s="15">
        <v>0</v>
      </c>
      <c r="O2414" s="16">
        <v>261.460981655137</v>
      </c>
      <c r="P2414" s="17">
        <v>0</v>
      </c>
      <c r="Q2414" s="17">
        <v>0</v>
      </c>
      <c r="R2414" s="13"/>
      <c r="S2414" s="13"/>
      <c r="T2414" s="13"/>
      <c r="U2414" s="13"/>
      <c r="V2414" s="13"/>
      <c r="W2414" s="13"/>
    </row>
    <row r="2415" spans="1:23" x14ac:dyDescent="0.2">
      <c r="A2415"/>
      <c r="B2415"/>
      <c r="C2415"/>
      <c r="D2415"/>
      <c r="E2415"/>
      <c r="F2415"/>
      <c r="G2415"/>
      <c r="H2415"/>
      <c r="I2415"/>
      <c r="J2415"/>
      <c r="K2415" s="13" t="s">
        <v>207</v>
      </c>
      <c r="L2415" s="13" t="s">
        <v>611</v>
      </c>
      <c r="M2415" s="13" t="s">
        <v>423</v>
      </c>
      <c r="N2415" s="15">
        <v>0</v>
      </c>
      <c r="O2415" s="16">
        <v>48.9463725909389</v>
      </c>
      <c r="P2415" s="17">
        <v>0</v>
      </c>
      <c r="Q2415" s="17">
        <v>0</v>
      </c>
      <c r="R2415" s="13"/>
      <c r="S2415" s="13"/>
      <c r="T2415" s="13"/>
      <c r="U2415" s="13"/>
      <c r="V2415" s="13"/>
      <c r="W2415" s="13"/>
    </row>
    <row r="2416" spans="1:23" x14ac:dyDescent="0.2">
      <c r="A2416"/>
      <c r="B2416"/>
      <c r="C2416"/>
      <c r="D2416"/>
      <c r="E2416"/>
      <c r="F2416"/>
      <c r="G2416"/>
      <c r="H2416"/>
      <c r="I2416"/>
      <c r="J2416"/>
      <c r="K2416" s="13" t="s">
        <v>207</v>
      </c>
      <c r="L2416" s="13" t="s">
        <v>446</v>
      </c>
      <c r="M2416" s="13" t="s">
        <v>371</v>
      </c>
      <c r="N2416" s="15">
        <v>11</v>
      </c>
      <c r="O2416" s="16">
        <v>0</v>
      </c>
      <c r="P2416" s="17">
        <v>0</v>
      </c>
      <c r="Q2416" s="17">
        <v>0</v>
      </c>
      <c r="R2416" s="13"/>
      <c r="S2416" s="13"/>
      <c r="T2416" s="13"/>
      <c r="U2416" s="13"/>
      <c r="V2416" s="13"/>
      <c r="W2416" s="13"/>
    </row>
    <row r="2417" spans="1:23" x14ac:dyDescent="0.2">
      <c r="A2417"/>
      <c r="B2417"/>
      <c r="C2417"/>
      <c r="D2417"/>
      <c r="E2417"/>
      <c r="F2417"/>
      <c r="G2417"/>
      <c r="H2417"/>
      <c r="I2417"/>
      <c r="J2417"/>
      <c r="K2417" s="13" t="s">
        <v>207</v>
      </c>
      <c r="L2417" s="13" t="s">
        <v>424</v>
      </c>
      <c r="M2417" s="13" t="s">
        <v>468</v>
      </c>
      <c r="N2417" s="15">
        <v>0</v>
      </c>
      <c r="O2417" s="16">
        <v>0</v>
      </c>
      <c r="P2417" s="17">
        <v>138.62729999964344</v>
      </c>
      <c r="Q2417" s="17">
        <v>0</v>
      </c>
      <c r="R2417" s="13"/>
      <c r="S2417" s="13"/>
      <c r="T2417" s="13"/>
      <c r="U2417" s="13"/>
      <c r="V2417" s="13"/>
      <c r="W2417" s="13"/>
    </row>
    <row r="2418" spans="1:23" x14ac:dyDescent="0.2">
      <c r="A2418"/>
      <c r="B2418"/>
      <c r="C2418"/>
      <c r="D2418"/>
      <c r="E2418"/>
      <c r="F2418"/>
      <c r="G2418"/>
      <c r="H2418"/>
      <c r="I2418"/>
      <c r="J2418"/>
      <c r="K2418" s="13" t="s">
        <v>207</v>
      </c>
      <c r="L2418" s="13" t="s">
        <v>614</v>
      </c>
      <c r="M2418" s="13" t="s">
        <v>447</v>
      </c>
      <c r="N2418" s="15">
        <v>4</v>
      </c>
      <c r="O2418" s="16">
        <v>0</v>
      </c>
      <c r="P2418" s="17">
        <v>0</v>
      </c>
      <c r="Q2418" s="17">
        <v>0</v>
      </c>
      <c r="R2418" s="13"/>
      <c r="S2418" s="13"/>
      <c r="T2418" s="13"/>
      <c r="U2418" s="13"/>
      <c r="V2418" s="13"/>
      <c r="W2418" s="13"/>
    </row>
    <row r="2419" spans="1:23" x14ac:dyDescent="0.2">
      <c r="A2419"/>
      <c r="B2419"/>
      <c r="C2419"/>
      <c r="D2419"/>
      <c r="E2419"/>
      <c r="F2419"/>
      <c r="G2419"/>
      <c r="H2419"/>
      <c r="I2419"/>
      <c r="J2419"/>
      <c r="K2419" s="13" t="s">
        <v>207</v>
      </c>
      <c r="L2419" s="13" t="s">
        <v>616</v>
      </c>
      <c r="M2419" s="13" t="s">
        <v>485</v>
      </c>
      <c r="N2419" s="15">
        <v>2</v>
      </c>
      <c r="O2419" s="16">
        <v>0</v>
      </c>
      <c r="P2419" s="17">
        <v>0</v>
      </c>
      <c r="Q2419" s="17">
        <v>0</v>
      </c>
      <c r="R2419" s="13"/>
      <c r="S2419" s="13"/>
      <c r="T2419" s="13"/>
      <c r="U2419" s="13"/>
      <c r="V2419" s="13"/>
      <c r="W2419" s="13"/>
    </row>
    <row r="2420" spans="1:23" x14ac:dyDescent="0.2">
      <c r="A2420"/>
      <c r="B2420"/>
      <c r="C2420"/>
      <c r="D2420"/>
      <c r="E2420"/>
      <c r="F2420"/>
      <c r="G2420"/>
      <c r="H2420"/>
      <c r="I2420"/>
      <c r="J2420"/>
      <c r="K2420" s="13" t="s">
        <v>207</v>
      </c>
      <c r="L2420" s="13" t="s">
        <v>469</v>
      </c>
      <c r="M2420" s="13" t="s">
        <v>426</v>
      </c>
      <c r="N2420" s="15">
        <v>3</v>
      </c>
      <c r="O2420" s="16">
        <v>0</v>
      </c>
      <c r="P2420" s="17">
        <v>0</v>
      </c>
      <c r="Q2420" s="17">
        <v>0</v>
      </c>
      <c r="R2420" s="13"/>
      <c r="S2420" s="13"/>
      <c r="T2420" s="13"/>
      <c r="U2420" s="13"/>
      <c r="V2420" s="13"/>
      <c r="W2420" s="13"/>
    </row>
    <row r="2421" spans="1:23" x14ac:dyDescent="0.2">
      <c r="A2421"/>
      <c r="B2421"/>
      <c r="C2421"/>
      <c r="D2421"/>
      <c r="E2421"/>
      <c r="F2421"/>
      <c r="G2421"/>
      <c r="H2421"/>
      <c r="I2421"/>
      <c r="J2421"/>
      <c r="K2421" s="13" t="s">
        <v>209</v>
      </c>
      <c r="L2421" s="13" t="s">
        <v>435</v>
      </c>
      <c r="M2421" s="13" t="s">
        <v>364</v>
      </c>
      <c r="N2421" s="15">
        <v>0</v>
      </c>
      <c r="O2421" s="16">
        <v>0</v>
      </c>
      <c r="P2421" s="17">
        <v>25.208699998336336</v>
      </c>
      <c r="Q2421" s="17">
        <v>0</v>
      </c>
      <c r="R2421" s="13"/>
      <c r="S2421" s="13"/>
      <c r="T2421" s="13"/>
      <c r="U2421" s="13"/>
      <c r="V2421" s="13"/>
      <c r="W2421" s="13"/>
    </row>
    <row r="2422" spans="1:23" x14ac:dyDescent="0.2">
      <c r="A2422"/>
      <c r="B2422"/>
      <c r="C2422"/>
      <c r="D2422"/>
      <c r="E2422"/>
      <c r="F2422"/>
      <c r="G2422"/>
      <c r="H2422"/>
      <c r="I2422"/>
      <c r="J2422"/>
      <c r="K2422" s="13" t="s">
        <v>209</v>
      </c>
      <c r="L2422" s="13" t="s">
        <v>635</v>
      </c>
      <c r="M2422" s="13" t="s">
        <v>507</v>
      </c>
      <c r="N2422" s="15">
        <v>0</v>
      </c>
      <c r="O2422" s="16">
        <v>0</v>
      </c>
      <c r="P2422" s="17">
        <v>9.4012999961624608</v>
      </c>
      <c r="Q2422" s="17">
        <v>0</v>
      </c>
      <c r="R2422" s="13"/>
      <c r="S2422" s="13"/>
      <c r="T2422" s="13"/>
      <c r="U2422" s="13"/>
      <c r="V2422" s="13"/>
      <c r="W2422" s="13"/>
    </row>
    <row r="2423" spans="1:23" x14ac:dyDescent="0.2">
      <c r="A2423"/>
      <c r="B2423"/>
      <c r="C2423"/>
      <c r="D2423"/>
      <c r="E2423"/>
      <c r="F2423"/>
      <c r="G2423"/>
      <c r="H2423"/>
      <c r="I2423"/>
      <c r="J2423"/>
      <c r="K2423" s="13" t="s">
        <v>209</v>
      </c>
      <c r="L2423" s="13" t="s">
        <v>387</v>
      </c>
      <c r="M2423" s="13" t="s">
        <v>386</v>
      </c>
      <c r="N2423" s="15">
        <v>0</v>
      </c>
      <c r="O2423" s="16">
        <v>0</v>
      </c>
      <c r="P2423" s="17">
        <v>3263.1185999019076</v>
      </c>
      <c r="Q2423" s="17">
        <v>0</v>
      </c>
      <c r="R2423" s="13"/>
      <c r="S2423" s="13"/>
      <c r="T2423" s="13"/>
      <c r="U2423" s="13"/>
      <c r="V2423" s="13"/>
      <c r="W2423" s="13"/>
    </row>
    <row r="2424" spans="1:23" x14ac:dyDescent="0.2">
      <c r="A2424"/>
      <c r="B2424"/>
      <c r="C2424"/>
      <c r="D2424"/>
      <c r="E2424"/>
      <c r="F2424"/>
      <c r="G2424"/>
      <c r="H2424"/>
      <c r="I2424"/>
      <c r="J2424"/>
      <c r="K2424" s="13" t="s">
        <v>209</v>
      </c>
      <c r="L2424" s="13" t="s">
        <v>389</v>
      </c>
      <c r="M2424" s="13" t="s">
        <v>388</v>
      </c>
      <c r="N2424" s="15">
        <v>0</v>
      </c>
      <c r="O2424" s="16">
        <v>0</v>
      </c>
      <c r="P2424" s="17">
        <v>2567.3674568189585</v>
      </c>
      <c r="Q2424" s="17">
        <v>0</v>
      </c>
      <c r="R2424" s="13"/>
      <c r="S2424" s="13"/>
      <c r="T2424" s="13"/>
      <c r="U2424" s="13"/>
      <c r="V2424" s="13"/>
      <c r="W2424" s="13"/>
    </row>
    <row r="2425" spans="1:23" x14ac:dyDescent="0.2">
      <c r="A2425"/>
      <c r="B2425"/>
      <c r="C2425"/>
      <c r="D2425"/>
      <c r="E2425"/>
      <c r="F2425"/>
      <c r="G2425"/>
      <c r="H2425"/>
      <c r="I2425"/>
      <c r="J2425"/>
      <c r="K2425" s="13" t="s">
        <v>209</v>
      </c>
      <c r="L2425" s="13" t="s">
        <v>542</v>
      </c>
      <c r="M2425" s="13" t="s">
        <v>390</v>
      </c>
      <c r="N2425" s="15">
        <v>0</v>
      </c>
      <c r="O2425" s="16">
        <v>0</v>
      </c>
      <c r="P2425" s="17">
        <v>268.6930500153743</v>
      </c>
      <c r="Q2425" s="17">
        <v>0</v>
      </c>
      <c r="R2425" s="13"/>
      <c r="S2425" s="13"/>
      <c r="T2425" s="13"/>
      <c r="U2425" s="13"/>
      <c r="V2425" s="13"/>
      <c r="W2425" s="13"/>
    </row>
    <row r="2426" spans="1:23" x14ac:dyDescent="0.2">
      <c r="A2426"/>
      <c r="B2426"/>
      <c r="C2426"/>
      <c r="D2426"/>
      <c r="E2426"/>
      <c r="F2426"/>
      <c r="G2426"/>
      <c r="H2426"/>
      <c r="I2426"/>
      <c r="J2426"/>
      <c r="K2426" s="13" t="s">
        <v>209</v>
      </c>
      <c r="L2426" s="13" t="s">
        <v>391</v>
      </c>
      <c r="M2426" s="13" t="s">
        <v>358</v>
      </c>
      <c r="N2426" s="15">
        <v>0</v>
      </c>
      <c r="O2426" s="16">
        <v>0</v>
      </c>
      <c r="P2426" s="17">
        <v>9.3679999983926532</v>
      </c>
      <c r="Q2426" s="17">
        <v>0</v>
      </c>
      <c r="R2426" s="13"/>
      <c r="S2426" s="13"/>
      <c r="T2426" s="13"/>
      <c r="U2426" s="13"/>
      <c r="V2426" s="13"/>
      <c r="W2426" s="13"/>
    </row>
    <row r="2427" spans="1:23" x14ac:dyDescent="0.2">
      <c r="A2427"/>
      <c r="B2427"/>
      <c r="C2427"/>
      <c r="D2427"/>
      <c r="E2427"/>
      <c r="F2427"/>
      <c r="G2427"/>
      <c r="H2427"/>
      <c r="I2427"/>
      <c r="J2427"/>
      <c r="K2427" s="13" t="s">
        <v>209</v>
      </c>
      <c r="L2427" s="13" t="s">
        <v>450</v>
      </c>
      <c r="M2427" s="13" t="s">
        <v>368</v>
      </c>
      <c r="N2427" s="15">
        <v>0</v>
      </c>
      <c r="O2427" s="16">
        <v>0</v>
      </c>
      <c r="P2427" s="17">
        <v>179.52045001142062</v>
      </c>
      <c r="Q2427" s="17">
        <v>0</v>
      </c>
      <c r="R2427" s="13"/>
      <c r="S2427" s="13"/>
      <c r="T2427" s="13"/>
      <c r="U2427" s="13"/>
      <c r="V2427" s="13"/>
      <c r="W2427" s="13"/>
    </row>
    <row r="2428" spans="1:23" x14ac:dyDescent="0.2">
      <c r="A2428"/>
      <c r="B2428"/>
      <c r="C2428"/>
      <c r="D2428"/>
      <c r="E2428"/>
      <c r="F2428"/>
      <c r="G2428"/>
      <c r="H2428"/>
      <c r="I2428"/>
      <c r="J2428"/>
      <c r="K2428" s="13" t="s">
        <v>209</v>
      </c>
      <c r="L2428" s="13" t="s">
        <v>486</v>
      </c>
      <c r="M2428" s="13" t="s">
        <v>439</v>
      </c>
      <c r="N2428" s="15">
        <v>0</v>
      </c>
      <c r="O2428" s="16">
        <v>0</v>
      </c>
      <c r="P2428" s="17">
        <v>10.11420000105789</v>
      </c>
      <c r="Q2428" s="17">
        <v>0</v>
      </c>
      <c r="R2428" s="13"/>
      <c r="S2428" s="13"/>
      <c r="T2428" s="13"/>
      <c r="U2428" s="13"/>
      <c r="V2428" s="13"/>
      <c r="W2428" s="13"/>
    </row>
    <row r="2429" spans="1:23" x14ac:dyDescent="0.2">
      <c r="A2429"/>
      <c r="B2429"/>
      <c r="C2429"/>
      <c r="D2429"/>
      <c r="E2429"/>
      <c r="F2429"/>
      <c r="G2429"/>
      <c r="H2429"/>
      <c r="I2429"/>
      <c r="J2429"/>
      <c r="K2429" s="13" t="s">
        <v>209</v>
      </c>
      <c r="L2429" s="13" t="s">
        <v>465</v>
      </c>
      <c r="M2429" s="13" t="s">
        <v>514</v>
      </c>
      <c r="N2429" s="15">
        <v>0</v>
      </c>
      <c r="O2429" s="16">
        <v>0</v>
      </c>
      <c r="P2429" s="17">
        <v>154.94295001595847</v>
      </c>
      <c r="Q2429" s="17">
        <v>0</v>
      </c>
      <c r="R2429" s="13"/>
      <c r="S2429" s="13"/>
      <c r="T2429" s="13"/>
      <c r="U2429" s="13"/>
      <c r="V2429" s="13"/>
      <c r="W2429" s="13"/>
    </row>
    <row r="2430" spans="1:23" x14ac:dyDescent="0.2">
      <c r="A2430"/>
      <c r="B2430"/>
      <c r="C2430"/>
      <c r="D2430"/>
      <c r="E2430"/>
      <c r="F2430"/>
      <c r="G2430"/>
      <c r="H2430"/>
      <c r="I2430"/>
      <c r="J2430"/>
      <c r="K2430" s="13" t="s">
        <v>209</v>
      </c>
      <c r="L2430" s="13" t="s">
        <v>512</v>
      </c>
      <c r="M2430" s="13" t="s">
        <v>466</v>
      </c>
      <c r="N2430" s="15">
        <v>0</v>
      </c>
      <c r="O2430" s="16">
        <v>0</v>
      </c>
      <c r="P2430" s="17">
        <v>186.8739499901132</v>
      </c>
      <c r="Q2430" s="17">
        <v>0</v>
      </c>
      <c r="R2430" s="13"/>
      <c r="S2430" s="13"/>
      <c r="T2430" s="13"/>
      <c r="U2430" s="13"/>
      <c r="V2430" s="13"/>
      <c r="W2430" s="13"/>
    </row>
    <row r="2431" spans="1:23" x14ac:dyDescent="0.2">
      <c r="A2431"/>
      <c r="B2431"/>
      <c r="C2431"/>
      <c r="D2431"/>
      <c r="E2431"/>
      <c r="F2431"/>
      <c r="G2431"/>
      <c r="H2431"/>
      <c r="I2431"/>
      <c r="J2431"/>
      <c r="K2431" s="13" t="s">
        <v>209</v>
      </c>
      <c r="L2431" s="13" t="s">
        <v>440</v>
      </c>
      <c r="M2431" s="13" t="s">
        <v>441</v>
      </c>
      <c r="N2431" s="15">
        <v>2</v>
      </c>
      <c r="O2431" s="16">
        <v>0</v>
      </c>
      <c r="P2431" s="17">
        <v>0</v>
      </c>
      <c r="Q2431" s="17">
        <v>0</v>
      </c>
      <c r="R2431" s="13"/>
      <c r="S2431" s="13"/>
      <c r="T2431" s="13"/>
      <c r="U2431" s="13"/>
      <c r="V2431" s="13"/>
      <c r="W2431" s="13"/>
    </row>
    <row r="2432" spans="1:23" x14ac:dyDescent="0.2">
      <c r="A2432"/>
      <c r="B2432"/>
      <c r="C2432"/>
      <c r="D2432"/>
      <c r="E2432"/>
      <c r="F2432"/>
      <c r="G2432"/>
      <c r="H2432"/>
      <c r="I2432"/>
      <c r="J2432"/>
      <c r="K2432" s="13" t="s">
        <v>209</v>
      </c>
      <c r="L2432" s="13" t="s">
        <v>395</v>
      </c>
      <c r="M2432" s="13" t="s">
        <v>602</v>
      </c>
      <c r="N2432" s="15">
        <v>13</v>
      </c>
      <c r="O2432" s="16">
        <v>0</v>
      </c>
      <c r="P2432" s="17">
        <v>0</v>
      </c>
      <c r="Q2432" s="17">
        <v>0</v>
      </c>
      <c r="R2432" s="13"/>
      <c r="S2432" s="13"/>
      <c r="T2432" s="13"/>
      <c r="U2432" s="13"/>
      <c r="V2432" s="13"/>
      <c r="W2432" s="13"/>
    </row>
    <row r="2433" spans="1:23" x14ac:dyDescent="0.2">
      <c r="A2433"/>
      <c r="B2433"/>
      <c r="C2433"/>
      <c r="D2433"/>
      <c r="E2433"/>
      <c r="F2433"/>
      <c r="G2433"/>
      <c r="H2433"/>
      <c r="I2433"/>
      <c r="J2433"/>
      <c r="K2433" s="13" t="s">
        <v>209</v>
      </c>
      <c r="L2433" s="13" t="s">
        <v>396</v>
      </c>
      <c r="M2433" s="13" t="s">
        <v>604</v>
      </c>
      <c r="N2433" s="15">
        <v>0</v>
      </c>
      <c r="O2433" s="16">
        <v>6.2336134678826056</v>
      </c>
      <c r="P2433" s="17">
        <v>0</v>
      </c>
      <c r="Q2433" s="17">
        <v>18.700840403647817</v>
      </c>
      <c r="R2433" s="13"/>
      <c r="S2433" s="13"/>
      <c r="T2433" s="13"/>
      <c r="U2433" s="13"/>
      <c r="V2433" s="13"/>
      <c r="W2433" s="13"/>
    </row>
    <row r="2434" spans="1:23" x14ac:dyDescent="0.2">
      <c r="A2434"/>
      <c r="B2434"/>
      <c r="C2434"/>
      <c r="D2434"/>
      <c r="E2434"/>
      <c r="F2434"/>
      <c r="G2434"/>
      <c r="H2434"/>
      <c r="I2434"/>
      <c r="J2434"/>
      <c r="K2434" s="13" t="s">
        <v>209</v>
      </c>
      <c r="L2434" s="13" t="s">
        <v>397</v>
      </c>
      <c r="M2434" s="13" t="s">
        <v>398</v>
      </c>
      <c r="N2434" s="15">
        <v>0</v>
      </c>
      <c r="O2434" s="16">
        <v>0</v>
      </c>
      <c r="P2434" s="17">
        <v>23.703863037555944</v>
      </c>
      <c r="Q2434" s="17">
        <v>0</v>
      </c>
      <c r="R2434" s="13"/>
      <c r="S2434" s="13"/>
      <c r="T2434" s="13"/>
      <c r="U2434" s="13"/>
      <c r="V2434" s="13"/>
      <c r="W2434" s="13"/>
    </row>
    <row r="2435" spans="1:23" x14ac:dyDescent="0.2">
      <c r="A2435"/>
      <c r="B2435"/>
      <c r="C2435"/>
      <c r="D2435"/>
      <c r="E2435"/>
      <c r="F2435"/>
      <c r="G2435"/>
      <c r="H2435"/>
      <c r="I2435"/>
      <c r="J2435"/>
      <c r="K2435" s="13" t="s">
        <v>209</v>
      </c>
      <c r="L2435" s="13" t="s">
        <v>399</v>
      </c>
      <c r="M2435" s="13" t="s">
        <v>400</v>
      </c>
      <c r="N2435" s="15">
        <v>0</v>
      </c>
      <c r="O2435" s="16">
        <v>0</v>
      </c>
      <c r="P2435" s="17">
        <v>77.298900002364093</v>
      </c>
      <c r="Q2435" s="17">
        <v>0</v>
      </c>
      <c r="R2435" s="13"/>
      <c r="S2435" s="13"/>
      <c r="T2435" s="13"/>
      <c r="U2435" s="13"/>
      <c r="V2435" s="13"/>
      <c r="W2435" s="13"/>
    </row>
    <row r="2436" spans="1:23" x14ac:dyDescent="0.2">
      <c r="A2436"/>
      <c r="B2436"/>
      <c r="C2436"/>
      <c r="D2436"/>
      <c r="E2436"/>
      <c r="F2436"/>
      <c r="G2436"/>
      <c r="H2436"/>
      <c r="I2436"/>
      <c r="J2436"/>
      <c r="K2436" s="13" t="s">
        <v>209</v>
      </c>
      <c r="L2436" s="13" t="s">
        <v>401</v>
      </c>
      <c r="M2436" s="13" t="s">
        <v>360</v>
      </c>
      <c r="N2436" s="15">
        <v>0</v>
      </c>
      <c r="O2436" s="16">
        <v>0</v>
      </c>
      <c r="P2436" s="17">
        <v>343.53181038113388</v>
      </c>
      <c r="Q2436" s="17">
        <v>0</v>
      </c>
      <c r="R2436" s="13"/>
      <c r="S2436" s="13"/>
      <c r="T2436" s="13"/>
      <c r="U2436" s="13"/>
      <c r="V2436" s="13"/>
      <c r="W2436" s="13"/>
    </row>
    <row r="2437" spans="1:23" x14ac:dyDescent="0.2">
      <c r="A2437"/>
      <c r="B2437"/>
      <c r="C2437"/>
      <c r="D2437"/>
      <c r="E2437"/>
      <c r="F2437"/>
      <c r="G2437"/>
      <c r="H2437"/>
      <c r="I2437"/>
      <c r="J2437"/>
      <c r="K2437" s="13" t="s">
        <v>209</v>
      </c>
      <c r="L2437" s="13" t="s">
        <v>511</v>
      </c>
      <c r="M2437" s="13" t="s">
        <v>377</v>
      </c>
      <c r="N2437" s="15">
        <v>0</v>
      </c>
      <c r="O2437" s="16">
        <v>0</v>
      </c>
      <c r="P2437" s="17">
        <v>311.0182000133716</v>
      </c>
      <c r="Q2437" s="17">
        <v>0</v>
      </c>
      <c r="R2437" s="13"/>
      <c r="S2437" s="13"/>
      <c r="T2437" s="13"/>
      <c r="U2437" s="13"/>
      <c r="V2437" s="13"/>
      <c r="W2437" s="13"/>
    </row>
    <row r="2438" spans="1:23" x14ac:dyDescent="0.2">
      <c r="A2438"/>
      <c r="B2438"/>
      <c r="C2438"/>
      <c r="D2438"/>
      <c r="E2438"/>
      <c r="F2438"/>
      <c r="G2438"/>
      <c r="H2438"/>
      <c r="I2438"/>
      <c r="J2438"/>
      <c r="K2438" s="13" t="s">
        <v>209</v>
      </c>
      <c r="L2438" s="13" t="s">
        <v>402</v>
      </c>
      <c r="M2438" s="13" t="s">
        <v>403</v>
      </c>
      <c r="N2438" s="15">
        <v>0</v>
      </c>
      <c r="O2438" s="16">
        <v>0</v>
      </c>
      <c r="P2438" s="17">
        <v>5431.2716119231272</v>
      </c>
      <c r="Q2438" s="17">
        <v>0</v>
      </c>
      <c r="R2438" s="13"/>
      <c r="S2438" s="13"/>
      <c r="T2438" s="13"/>
      <c r="U2438" s="13"/>
      <c r="V2438" s="13"/>
      <c r="W2438" s="13"/>
    </row>
    <row r="2439" spans="1:23" x14ac:dyDescent="0.2">
      <c r="A2439"/>
      <c r="B2439"/>
      <c r="C2439"/>
      <c r="D2439"/>
      <c r="E2439"/>
      <c r="F2439"/>
      <c r="G2439"/>
      <c r="H2439"/>
      <c r="I2439"/>
      <c r="J2439"/>
      <c r="K2439" s="13" t="s">
        <v>209</v>
      </c>
      <c r="L2439" s="13" t="s">
        <v>448</v>
      </c>
      <c r="M2439" s="13" t="s">
        <v>366</v>
      </c>
      <c r="N2439" s="15">
        <v>0</v>
      </c>
      <c r="O2439" s="16">
        <v>0</v>
      </c>
      <c r="P2439" s="17">
        <v>179.88209997702819</v>
      </c>
      <c r="Q2439" s="17">
        <v>0</v>
      </c>
      <c r="R2439" s="13"/>
      <c r="S2439" s="13"/>
      <c r="T2439" s="13"/>
      <c r="U2439" s="13"/>
      <c r="V2439" s="13"/>
      <c r="W2439" s="13"/>
    </row>
    <row r="2440" spans="1:23" x14ac:dyDescent="0.2">
      <c r="A2440"/>
      <c r="B2440"/>
      <c r="C2440"/>
      <c r="D2440"/>
      <c r="E2440"/>
      <c r="F2440"/>
      <c r="G2440"/>
      <c r="H2440"/>
      <c r="I2440"/>
      <c r="J2440"/>
      <c r="K2440" s="13" t="s">
        <v>209</v>
      </c>
      <c r="L2440" s="13" t="s">
        <v>456</v>
      </c>
      <c r="M2440" s="13" t="s">
        <v>457</v>
      </c>
      <c r="N2440" s="15">
        <v>0</v>
      </c>
      <c r="O2440" s="16">
        <v>0</v>
      </c>
      <c r="P2440" s="17">
        <v>65.766449992811133</v>
      </c>
      <c r="Q2440" s="17">
        <v>0</v>
      </c>
      <c r="R2440" s="13"/>
      <c r="S2440" s="13"/>
      <c r="T2440" s="13"/>
      <c r="U2440" s="13"/>
      <c r="V2440" s="13"/>
      <c r="W2440" s="13"/>
    </row>
    <row r="2441" spans="1:23" x14ac:dyDescent="0.2">
      <c r="A2441"/>
      <c r="B2441"/>
      <c r="C2441"/>
      <c r="D2441"/>
      <c r="E2441"/>
      <c r="F2441"/>
      <c r="G2441"/>
      <c r="H2441"/>
      <c r="I2441"/>
      <c r="J2441"/>
      <c r="K2441" s="13" t="s">
        <v>209</v>
      </c>
      <c r="L2441" s="13" t="s">
        <v>404</v>
      </c>
      <c r="M2441" s="13" t="s">
        <v>405</v>
      </c>
      <c r="N2441" s="15">
        <v>0</v>
      </c>
      <c r="O2441" s="16">
        <v>0</v>
      </c>
      <c r="P2441" s="17">
        <v>534.63818001318748</v>
      </c>
      <c r="Q2441" s="17">
        <v>1397.0695974456248</v>
      </c>
      <c r="R2441" s="13"/>
      <c r="S2441" s="13"/>
      <c r="T2441" s="13"/>
      <c r="U2441" s="13"/>
      <c r="V2441" s="13"/>
      <c r="W2441" s="13"/>
    </row>
    <row r="2442" spans="1:23" x14ac:dyDescent="0.2">
      <c r="A2442"/>
      <c r="B2442"/>
      <c r="C2442"/>
      <c r="D2442"/>
      <c r="E2442"/>
      <c r="F2442"/>
      <c r="G2442"/>
      <c r="H2442"/>
      <c r="I2442"/>
      <c r="J2442"/>
      <c r="K2442" s="13" t="s">
        <v>209</v>
      </c>
      <c r="L2442" s="13" t="s">
        <v>406</v>
      </c>
      <c r="M2442" s="13" t="s">
        <v>361</v>
      </c>
      <c r="N2442" s="15">
        <v>0</v>
      </c>
      <c r="O2442" s="16">
        <v>0</v>
      </c>
      <c r="P2442" s="17">
        <v>79.60909997068552</v>
      </c>
      <c r="Q2442" s="17">
        <v>301.3181103528712</v>
      </c>
      <c r="R2442" s="13"/>
      <c r="S2442" s="13"/>
      <c r="T2442" s="13"/>
      <c r="U2442" s="13"/>
      <c r="V2442" s="13"/>
      <c r="W2442" s="13"/>
    </row>
    <row r="2443" spans="1:23" x14ac:dyDescent="0.2">
      <c r="A2443"/>
      <c r="B2443"/>
      <c r="C2443"/>
      <c r="D2443"/>
      <c r="E2443"/>
      <c r="F2443"/>
      <c r="G2443"/>
      <c r="H2443"/>
      <c r="I2443"/>
      <c r="J2443"/>
      <c r="K2443" s="13" t="s">
        <v>209</v>
      </c>
      <c r="L2443" s="13" t="s">
        <v>381</v>
      </c>
      <c r="M2443" s="13" t="s">
        <v>382</v>
      </c>
      <c r="N2443" s="15">
        <v>94</v>
      </c>
      <c r="O2443" s="16">
        <v>0</v>
      </c>
      <c r="P2443" s="17">
        <v>0</v>
      </c>
      <c r="Q2443" s="17">
        <v>0</v>
      </c>
      <c r="R2443" s="13"/>
      <c r="S2443" s="13"/>
      <c r="T2443" s="13"/>
      <c r="U2443" s="13"/>
      <c r="V2443" s="13"/>
      <c r="W2443" s="13"/>
    </row>
    <row r="2444" spans="1:23" x14ac:dyDescent="0.2">
      <c r="A2444"/>
      <c r="B2444"/>
      <c r="C2444"/>
      <c r="D2444"/>
      <c r="E2444"/>
      <c r="F2444"/>
      <c r="G2444"/>
      <c r="H2444"/>
      <c r="I2444"/>
      <c r="J2444"/>
      <c r="K2444" s="13" t="s">
        <v>209</v>
      </c>
      <c r="L2444" s="13" t="s">
        <v>409</v>
      </c>
      <c r="M2444" s="13" t="s">
        <v>410</v>
      </c>
      <c r="N2444" s="15">
        <v>10</v>
      </c>
      <c r="O2444" s="16">
        <v>0</v>
      </c>
      <c r="P2444" s="17">
        <v>0</v>
      </c>
      <c r="Q2444" s="17">
        <v>0</v>
      </c>
      <c r="R2444" s="13"/>
      <c r="S2444" s="13"/>
      <c r="T2444" s="13"/>
      <c r="U2444" s="13"/>
      <c r="V2444" s="13"/>
      <c r="W2444" s="13"/>
    </row>
    <row r="2445" spans="1:23" x14ac:dyDescent="0.2">
      <c r="A2445"/>
      <c r="B2445"/>
      <c r="C2445"/>
      <c r="D2445"/>
      <c r="E2445"/>
      <c r="F2445"/>
      <c r="G2445"/>
      <c r="H2445"/>
      <c r="I2445"/>
      <c r="J2445"/>
      <c r="K2445" s="13" t="s">
        <v>209</v>
      </c>
      <c r="L2445" s="13" t="s">
        <v>411</v>
      </c>
      <c r="M2445" s="13" t="s">
        <v>362</v>
      </c>
      <c r="N2445" s="15">
        <v>0</v>
      </c>
      <c r="O2445" s="16">
        <v>0</v>
      </c>
      <c r="P2445" s="17">
        <v>21.829800005127723</v>
      </c>
      <c r="Q2445" s="17">
        <v>0</v>
      </c>
      <c r="R2445" s="13"/>
      <c r="S2445" s="13"/>
      <c r="T2445" s="13"/>
      <c r="U2445" s="13"/>
      <c r="V2445" s="13"/>
      <c r="W2445" s="13"/>
    </row>
    <row r="2446" spans="1:23" x14ac:dyDescent="0.2">
      <c r="A2446"/>
      <c r="B2446"/>
      <c r="C2446"/>
      <c r="D2446"/>
      <c r="E2446"/>
      <c r="F2446"/>
      <c r="G2446"/>
      <c r="H2446"/>
      <c r="I2446"/>
      <c r="J2446"/>
      <c r="K2446" s="13" t="s">
        <v>209</v>
      </c>
      <c r="L2446" s="13" t="s">
        <v>411</v>
      </c>
      <c r="M2446" s="13" t="s">
        <v>362</v>
      </c>
      <c r="N2446" s="15">
        <v>0</v>
      </c>
      <c r="O2446" s="16">
        <v>402.12365855047983</v>
      </c>
      <c r="P2446" s="17">
        <v>0</v>
      </c>
      <c r="Q2446" s="17">
        <v>0</v>
      </c>
      <c r="R2446" s="13"/>
      <c r="S2446" s="13"/>
      <c r="T2446" s="13"/>
      <c r="U2446" s="13"/>
      <c r="V2446" s="13"/>
      <c r="W2446" s="13"/>
    </row>
    <row r="2447" spans="1:23" x14ac:dyDescent="0.2">
      <c r="A2447"/>
      <c r="B2447"/>
      <c r="C2447"/>
      <c r="D2447"/>
      <c r="E2447"/>
      <c r="F2447"/>
      <c r="G2447"/>
      <c r="H2447"/>
      <c r="I2447"/>
      <c r="J2447"/>
      <c r="K2447" s="13" t="s">
        <v>209</v>
      </c>
      <c r="L2447" s="13" t="s">
        <v>411</v>
      </c>
      <c r="M2447" s="13" t="s">
        <v>362</v>
      </c>
      <c r="N2447" s="15">
        <v>1</v>
      </c>
      <c r="O2447" s="16">
        <v>0</v>
      </c>
      <c r="P2447" s="17">
        <v>0</v>
      </c>
      <c r="Q2447" s="17">
        <v>0</v>
      </c>
      <c r="R2447" s="13"/>
      <c r="S2447" s="13"/>
      <c r="T2447" s="13"/>
      <c r="U2447" s="13"/>
      <c r="V2447" s="13"/>
      <c r="W2447" s="13"/>
    </row>
    <row r="2448" spans="1:23" x14ac:dyDescent="0.2">
      <c r="A2448"/>
      <c r="B2448"/>
      <c r="C2448"/>
      <c r="D2448"/>
      <c r="E2448"/>
      <c r="F2448"/>
      <c r="G2448"/>
      <c r="H2448"/>
      <c r="I2448"/>
      <c r="J2448"/>
      <c r="K2448" s="13" t="s">
        <v>209</v>
      </c>
      <c r="L2448" s="13" t="s">
        <v>413</v>
      </c>
      <c r="M2448" s="13" t="s">
        <v>428</v>
      </c>
      <c r="N2448" s="15">
        <v>4</v>
      </c>
      <c r="O2448" s="16">
        <v>0</v>
      </c>
      <c r="P2448" s="17">
        <v>0</v>
      </c>
      <c r="Q2448" s="17">
        <v>0</v>
      </c>
      <c r="R2448" s="13"/>
      <c r="S2448" s="13"/>
      <c r="T2448" s="13"/>
      <c r="U2448" s="13"/>
      <c r="V2448" s="13"/>
      <c r="W2448" s="13"/>
    </row>
    <row r="2449" spans="1:23" x14ac:dyDescent="0.2">
      <c r="A2449"/>
      <c r="B2449"/>
      <c r="C2449"/>
      <c r="D2449"/>
      <c r="E2449"/>
      <c r="F2449"/>
      <c r="G2449"/>
      <c r="H2449"/>
      <c r="I2449"/>
      <c r="J2449"/>
      <c r="K2449" s="13" t="s">
        <v>209</v>
      </c>
      <c r="L2449" s="13" t="s">
        <v>475</v>
      </c>
      <c r="M2449" s="13" t="s">
        <v>470</v>
      </c>
      <c r="N2449" s="15">
        <v>2</v>
      </c>
      <c r="O2449" s="16">
        <v>0</v>
      </c>
      <c r="P2449" s="17">
        <v>0</v>
      </c>
      <c r="Q2449" s="17">
        <v>0</v>
      </c>
      <c r="R2449" s="13"/>
      <c r="S2449" s="13"/>
      <c r="T2449" s="13"/>
      <c r="U2449" s="13"/>
      <c r="V2449" s="13"/>
      <c r="W2449" s="13"/>
    </row>
    <row r="2450" spans="1:23" x14ac:dyDescent="0.2">
      <c r="A2450"/>
      <c r="B2450"/>
      <c r="C2450"/>
      <c r="D2450"/>
      <c r="E2450"/>
      <c r="F2450"/>
      <c r="G2450"/>
      <c r="H2450"/>
      <c r="I2450"/>
      <c r="J2450"/>
      <c r="K2450" s="13" t="s">
        <v>209</v>
      </c>
      <c r="L2450" s="13" t="s">
        <v>605</v>
      </c>
      <c r="M2450" s="13" t="s">
        <v>429</v>
      </c>
      <c r="N2450" s="15">
        <v>0</v>
      </c>
      <c r="O2450" s="16">
        <v>39.610244964243257</v>
      </c>
      <c r="P2450" s="17">
        <v>0</v>
      </c>
      <c r="Q2450" s="17">
        <v>0</v>
      </c>
      <c r="R2450" s="13"/>
      <c r="S2450" s="13"/>
      <c r="T2450" s="13"/>
      <c r="U2450" s="13"/>
      <c r="V2450" s="13"/>
      <c r="W2450" s="13"/>
    </row>
    <row r="2451" spans="1:23" x14ac:dyDescent="0.2">
      <c r="A2451"/>
      <c r="B2451"/>
      <c r="C2451"/>
      <c r="D2451"/>
      <c r="E2451"/>
      <c r="F2451"/>
      <c r="G2451"/>
      <c r="H2451"/>
      <c r="I2451"/>
      <c r="J2451"/>
      <c r="K2451" s="13" t="s">
        <v>209</v>
      </c>
      <c r="L2451" s="13" t="s">
        <v>606</v>
      </c>
      <c r="M2451" s="13" t="s">
        <v>430</v>
      </c>
      <c r="N2451" s="15">
        <v>50</v>
      </c>
      <c r="O2451" s="16">
        <v>0</v>
      </c>
      <c r="P2451" s="17">
        <v>0</v>
      </c>
      <c r="Q2451" s="17">
        <v>0</v>
      </c>
      <c r="R2451" s="13"/>
      <c r="S2451" s="13"/>
      <c r="T2451" s="13"/>
      <c r="U2451" s="13"/>
      <c r="V2451" s="13"/>
      <c r="W2451" s="13"/>
    </row>
    <row r="2452" spans="1:23" x14ac:dyDescent="0.2">
      <c r="A2452"/>
      <c r="B2452"/>
      <c r="C2452"/>
      <c r="D2452"/>
      <c r="E2452"/>
      <c r="F2452"/>
      <c r="G2452"/>
      <c r="H2452"/>
      <c r="I2452"/>
      <c r="J2452"/>
      <c r="K2452" s="13" t="s">
        <v>209</v>
      </c>
      <c r="L2452" s="13" t="s">
        <v>623</v>
      </c>
      <c r="M2452" s="13" t="s">
        <v>530</v>
      </c>
      <c r="N2452" s="15">
        <v>0</v>
      </c>
      <c r="O2452" s="16">
        <v>201.82539279039671</v>
      </c>
      <c r="P2452" s="17">
        <v>0</v>
      </c>
      <c r="Q2452" s="17">
        <v>0</v>
      </c>
      <c r="R2452" s="13"/>
      <c r="S2452" s="13"/>
      <c r="T2452" s="13"/>
      <c r="U2452" s="13"/>
      <c r="V2452" s="13"/>
      <c r="W2452" s="13"/>
    </row>
    <row r="2453" spans="1:23" x14ac:dyDescent="0.2">
      <c r="A2453"/>
      <c r="B2453"/>
      <c r="C2453"/>
      <c r="D2453"/>
      <c r="E2453"/>
      <c r="F2453"/>
      <c r="G2453"/>
      <c r="H2453"/>
      <c r="I2453"/>
      <c r="J2453"/>
      <c r="K2453" s="13" t="s">
        <v>209</v>
      </c>
      <c r="L2453" s="13" t="s">
        <v>607</v>
      </c>
      <c r="M2453" s="13" t="s">
        <v>431</v>
      </c>
      <c r="N2453" s="15">
        <v>2</v>
      </c>
      <c r="O2453" s="16">
        <v>0</v>
      </c>
      <c r="P2453" s="17">
        <v>0</v>
      </c>
      <c r="Q2453" s="17">
        <v>0</v>
      </c>
      <c r="R2453" s="13"/>
      <c r="S2453" s="13"/>
      <c r="T2453" s="13"/>
      <c r="U2453" s="13"/>
      <c r="V2453" s="13"/>
      <c r="W2453" s="13"/>
    </row>
    <row r="2454" spans="1:23" x14ac:dyDescent="0.2">
      <c r="A2454"/>
      <c r="B2454"/>
      <c r="C2454"/>
      <c r="D2454"/>
      <c r="E2454"/>
      <c r="F2454"/>
      <c r="G2454"/>
      <c r="H2454"/>
      <c r="I2454"/>
      <c r="J2454"/>
      <c r="K2454" s="13" t="s">
        <v>209</v>
      </c>
      <c r="L2454" s="13" t="s">
        <v>608</v>
      </c>
      <c r="M2454" s="13" t="s">
        <v>432</v>
      </c>
      <c r="N2454" s="15">
        <v>9</v>
      </c>
      <c r="O2454" s="16">
        <v>0</v>
      </c>
      <c r="P2454" s="17">
        <v>0</v>
      </c>
      <c r="Q2454" s="17">
        <v>0</v>
      </c>
      <c r="R2454" s="13"/>
      <c r="S2454" s="13"/>
      <c r="T2454" s="13"/>
      <c r="U2454" s="13"/>
      <c r="V2454" s="13"/>
      <c r="W2454" s="13"/>
    </row>
    <row r="2455" spans="1:23" x14ac:dyDescent="0.2">
      <c r="A2455"/>
      <c r="B2455"/>
      <c r="C2455"/>
      <c r="D2455"/>
      <c r="E2455"/>
      <c r="F2455"/>
      <c r="G2455"/>
      <c r="H2455"/>
      <c r="I2455"/>
      <c r="J2455"/>
      <c r="K2455" s="13" t="s">
        <v>209</v>
      </c>
      <c r="L2455" s="13" t="s">
        <v>615</v>
      </c>
      <c r="M2455" s="13" t="s">
        <v>449</v>
      </c>
      <c r="N2455" s="15">
        <v>1</v>
      </c>
      <c r="O2455" s="16">
        <v>0</v>
      </c>
      <c r="P2455" s="17">
        <v>0</v>
      </c>
      <c r="Q2455" s="17">
        <v>0</v>
      </c>
      <c r="R2455" s="13"/>
      <c r="S2455" s="13"/>
      <c r="T2455" s="13"/>
      <c r="U2455" s="13"/>
      <c r="V2455" s="13"/>
      <c r="W2455" s="13"/>
    </row>
    <row r="2456" spans="1:23" x14ac:dyDescent="0.2">
      <c r="A2456"/>
      <c r="B2456"/>
      <c r="C2456"/>
      <c r="D2456"/>
      <c r="E2456"/>
      <c r="F2456"/>
      <c r="G2456"/>
      <c r="H2456"/>
      <c r="I2456"/>
      <c r="J2456"/>
      <c r="K2456" s="13" t="s">
        <v>209</v>
      </c>
      <c r="L2456" s="13" t="s">
        <v>415</v>
      </c>
      <c r="M2456" s="13" t="s">
        <v>412</v>
      </c>
      <c r="N2456" s="15">
        <v>0</v>
      </c>
      <c r="O2456" s="16">
        <v>0</v>
      </c>
      <c r="P2456" s="17">
        <v>82.747350001252926</v>
      </c>
      <c r="Q2456" s="17">
        <v>0</v>
      </c>
      <c r="R2456" s="13"/>
      <c r="S2456" s="13"/>
      <c r="T2456" s="13"/>
      <c r="U2456" s="13"/>
      <c r="V2456" s="13"/>
      <c r="W2456" s="13"/>
    </row>
    <row r="2457" spans="1:23" x14ac:dyDescent="0.2">
      <c r="A2457"/>
      <c r="B2457"/>
      <c r="C2457"/>
      <c r="D2457"/>
      <c r="E2457"/>
      <c r="F2457"/>
      <c r="G2457"/>
      <c r="H2457"/>
      <c r="I2457"/>
      <c r="J2457"/>
      <c r="K2457" s="13" t="s">
        <v>209</v>
      </c>
      <c r="L2457" s="13" t="s">
        <v>609</v>
      </c>
      <c r="M2457" s="13" t="s">
        <v>416</v>
      </c>
      <c r="N2457" s="15">
        <v>0</v>
      </c>
      <c r="O2457" s="16">
        <v>26.92902244294072</v>
      </c>
      <c r="P2457" s="17">
        <v>0</v>
      </c>
      <c r="Q2457" s="17">
        <v>0</v>
      </c>
      <c r="R2457" s="13"/>
      <c r="S2457" s="13"/>
      <c r="T2457" s="13"/>
      <c r="U2457" s="13"/>
      <c r="V2457" s="13"/>
      <c r="W2457" s="13"/>
    </row>
    <row r="2458" spans="1:23" x14ac:dyDescent="0.2">
      <c r="A2458"/>
      <c r="B2458"/>
      <c r="C2458"/>
      <c r="D2458"/>
      <c r="E2458"/>
      <c r="F2458"/>
      <c r="G2458"/>
      <c r="H2458"/>
      <c r="I2458"/>
      <c r="J2458"/>
      <c r="K2458" s="13" t="s">
        <v>209</v>
      </c>
      <c r="L2458" s="13" t="s">
        <v>421</v>
      </c>
      <c r="M2458" s="13" t="s">
        <v>443</v>
      </c>
      <c r="N2458" s="15">
        <v>12</v>
      </c>
      <c r="O2458" s="16">
        <v>0</v>
      </c>
      <c r="P2458" s="17">
        <v>0</v>
      </c>
      <c r="Q2458" s="17">
        <v>0</v>
      </c>
      <c r="R2458" s="13"/>
      <c r="S2458" s="13"/>
      <c r="T2458" s="13"/>
      <c r="U2458" s="13"/>
      <c r="V2458" s="13"/>
      <c r="W2458" s="13"/>
    </row>
    <row r="2459" spans="1:23" x14ac:dyDescent="0.2">
      <c r="A2459"/>
      <c r="B2459"/>
      <c r="C2459"/>
      <c r="D2459"/>
      <c r="E2459"/>
      <c r="F2459"/>
      <c r="G2459"/>
      <c r="H2459"/>
      <c r="I2459"/>
      <c r="J2459"/>
      <c r="K2459" s="13" t="s">
        <v>209</v>
      </c>
      <c r="L2459" s="13" t="s">
        <v>383</v>
      </c>
      <c r="M2459" s="13" t="s">
        <v>420</v>
      </c>
      <c r="N2459" s="15">
        <v>14</v>
      </c>
      <c r="O2459" s="16">
        <v>0</v>
      </c>
      <c r="P2459" s="17">
        <v>0</v>
      </c>
      <c r="Q2459" s="17">
        <v>0</v>
      </c>
      <c r="R2459" s="13"/>
      <c r="S2459" s="13"/>
      <c r="T2459" s="13"/>
      <c r="U2459" s="13"/>
      <c r="V2459" s="13"/>
      <c r="W2459" s="13"/>
    </row>
    <row r="2460" spans="1:23" x14ac:dyDescent="0.2">
      <c r="A2460"/>
      <c r="B2460"/>
      <c r="C2460"/>
      <c r="D2460"/>
      <c r="E2460"/>
      <c r="F2460"/>
      <c r="G2460"/>
      <c r="H2460"/>
      <c r="I2460"/>
      <c r="J2460"/>
      <c r="K2460" s="13" t="s">
        <v>209</v>
      </c>
      <c r="L2460" s="13" t="s">
        <v>528</v>
      </c>
      <c r="M2460" s="13" t="s">
        <v>384</v>
      </c>
      <c r="N2460" s="15">
        <v>0</v>
      </c>
      <c r="O2460" s="16">
        <v>98.027386870741893</v>
      </c>
      <c r="P2460" s="17">
        <v>0</v>
      </c>
      <c r="Q2460" s="17">
        <v>0</v>
      </c>
      <c r="R2460" s="13"/>
      <c r="S2460" s="13"/>
      <c r="T2460" s="13"/>
      <c r="U2460" s="13"/>
      <c r="V2460" s="13"/>
      <c r="W2460" s="13"/>
    </row>
    <row r="2461" spans="1:23" x14ac:dyDescent="0.2">
      <c r="A2461"/>
      <c r="B2461"/>
      <c r="C2461"/>
      <c r="D2461"/>
      <c r="E2461"/>
      <c r="F2461"/>
      <c r="G2461"/>
      <c r="H2461"/>
      <c r="I2461"/>
      <c r="J2461"/>
      <c r="K2461" s="13" t="s">
        <v>209</v>
      </c>
      <c r="L2461" s="13" t="s">
        <v>613</v>
      </c>
      <c r="M2461" s="13" t="s">
        <v>444</v>
      </c>
      <c r="N2461" s="15">
        <v>0</v>
      </c>
      <c r="O2461" s="16">
        <v>246.7968823232917</v>
      </c>
      <c r="P2461" s="17">
        <v>0</v>
      </c>
      <c r="Q2461" s="17">
        <v>0</v>
      </c>
      <c r="R2461" s="13"/>
      <c r="S2461" s="13"/>
      <c r="T2461" s="13"/>
      <c r="U2461" s="13"/>
      <c r="V2461" s="13"/>
      <c r="W2461" s="13"/>
    </row>
    <row r="2462" spans="1:23" x14ac:dyDescent="0.2">
      <c r="A2462"/>
      <c r="B2462"/>
      <c r="C2462"/>
      <c r="D2462"/>
      <c r="E2462"/>
      <c r="F2462"/>
      <c r="G2462"/>
      <c r="H2462"/>
      <c r="I2462"/>
      <c r="J2462"/>
      <c r="K2462" s="13" t="s">
        <v>209</v>
      </c>
      <c r="L2462" s="13" t="s">
        <v>611</v>
      </c>
      <c r="M2462" s="13" t="s">
        <v>423</v>
      </c>
      <c r="N2462" s="15">
        <v>0</v>
      </c>
      <c r="O2462" s="16">
        <v>36.028812463962254</v>
      </c>
      <c r="P2462" s="17">
        <v>0</v>
      </c>
      <c r="Q2462" s="17">
        <v>0</v>
      </c>
      <c r="R2462" s="13"/>
      <c r="S2462" s="13"/>
      <c r="T2462" s="13"/>
      <c r="U2462" s="13"/>
      <c r="V2462" s="13"/>
      <c r="W2462" s="13"/>
    </row>
    <row r="2463" spans="1:23" x14ac:dyDescent="0.2">
      <c r="A2463"/>
      <c r="B2463"/>
      <c r="C2463"/>
      <c r="D2463"/>
      <c r="E2463"/>
      <c r="F2463"/>
      <c r="G2463"/>
      <c r="H2463"/>
      <c r="I2463"/>
      <c r="J2463"/>
      <c r="K2463" s="13" t="s">
        <v>209</v>
      </c>
      <c r="L2463" s="13" t="s">
        <v>446</v>
      </c>
      <c r="M2463" s="13" t="s">
        <v>371</v>
      </c>
      <c r="N2463" s="15">
        <v>12</v>
      </c>
      <c r="O2463" s="16">
        <v>0</v>
      </c>
      <c r="P2463" s="17">
        <v>0</v>
      </c>
      <c r="Q2463" s="17">
        <v>0</v>
      </c>
      <c r="R2463" s="13"/>
      <c r="S2463" s="13"/>
      <c r="T2463" s="13"/>
      <c r="U2463" s="13"/>
      <c r="V2463" s="13"/>
      <c r="W2463" s="13"/>
    </row>
    <row r="2464" spans="1:23" x14ac:dyDescent="0.2">
      <c r="A2464"/>
      <c r="B2464"/>
      <c r="C2464"/>
      <c r="D2464"/>
      <c r="E2464"/>
      <c r="F2464"/>
      <c r="G2464"/>
      <c r="H2464"/>
      <c r="I2464"/>
      <c r="J2464"/>
      <c r="K2464" s="13" t="s">
        <v>209</v>
      </c>
      <c r="L2464" s="13" t="s">
        <v>424</v>
      </c>
      <c r="M2464" s="13" t="s">
        <v>468</v>
      </c>
      <c r="N2464" s="15">
        <v>0</v>
      </c>
      <c r="O2464" s="16">
        <v>0</v>
      </c>
      <c r="P2464" s="17">
        <v>20.748950001436938</v>
      </c>
      <c r="Q2464" s="17">
        <v>0</v>
      </c>
      <c r="R2464" s="13"/>
      <c r="S2464" s="13"/>
      <c r="T2464" s="13"/>
      <c r="U2464" s="13"/>
      <c r="V2464" s="13"/>
      <c r="W2464" s="13"/>
    </row>
    <row r="2465" spans="1:23" x14ac:dyDescent="0.2">
      <c r="A2465"/>
      <c r="B2465"/>
      <c r="C2465"/>
      <c r="D2465"/>
      <c r="E2465"/>
      <c r="F2465"/>
      <c r="G2465"/>
      <c r="H2465"/>
      <c r="I2465"/>
      <c r="J2465"/>
      <c r="K2465" s="13" t="s">
        <v>209</v>
      </c>
      <c r="L2465" s="13" t="s">
        <v>614</v>
      </c>
      <c r="M2465" s="13" t="s">
        <v>447</v>
      </c>
      <c r="N2465" s="15">
        <v>14</v>
      </c>
      <c r="O2465" s="16">
        <v>0</v>
      </c>
      <c r="P2465" s="17">
        <v>0</v>
      </c>
      <c r="Q2465" s="17">
        <v>0</v>
      </c>
      <c r="R2465" s="13"/>
      <c r="S2465" s="13"/>
      <c r="T2465" s="13"/>
      <c r="U2465" s="13"/>
      <c r="V2465" s="13"/>
      <c r="W2465" s="13"/>
    </row>
    <row r="2466" spans="1:23" x14ac:dyDescent="0.2">
      <c r="A2466"/>
      <c r="B2466"/>
      <c r="C2466"/>
      <c r="D2466"/>
      <c r="E2466"/>
      <c r="F2466"/>
      <c r="G2466"/>
      <c r="H2466"/>
      <c r="I2466"/>
      <c r="J2466"/>
      <c r="K2466" s="13" t="s">
        <v>209</v>
      </c>
      <c r="L2466" s="13" t="s">
        <v>469</v>
      </c>
      <c r="M2466" s="13" t="s">
        <v>426</v>
      </c>
      <c r="N2466" s="15">
        <v>5</v>
      </c>
      <c r="O2466" s="16">
        <v>0</v>
      </c>
      <c r="P2466" s="17">
        <v>0</v>
      </c>
      <c r="Q2466" s="17">
        <v>0</v>
      </c>
      <c r="R2466" s="13"/>
      <c r="S2466" s="13"/>
      <c r="T2466" s="13"/>
      <c r="U2466" s="13"/>
      <c r="V2466" s="13"/>
      <c r="W2466" s="13"/>
    </row>
    <row r="2467" spans="1:23" x14ac:dyDescent="0.2">
      <c r="A2467"/>
      <c r="B2467"/>
      <c r="C2467"/>
      <c r="D2467"/>
      <c r="E2467"/>
      <c r="F2467"/>
      <c r="G2467"/>
      <c r="H2467"/>
      <c r="I2467"/>
      <c r="J2467"/>
      <c r="K2467" s="13" t="s">
        <v>211</v>
      </c>
      <c r="L2467" s="13" t="s">
        <v>435</v>
      </c>
      <c r="M2467" s="13" t="s">
        <v>364</v>
      </c>
      <c r="N2467" s="15">
        <v>2</v>
      </c>
      <c r="O2467" s="16">
        <v>0</v>
      </c>
      <c r="P2467" s="17">
        <v>0</v>
      </c>
      <c r="Q2467" s="17">
        <v>0</v>
      </c>
      <c r="R2467" s="13"/>
      <c r="S2467" s="13"/>
      <c r="T2467" s="13"/>
      <c r="U2467" s="13"/>
      <c r="V2467" s="13"/>
      <c r="W2467" s="13"/>
    </row>
    <row r="2468" spans="1:23" x14ac:dyDescent="0.2">
      <c r="A2468"/>
      <c r="B2468"/>
      <c r="C2468"/>
      <c r="D2468"/>
      <c r="E2468"/>
      <c r="F2468"/>
      <c r="G2468"/>
      <c r="H2468"/>
      <c r="I2468"/>
      <c r="J2468"/>
      <c r="K2468" s="13" t="s">
        <v>211</v>
      </c>
      <c r="L2468" s="13" t="s">
        <v>387</v>
      </c>
      <c r="M2468" s="13" t="s">
        <v>386</v>
      </c>
      <c r="N2468" s="15">
        <v>0</v>
      </c>
      <c r="O2468" s="16">
        <v>0</v>
      </c>
      <c r="P2468" s="17">
        <v>2979.7993039488729</v>
      </c>
      <c r="Q2468" s="17">
        <v>0</v>
      </c>
      <c r="R2468" s="13"/>
      <c r="S2468" s="13"/>
      <c r="T2468" s="13"/>
      <c r="U2468" s="13"/>
      <c r="V2468" s="13"/>
      <c r="W2468" s="13"/>
    </row>
    <row r="2469" spans="1:23" x14ac:dyDescent="0.2">
      <c r="A2469"/>
      <c r="B2469"/>
      <c r="C2469"/>
      <c r="D2469"/>
      <c r="E2469"/>
      <c r="F2469"/>
      <c r="G2469"/>
      <c r="H2469"/>
      <c r="I2469"/>
      <c r="J2469"/>
      <c r="K2469" s="13" t="s">
        <v>211</v>
      </c>
      <c r="L2469" s="13" t="s">
        <v>389</v>
      </c>
      <c r="M2469" s="13" t="s">
        <v>388</v>
      </c>
      <c r="N2469" s="15">
        <v>0</v>
      </c>
      <c r="O2469" s="16">
        <v>0</v>
      </c>
      <c r="P2469" s="17">
        <v>1617.6291699686051</v>
      </c>
      <c r="Q2469" s="17">
        <v>0</v>
      </c>
      <c r="R2469" s="13"/>
      <c r="S2469" s="13"/>
      <c r="T2469" s="13"/>
      <c r="U2469" s="13"/>
      <c r="V2469" s="13"/>
      <c r="W2469" s="13"/>
    </row>
    <row r="2470" spans="1:23" x14ac:dyDescent="0.2">
      <c r="A2470"/>
      <c r="B2470"/>
      <c r="C2470"/>
      <c r="D2470"/>
      <c r="E2470"/>
      <c r="F2470"/>
      <c r="G2470"/>
      <c r="H2470"/>
      <c r="I2470"/>
      <c r="J2470"/>
      <c r="K2470" s="13" t="s">
        <v>211</v>
      </c>
      <c r="L2470" s="13" t="s">
        <v>542</v>
      </c>
      <c r="M2470" s="13" t="s">
        <v>390</v>
      </c>
      <c r="N2470" s="15">
        <v>0</v>
      </c>
      <c r="O2470" s="16">
        <v>0</v>
      </c>
      <c r="P2470" s="17">
        <v>15.715049998063524</v>
      </c>
      <c r="Q2470" s="17">
        <v>0</v>
      </c>
      <c r="R2470" s="13"/>
      <c r="S2470" s="13"/>
      <c r="T2470" s="13"/>
      <c r="U2470" s="13"/>
      <c r="V2470" s="13"/>
      <c r="W2470" s="13"/>
    </row>
    <row r="2471" spans="1:23" x14ac:dyDescent="0.2">
      <c r="A2471"/>
      <c r="B2471"/>
      <c r="C2471"/>
      <c r="D2471"/>
      <c r="E2471"/>
      <c r="F2471"/>
      <c r="G2471"/>
      <c r="H2471"/>
      <c r="I2471"/>
      <c r="J2471"/>
      <c r="K2471" s="13" t="s">
        <v>211</v>
      </c>
      <c r="L2471" s="13" t="s">
        <v>391</v>
      </c>
      <c r="M2471" s="13" t="s">
        <v>358</v>
      </c>
      <c r="N2471" s="15">
        <v>0</v>
      </c>
      <c r="O2471" s="16">
        <v>0</v>
      </c>
      <c r="P2471" s="17">
        <v>732.92574852416078</v>
      </c>
      <c r="Q2471" s="17">
        <v>0</v>
      </c>
      <c r="R2471" s="13"/>
      <c r="S2471" s="13"/>
      <c r="T2471" s="13"/>
      <c r="U2471" s="13"/>
      <c r="V2471" s="13"/>
      <c r="W2471" s="13"/>
    </row>
    <row r="2472" spans="1:23" x14ac:dyDescent="0.2">
      <c r="A2472"/>
      <c r="B2472"/>
      <c r="C2472"/>
      <c r="D2472"/>
      <c r="E2472"/>
      <c r="F2472"/>
      <c r="G2472"/>
      <c r="H2472"/>
      <c r="I2472"/>
      <c r="J2472"/>
      <c r="K2472" s="13" t="s">
        <v>211</v>
      </c>
      <c r="L2472" s="13" t="s">
        <v>436</v>
      </c>
      <c r="M2472" s="13" t="s">
        <v>487</v>
      </c>
      <c r="N2472" s="15">
        <v>0</v>
      </c>
      <c r="O2472" s="16">
        <v>0</v>
      </c>
      <c r="P2472" s="17">
        <v>40.626049991790019</v>
      </c>
      <c r="Q2472" s="17">
        <v>0</v>
      </c>
      <c r="R2472" s="13"/>
      <c r="S2472" s="13"/>
      <c r="T2472" s="13"/>
      <c r="U2472" s="13"/>
      <c r="V2472" s="13"/>
      <c r="W2472" s="13"/>
    </row>
    <row r="2473" spans="1:23" x14ac:dyDescent="0.2">
      <c r="A2473"/>
      <c r="B2473"/>
      <c r="C2473"/>
      <c r="D2473"/>
      <c r="E2473"/>
      <c r="F2473"/>
      <c r="G2473"/>
      <c r="H2473"/>
      <c r="I2473"/>
      <c r="J2473"/>
      <c r="K2473" s="13" t="s">
        <v>211</v>
      </c>
      <c r="L2473" s="13" t="s">
        <v>460</v>
      </c>
      <c r="M2473" s="13" t="s">
        <v>393</v>
      </c>
      <c r="N2473" s="15">
        <v>0</v>
      </c>
      <c r="O2473" s="16">
        <v>0</v>
      </c>
      <c r="P2473" s="17">
        <v>17.206150002344415</v>
      </c>
      <c r="Q2473" s="17">
        <v>0</v>
      </c>
      <c r="R2473" s="13"/>
      <c r="S2473" s="13"/>
      <c r="T2473" s="13"/>
      <c r="U2473" s="13"/>
      <c r="V2473" s="13"/>
      <c r="W2473" s="13"/>
    </row>
    <row r="2474" spans="1:23" x14ac:dyDescent="0.2">
      <c r="A2474"/>
      <c r="B2474"/>
      <c r="C2474"/>
      <c r="D2474"/>
      <c r="E2474"/>
      <c r="F2474"/>
      <c r="G2474"/>
      <c r="H2474"/>
      <c r="I2474"/>
      <c r="J2474"/>
      <c r="K2474" s="13" t="s">
        <v>211</v>
      </c>
      <c r="L2474" s="13" t="s">
        <v>512</v>
      </c>
      <c r="M2474" s="13" t="s">
        <v>466</v>
      </c>
      <c r="N2474" s="15">
        <v>0</v>
      </c>
      <c r="O2474" s="16">
        <v>0</v>
      </c>
      <c r="P2474" s="17">
        <v>398.34219999381315</v>
      </c>
      <c r="Q2474" s="17">
        <v>0</v>
      </c>
      <c r="R2474" s="13"/>
      <c r="S2474" s="13"/>
      <c r="T2474" s="13"/>
      <c r="U2474" s="13"/>
      <c r="V2474" s="13"/>
      <c r="W2474" s="13"/>
    </row>
    <row r="2475" spans="1:23" x14ac:dyDescent="0.2">
      <c r="A2475"/>
      <c r="B2475"/>
      <c r="C2475"/>
      <c r="D2475"/>
      <c r="E2475"/>
      <c r="F2475"/>
      <c r="G2475"/>
      <c r="H2475"/>
      <c r="I2475"/>
      <c r="J2475"/>
      <c r="K2475" s="13" t="s">
        <v>211</v>
      </c>
      <c r="L2475" s="13" t="s">
        <v>513</v>
      </c>
      <c r="M2475" s="13" t="s">
        <v>533</v>
      </c>
      <c r="N2475" s="15">
        <v>0</v>
      </c>
      <c r="O2475" s="16">
        <v>0</v>
      </c>
      <c r="P2475" s="17">
        <v>90.920449992964706</v>
      </c>
      <c r="Q2475" s="17">
        <v>0</v>
      </c>
      <c r="R2475" s="13"/>
      <c r="S2475" s="13"/>
      <c r="T2475" s="13"/>
      <c r="U2475" s="13"/>
      <c r="V2475" s="13"/>
      <c r="W2475" s="13"/>
    </row>
    <row r="2476" spans="1:23" x14ac:dyDescent="0.2">
      <c r="A2476"/>
      <c r="B2476"/>
      <c r="C2476"/>
      <c r="D2476"/>
      <c r="E2476"/>
      <c r="F2476"/>
      <c r="G2476"/>
      <c r="H2476"/>
      <c r="I2476"/>
      <c r="J2476"/>
      <c r="K2476" s="13" t="s">
        <v>211</v>
      </c>
      <c r="L2476" s="13" t="s">
        <v>440</v>
      </c>
      <c r="M2476" s="13" t="s">
        <v>441</v>
      </c>
      <c r="N2476" s="15">
        <v>5</v>
      </c>
      <c r="O2476" s="16">
        <v>0</v>
      </c>
      <c r="P2476" s="17">
        <v>0</v>
      </c>
      <c r="Q2476" s="17">
        <v>0</v>
      </c>
      <c r="R2476" s="13"/>
      <c r="S2476" s="13"/>
      <c r="T2476" s="13"/>
      <c r="U2476" s="13"/>
      <c r="V2476" s="13"/>
      <c r="W2476" s="13"/>
    </row>
    <row r="2477" spans="1:23" x14ac:dyDescent="0.2">
      <c r="A2477"/>
      <c r="B2477"/>
      <c r="C2477"/>
      <c r="D2477"/>
      <c r="E2477"/>
      <c r="F2477"/>
      <c r="G2477"/>
      <c r="H2477"/>
      <c r="I2477"/>
      <c r="J2477"/>
      <c r="K2477" s="13" t="s">
        <v>211</v>
      </c>
      <c r="L2477" s="13" t="s">
        <v>394</v>
      </c>
      <c r="M2477" s="13" t="s">
        <v>359</v>
      </c>
      <c r="N2477" s="15">
        <v>0</v>
      </c>
      <c r="O2477" s="16">
        <v>0</v>
      </c>
      <c r="P2477" s="17">
        <v>11.434399999460462</v>
      </c>
      <c r="Q2477" s="17">
        <v>0</v>
      </c>
      <c r="R2477" s="13"/>
      <c r="S2477" s="13"/>
      <c r="T2477" s="13"/>
      <c r="U2477" s="13"/>
      <c r="V2477" s="13"/>
      <c r="W2477" s="13"/>
    </row>
    <row r="2478" spans="1:23" x14ac:dyDescent="0.2">
      <c r="A2478"/>
      <c r="B2478"/>
      <c r="C2478"/>
      <c r="D2478"/>
      <c r="E2478"/>
      <c r="F2478"/>
      <c r="G2478"/>
      <c r="H2478"/>
      <c r="I2478"/>
      <c r="J2478"/>
      <c r="K2478" s="13" t="s">
        <v>211</v>
      </c>
      <c r="L2478" s="13" t="s">
        <v>395</v>
      </c>
      <c r="M2478" s="13" t="s">
        <v>602</v>
      </c>
      <c r="N2478" s="15">
        <v>5</v>
      </c>
      <c r="O2478" s="16">
        <v>0</v>
      </c>
      <c r="P2478" s="17">
        <v>0</v>
      </c>
      <c r="Q2478" s="17">
        <v>0</v>
      </c>
      <c r="R2478" s="13"/>
      <c r="S2478" s="13"/>
      <c r="T2478" s="13"/>
      <c r="U2478" s="13"/>
      <c r="V2478" s="13"/>
      <c r="W2478" s="13"/>
    </row>
    <row r="2479" spans="1:23" x14ac:dyDescent="0.2">
      <c r="A2479"/>
      <c r="B2479"/>
      <c r="C2479"/>
      <c r="D2479"/>
      <c r="E2479"/>
      <c r="F2479"/>
      <c r="G2479"/>
      <c r="H2479"/>
      <c r="I2479"/>
      <c r="J2479"/>
      <c r="K2479" s="13" t="s">
        <v>211</v>
      </c>
      <c r="L2479" s="13" t="s">
        <v>396</v>
      </c>
      <c r="M2479" s="13" t="s">
        <v>604</v>
      </c>
      <c r="N2479" s="15">
        <v>0</v>
      </c>
      <c r="O2479" s="16">
        <v>6.3060720800838919</v>
      </c>
      <c r="P2479" s="17">
        <v>0</v>
      </c>
      <c r="Q2479" s="17">
        <v>15.765180200209729</v>
      </c>
      <c r="R2479" s="13"/>
      <c r="S2479" s="13"/>
      <c r="T2479" s="13"/>
      <c r="U2479" s="13"/>
      <c r="V2479" s="13"/>
      <c r="W2479" s="13"/>
    </row>
    <row r="2480" spans="1:23" x14ac:dyDescent="0.2">
      <c r="A2480"/>
      <c r="B2480"/>
      <c r="C2480"/>
      <c r="D2480"/>
      <c r="E2480"/>
      <c r="F2480"/>
      <c r="G2480"/>
      <c r="H2480"/>
      <c r="I2480"/>
      <c r="J2480"/>
      <c r="K2480" s="13" t="s">
        <v>211</v>
      </c>
      <c r="L2480" s="13" t="s">
        <v>397</v>
      </c>
      <c r="M2480" s="13" t="s">
        <v>398</v>
      </c>
      <c r="N2480" s="15">
        <v>0</v>
      </c>
      <c r="O2480" s="16">
        <v>0</v>
      </c>
      <c r="P2480" s="17">
        <v>96.231716742309956</v>
      </c>
      <c r="Q2480" s="17">
        <v>0</v>
      </c>
      <c r="R2480" s="13"/>
      <c r="S2480" s="13"/>
      <c r="T2480" s="13"/>
      <c r="U2480" s="13"/>
      <c r="V2480" s="13"/>
      <c r="W2480" s="13"/>
    </row>
    <row r="2481" spans="1:23" x14ac:dyDescent="0.2">
      <c r="A2481"/>
      <c r="B2481"/>
      <c r="C2481"/>
      <c r="D2481"/>
      <c r="E2481"/>
      <c r="F2481"/>
      <c r="G2481"/>
      <c r="H2481"/>
      <c r="I2481"/>
      <c r="J2481"/>
      <c r="K2481" s="13" t="s">
        <v>211</v>
      </c>
      <c r="L2481" s="13" t="s">
        <v>399</v>
      </c>
      <c r="M2481" s="13" t="s">
        <v>400</v>
      </c>
      <c r="N2481" s="15">
        <v>0</v>
      </c>
      <c r="O2481" s="16">
        <v>0</v>
      </c>
      <c r="P2481" s="17">
        <v>61.937599993755207</v>
      </c>
      <c r="Q2481" s="17">
        <v>0</v>
      </c>
      <c r="R2481" s="13"/>
      <c r="S2481" s="13"/>
      <c r="T2481" s="13"/>
      <c r="U2481" s="13"/>
      <c r="V2481" s="13"/>
      <c r="W2481" s="13"/>
    </row>
    <row r="2482" spans="1:23" x14ac:dyDescent="0.2">
      <c r="A2482"/>
      <c r="B2482"/>
      <c r="C2482"/>
      <c r="D2482"/>
      <c r="E2482"/>
      <c r="F2482"/>
      <c r="G2482"/>
      <c r="H2482"/>
      <c r="I2482"/>
      <c r="J2482"/>
      <c r="K2482" s="13" t="s">
        <v>211</v>
      </c>
      <c r="L2482" s="13" t="s">
        <v>401</v>
      </c>
      <c r="M2482" s="13" t="s">
        <v>360</v>
      </c>
      <c r="N2482" s="15">
        <v>0</v>
      </c>
      <c r="O2482" s="16">
        <v>0</v>
      </c>
      <c r="P2482" s="17">
        <v>622.02578880336353</v>
      </c>
      <c r="Q2482" s="17">
        <v>0</v>
      </c>
      <c r="R2482" s="13"/>
      <c r="S2482" s="13"/>
      <c r="T2482" s="13"/>
      <c r="U2482" s="13"/>
      <c r="V2482" s="13"/>
      <c r="W2482" s="13"/>
    </row>
    <row r="2483" spans="1:23" x14ac:dyDescent="0.2">
      <c r="A2483"/>
      <c r="B2483"/>
      <c r="C2483"/>
      <c r="D2483"/>
      <c r="E2483"/>
      <c r="F2483"/>
      <c r="G2483"/>
      <c r="H2483"/>
      <c r="I2483"/>
      <c r="J2483"/>
      <c r="K2483" s="13" t="s">
        <v>211</v>
      </c>
      <c r="L2483" s="13" t="s">
        <v>511</v>
      </c>
      <c r="M2483" s="13" t="s">
        <v>377</v>
      </c>
      <c r="N2483" s="15">
        <v>0</v>
      </c>
      <c r="O2483" s="16">
        <v>0</v>
      </c>
      <c r="P2483" s="17">
        <v>97.961450014453902</v>
      </c>
      <c r="Q2483" s="17">
        <v>0</v>
      </c>
      <c r="R2483" s="13"/>
      <c r="S2483" s="13"/>
      <c r="T2483" s="13"/>
      <c r="U2483" s="13"/>
      <c r="V2483" s="13"/>
      <c r="W2483" s="13"/>
    </row>
    <row r="2484" spans="1:23" x14ac:dyDescent="0.2">
      <c r="A2484"/>
      <c r="B2484"/>
      <c r="C2484"/>
      <c r="D2484"/>
      <c r="E2484"/>
      <c r="F2484"/>
      <c r="G2484"/>
      <c r="H2484"/>
      <c r="I2484"/>
      <c r="J2484"/>
      <c r="K2484" s="13" t="s">
        <v>211</v>
      </c>
      <c r="L2484" s="13" t="s">
        <v>402</v>
      </c>
      <c r="M2484" s="13" t="s">
        <v>403</v>
      </c>
      <c r="N2484" s="15">
        <v>0</v>
      </c>
      <c r="O2484" s="16">
        <v>0</v>
      </c>
      <c r="P2484" s="17">
        <v>4719.7697224019121</v>
      </c>
      <c r="Q2484" s="17">
        <v>0</v>
      </c>
      <c r="R2484" s="13"/>
      <c r="S2484" s="13"/>
      <c r="T2484" s="13"/>
      <c r="U2484" s="13"/>
      <c r="V2484" s="13"/>
      <c r="W2484" s="13"/>
    </row>
    <row r="2485" spans="1:23" x14ac:dyDescent="0.2">
      <c r="A2485"/>
      <c r="B2485"/>
      <c r="C2485"/>
      <c r="D2485"/>
      <c r="E2485"/>
      <c r="F2485"/>
      <c r="G2485"/>
      <c r="H2485"/>
      <c r="I2485"/>
      <c r="J2485"/>
      <c r="K2485" s="13" t="s">
        <v>211</v>
      </c>
      <c r="L2485" s="13" t="s">
        <v>448</v>
      </c>
      <c r="M2485" s="13" t="s">
        <v>366</v>
      </c>
      <c r="N2485" s="15">
        <v>0</v>
      </c>
      <c r="O2485" s="16">
        <v>0</v>
      </c>
      <c r="P2485" s="17">
        <v>449.18745241587209</v>
      </c>
      <c r="Q2485" s="17">
        <v>0</v>
      </c>
      <c r="R2485" s="13"/>
      <c r="S2485" s="13"/>
      <c r="T2485" s="13"/>
      <c r="U2485" s="13"/>
      <c r="V2485" s="13"/>
      <c r="W2485" s="13"/>
    </row>
    <row r="2486" spans="1:23" x14ac:dyDescent="0.2">
      <c r="A2486"/>
      <c r="B2486"/>
      <c r="C2486"/>
      <c r="D2486"/>
      <c r="E2486"/>
      <c r="F2486"/>
      <c r="G2486"/>
      <c r="H2486"/>
      <c r="I2486"/>
      <c r="J2486"/>
      <c r="K2486" s="13" t="s">
        <v>211</v>
      </c>
      <c r="L2486" s="13" t="s">
        <v>456</v>
      </c>
      <c r="M2486" s="13" t="s">
        <v>457</v>
      </c>
      <c r="N2486" s="15">
        <v>0</v>
      </c>
      <c r="O2486" s="16">
        <v>0</v>
      </c>
      <c r="P2486" s="17">
        <v>43.680099986034421</v>
      </c>
      <c r="Q2486" s="17">
        <v>0</v>
      </c>
      <c r="R2486" s="13"/>
      <c r="S2486" s="13"/>
      <c r="T2486" s="13"/>
      <c r="U2486" s="13"/>
      <c r="V2486" s="13"/>
      <c r="W2486" s="13"/>
    </row>
    <row r="2487" spans="1:23" x14ac:dyDescent="0.2">
      <c r="A2487"/>
      <c r="B2487"/>
      <c r="C2487"/>
      <c r="D2487"/>
      <c r="E2487"/>
      <c r="F2487"/>
      <c r="G2487"/>
      <c r="H2487"/>
      <c r="I2487"/>
      <c r="J2487"/>
      <c r="K2487" s="13" t="s">
        <v>211</v>
      </c>
      <c r="L2487" s="13" t="s">
        <v>404</v>
      </c>
      <c r="M2487" s="13" t="s">
        <v>405</v>
      </c>
      <c r="N2487" s="15">
        <v>0</v>
      </c>
      <c r="O2487" s="16">
        <v>0</v>
      </c>
      <c r="P2487" s="17">
        <v>48.276651772110085</v>
      </c>
      <c r="Q2487" s="17">
        <v>189.09392650523378</v>
      </c>
      <c r="R2487" s="13"/>
      <c r="S2487" s="13"/>
      <c r="T2487" s="13"/>
      <c r="U2487" s="13"/>
      <c r="V2487" s="13"/>
      <c r="W2487" s="13"/>
    </row>
    <row r="2488" spans="1:23" x14ac:dyDescent="0.2">
      <c r="A2488"/>
      <c r="B2488"/>
      <c r="C2488"/>
      <c r="D2488"/>
      <c r="E2488"/>
      <c r="F2488"/>
      <c r="G2488"/>
      <c r="H2488"/>
      <c r="I2488"/>
      <c r="J2488"/>
      <c r="K2488" s="13" t="s">
        <v>211</v>
      </c>
      <c r="L2488" s="13" t="s">
        <v>406</v>
      </c>
      <c r="M2488" s="13" t="s">
        <v>361</v>
      </c>
      <c r="N2488" s="15">
        <v>0</v>
      </c>
      <c r="O2488" s="16">
        <v>0</v>
      </c>
      <c r="P2488" s="17">
        <v>93.584349996531373</v>
      </c>
      <c r="Q2488" s="17">
        <v>177.43915480006638</v>
      </c>
      <c r="R2488" s="13"/>
      <c r="S2488" s="13"/>
      <c r="T2488" s="13"/>
      <c r="U2488" s="13"/>
      <c r="V2488" s="13"/>
      <c r="W2488" s="13"/>
    </row>
    <row r="2489" spans="1:23" x14ac:dyDescent="0.2">
      <c r="A2489"/>
      <c r="B2489"/>
      <c r="C2489"/>
      <c r="D2489"/>
      <c r="E2489"/>
      <c r="F2489"/>
      <c r="G2489"/>
      <c r="H2489"/>
      <c r="I2489"/>
      <c r="J2489"/>
      <c r="K2489" s="13" t="s">
        <v>211</v>
      </c>
      <c r="L2489" s="13" t="s">
        <v>381</v>
      </c>
      <c r="M2489" s="13" t="s">
        <v>382</v>
      </c>
      <c r="N2489" s="15">
        <v>43</v>
      </c>
      <c r="O2489" s="16">
        <v>0</v>
      </c>
      <c r="P2489" s="17">
        <v>0</v>
      </c>
      <c r="Q2489" s="17">
        <v>0</v>
      </c>
      <c r="R2489" s="13"/>
      <c r="S2489" s="13"/>
      <c r="T2489" s="13"/>
      <c r="U2489" s="13"/>
      <c r="V2489" s="13"/>
      <c r="W2489" s="13"/>
    </row>
    <row r="2490" spans="1:23" x14ac:dyDescent="0.2">
      <c r="A2490"/>
      <c r="B2490"/>
      <c r="C2490"/>
      <c r="D2490"/>
      <c r="E2490"/>
      <c r="F2490"/>
      <c r="G2490"/>
      <c r="H2490"/>
      <c r="I2490"/>
      <c r="J2490"/>
      <c r="K2490" s="13" t="s">
        <v>211</v>
      </c>
      <c r="L2490" s="13" t="s">
        <v>411</v>
      </c>
      <c r="M2490" s="13" t="s">
        <v>362</v>
      </c>
      <c r="N2490" s="15">
        <v>0</v>
      </c>
      <c r="O2490" s="16">
        <v>0</v>
      </c>
      <c r="P2490" s="17">
        <v>80.983450011058906</v>
      </c>
      <c r="Q2490" s="17">
        <v>0</v>
      </c>
      <c r="R2490" s="13"/>
      <c r="S2490" s="13"/>
      <c r="T2490" s="13"/>
      <c r="U2490" s="13"/>
      <c r="V2490" s="13"/>
      <c r="W2490" s="13"/>
    </row>
    <row r="2491" spans="1:23" x14ac:dyDescent="0.2">
      <c r="A2491"/>
      <c r="B2491"/>
      <c r="C2491"/>
      <c r="D2491"/>
      <c r="E2491"/>
      <c r="F2491"/>
      <c r="G2491"/>
      <c r="H2491"/>
      <c r="I2491"/>
      <c r="J2491"/>
      <c r="K2491" s="13" t="s">
        <v>211</v>
      </c>
      <c r="L2491" s="13" t="s">
        <v>411</v>
      </c>
      <c r="M2491" s="13" t="s">
        <v>362</v>
      </c>
      <c r="N2491" s="15">
        <v>0</v>
      </c>
      <c r="O2491" s="16">
        <v>248.72354466911838</v>
      </c>
      <c r="P2491" s="17">
        <v>0</v>
      </c>
      <c r="Q2491" s="17">
        <v>0</v>
      </c>
      <c r="R2491" s="13"/>
      <c r="S2491" s="13"/>
      <c r="T2491" s="13"/>
      <c r="U2491" s="13"/>
      <c r="V2491" s="13"/>
      <c r="W2491" s="13"/>
    </row>
    <row r="2492" spans="1:23" x14ac:dyDescent="0.2">
      <c r="A2492"/>
      <c r="B2492"/>
      <c r="C2492"/>
      <c r="D2492"/>
      <c r="E2492"/>
      <c r="F2492"/>
      <c r="G2492"/>
      <c r="H2492"/>
      <c r="I2492"/>
      <c r="J2492"/>
      <c r="K2492" s="13" t="s">
        <v>211</v>
      </c>
      <c r="L2492" s="13" t="s">
        <v>411</v>
      </c>
      <c r="M2492" s="13" t="s">
        <v>362</v>
      </c>
      <c r="N2492" s="15">
        <v>2</v>
      </c>
      <c r="O2492" s="16">
        <v>0</v>
      </c>
      <c r="P2492" s="17">
        <v>0</v>
      </c>
      <c r="Q2492" s="17">
        <v>0</v>
      </c>
      <c r="R2492" s="13"/>
      <c r="S2492" s="13"/>
      <c r="T2492" s="13"/>
      <c r="U2492" s="13"/>
      <c r="V2492" s="13"/>
      <c r="W2492" s="13"/>
    </row>
    <row r="2493" spans="1:23" x14ac:dyDescent="0.2">
      <c r="A2493"/>
      <c r="B2493"/>
      <c r="C2493"/>
      <c r="D2493"/>
      <c r="E2493"/>
      <c r="F2493"/>
      <c r="G2493"/>
      <c r="H2493"/>
      <c r="I2493"/>
      <c r="J2493"/>
      <c r="K2493" s="13" t="s">
        <v>211</v>
      </c>
      <c r="L2493" s="13" t="s">
        <v>605</v>
      </c>
      <c r="M2493" s="13" t="s">
        <v>429</v>
      </c>
      <c r="N2493" s="15">
        <v>0</v>
      </c>
      <c r="O2493" s="16">
        <v>5.0660941970470228</v>
      </c>
      <c r="P2493" s="17">
        <v>0</v>
      </c>
      <c r="Q2493" s="17">
        <v>0</v>
      </c>
      <c r="R2493" s="13"/>
      <c r="S2493" s="13"/>
      <c r="T2493" s="13"/>
      <c r="U2493" s="13"/>
      <c r="V2493" s="13"/>
      <c r="W2493" s="13"/>
    </row>
    <row r="2494" spans="1:23" x14ac:dyDescent="0.2">
      <c r="A2494"/>
      <c r="B2494"/>
      <c r="C2494"/>
      <c r="D2494"/>
      <c r="E2494"/>
      <c r="F2494"/>
      <c r="G2494"/>
      <c r="H2494"/>
      <c r="I2494"/>
      <c r="J2494"/>
      <c r="K2494" s="13" t="s">
        <v>211</v>
      </c>
      <c r="L2494" s="13" t="s">
        <v>606</v>
      </c>
      <c r="M2494" s="13" t="s">
        <v>430</v>
      </c>
      <c r="N2494" s="15">
        <v>21</v>
      </c>
      <c r="O2494" s="16">
        <v>0</v>
      </c>
      <c r="P2494" s="17">
        <v>0</v>
      </c>
      <c r="Q2494" s="17">
        <v>0</v>
      </c>
      <c r="R2494" s="13"/>
      <c r="S2494" s="13"/>
      <c r="T2494" s="13"/>
      <c r="U2494" s="13"/>
      <c r="V2494" s="13"/>
      <c r="W2494" s="13"/>
    </row>
    <row r="2495" spans="1:23" x14ac:dyDescent="0.2">
      <c r="A2495"/>
      <c r="B2495"/>
      <c r="C2495"/>
      <c r="D2495"/>
      <c r="E2495"/>
      <c r="F2495"/>
      <c r="G2495"/>
      <c r="H2495"/>
      <c r="I2495"/>
      <c r="J2495"/>
      <c r="K2495" s="13" t="s">
        <v>211</v>
      </c>
      <c r="L2495" s="13" t="s">
        <v>623</v>
      </c>
      <c r="M2495" s="13" t="s">
        <v>530</v>
      </c>
      <c r="N2495" s="15">
        <v>0</v>
      </c>
      <c r="O2495" s="16">
        <v>481.58058472691403</v>
      </c>
      <c r="P2495" s="17">
        <v>0</v>
      </c>
      <c r="Q2495" s="17">
        <v>0</v>
      </c>
      <c r="R2495" s="13"/>
      <c r="S2495" s="13"/>
      <c r="T2495" s="13"/>
      <c r="U2495" s="13"/>
      <c r="V2495" s="13"/>
      <c r="W2495" s="13"/>
    </row>
    <row r="2496" spans="1:23" x14ac:dyDescent="0.2">
      <c r="A2496"/>
      <c r="B2496"/>
      <c r="C2496"/>
      <c r="D2496"/>
      <c r="E2496"/>
      <c r="F2496"/>
      <c r="G2496"/>
      <c r="H2496"/>
      <c r="I2496"/>
      <c r="J2496"/>
      <c r="K2496" s="13" t="s">
        <v>211</v>
      </c>
      <c r="L2496" s="13" t="s">
        <v>607</v>
      </c>
      <c r="M2496" s="13" t="s">
        <v>431</v>
      </c>
      <c r="N2496" s="15">
        <v>8</v>
      </c>
      <c r="O2496" s="16">
        <v>0</v>
      </c>
      <c r="P2496" s="17">
        <v>0</v>
      </c>
      <c r="Q2496" s="17">
        <v>0</v>
      </c>
      <c r="R2496" s="13"/>
      <c r="S2496" s="13"/>
      <c r="T2496" s="13"/>
      <c r="U2496" s="13"/>
      <c r="V2496" s="13"/>
      <c r="W2496" s="13"/>
    </row>
    <row r="2497" spans="1:23" x14ac:dyDescent="0.2">
      <c r="A2497"/>
      <c r="B2497"/>
      <c r="C2497"/>
      <c r="D2497"/>
      <c r="E2497"/>
      <c r="F2497"/>
      <c r="G2497"/>
      <c r="H2497"/>
      <c r="I2497"/>
      <c r="J2497"/>
      <c r="K2497" s="13" t="s">
        <v>211</v>
      </c>
      <c r="L2497" s="13" t="s">
        <v>608</v>
      </c>
      <c r="M2497" s="13" t="s">
        <v>432</v>
      </c>
      <c r="N2497" s="15">
        <v>52</v>
      </c>
      <c r="O2497" s="16">
        <v>0</v>
      </c>
      <c r="P2497" s="17">
        <v>0</v>
      </c>
      <c r="Q2497" s="17">
        <v>0</v>
      </c>
      <c r="R2497" s="13"/>
      <c r="S2497" s="13"/>
      <c r="T2497" s="13"/>
      <c r="U2497" s="13"/>
      <c r="V2497" s="13"/>
      <c r="W2497" s="13"/>
    </row>
    <row r="2498" spans="1:23" x14ac:dyDescent="0.2">
      <c r="A2498"/>
      <c r="B2498"/>
      <c r="C2498"/>
      <c r="D2498"/>
      <c r="E2498"/>
      <c r="F2498"/>
      <c r="G2498"/>
      <c r="H2498"/>
      <c r="I2498"/>
      <c r="J2498"/>
      <c r="K2498" s="13" t="s">
        <v>211</v>
      </c>
      <c r="L2498" s="13" t="s">
        <v>415</v>
      </c>
      <c r="M2498" s="13" t="s">
        <v>412</v>
      </c>
      <c r="N2498" s="15">
        <v>0</v>
      </c>
      <c r="O2498" s="16">
        <v>0</v>
      </c>
      <c r="P2498" s="17">
        <v>51.530299992817739</v>
      </c>
      <c r="Q2498" s="17">
        <v>0</v>
      </c>
      <c r="R2498" s="13"/>
      <c r="S2498" s="13"/>
      <c r="T2498" s="13"/>
      <c r="U2498" s="13"/>
      <c r="V2498" s="13"/>
      <c r="W2498" s="13"/>
    </row>
    <row r="2499" spans="1:23" x14ac:dyDescent="0.2">
      <c r="A2499"/>
      <c r="B2499"/>
      <c r="C2499"/>
      <c r="D2499"/>
      <c r="E2499"/>
      <c r="F2499"/>
      <c r="G2499"/>
      <c r="H2499"/>
      <c r="I2499"/>
      <c r="J2499"/>
      <c r="K2499" s="13" t="s">
        <v>211</v>
      </c>
      <c r="L2499" s="13" t="s">
        <v>523</v>
      </c>
      <c r="M2499" s="13" t="s">
        <v>476</v>
      </c>
      <c r="N2499" s="15">
        <v>0</v>
      </c>
      <c r="O2499" s="16">
        <v>0</v>
      </c>
      <c r="P2499" s="17">
        <v>6.7744500024576659</v>
      </c>
      <c r="Q2499" s="17">
        <v>0</v>
      </c>
      <c r="R2499" s="13"/>
      <c r="S2499" s="13"/>
      <c r="T2499" s="13"/>
      <c r="U2499" s="13"/>
      <c r="V2499" s="13"/>
      <c r="W2499" s="13"/>
    </row>
    <row r="2500" spans="1:23" x14ac:dyDescent="0.2">
      <c r="A2500"/>
      <c r="B2500"/>
      <c r="C2500"/>
      <c r="D2500"/>
      <c r="E2500"/>
      <c r="F2500"/>
      <c r="G2500"/>
      <c r="H2500"/>
      <c r="I2500"/>
      <c r="J2500"/>
      <c r="K2500" s="13" t="s">
        <v>211</v>
      </c>
      <c r="L2500" s="13" t="s">
        <v>609</v>
      </c>
      <c r="M2500" s="13" t="s">
        <v>416</v>
      </c>
      <c r="N2500" s="15">
        <v>0</v>
      </c>
      <c r="O2500" s="16">
        <v>111.57892124254259</v>
      </c>
      <c r="P2500" s="17">
        <v>0</v>
      </c>
      <c r="Q2500" s="17">
        <v>0</v>
      </c>
      <c r="R2500" s="13"/>
      <c r="S2500" s="13"/>
      <c r="T2500" s="13"/>
      <c r="U2500" s="13"/>
      <c r="V2500" s="13"/>
      <c r="W2500" s="13"/>
    </row>
    <row r="2501" spans="1:23" x14ac:dyDescent="0.2">
      <c r="A2501"/>
      <c r="B2501"/>
      <c r="C2501"/>
      <c r="D2501"/>
      <c r="E2501"/>
      <c r="F2501"/>
      <c r="G2501"/>
      <c r="H2501"/>
      <c r="I2501"/>
      <c r="J2501"/>
      <c r="K2501" s="13" t="s">
        <v>211</v>
      </c>
      <c r="L2501" s="13" t="s">
        <v>610</v>
      </c>
      <c r="M2501" s="13" t="s">
        <v>418</v>
      </c>
      <c r="N2501" s="15">
        <v>0</v>
      </c>
      <c r="O2501" s="16">
        <v>23.261784825231011</v>
      </c>
      <c r="P2501" s="17">
        <v>0</v>
      </c>
      <c r="Q2501" s="17">
        <v>0</v>
      </c>
      <c r="R2501" s="13"/>
      <c r="S2501" s="13"/>
      <c r="T2501" s="13"/>
      <c r="U2501" s="13"/>
      <c r="V2501" s="13"/>
      <c r="W2501" s="13"/>
    </row>
    <row r="2502" spans="1:23" x14ac:dyDescent="0.2">
      <c r="A2502"/>
      <c r="B2502"/>
      <c r="C2502"/>
      <c r="D2502"/>
      <c r="E2502"/>
      <c r="F2502"/>
      <c r="G2502"/>
      <c r="H2502"/>
      <c r="I2502"/>
      <c r="J2502"/>
      <c r="K2502" s="13" t="s">
        <v>211</v>
      </c>
      <c r="L2502" s="13" t="s">
        <v>421</v>
      </c>
      <c r="M2502" s="13" t="s">
        <v>443</v>
      </c>
      <c r="N2502" s="15">
        <v>10</v>
      </c>
      <c r="O2502" s="16">
        <v>0</v>
      </c>
      <c r="P2502" s="17">
        <v>0</v>
      </c>
      <c r="Q2502" s="17">
        <v>0</v>
      </c>
      <c r="R2502" s="13"/>
      <c r="S2502" s="13"/>
      <c r="T2502" s="13"/>
      <c r="U2502" s="13"/>
      <c r="V2502" s="13"/>
      <c r="W2502" s="13"/>
    </row>
    <row r="2503" spans="1:23" x14ac:dyDescent="0.2">
      <c r="A2503"/>
      <c r="B2503"/>
      <c r="C2503"/>
      <c r="D2503"/>
      <c r="E2503"/>
      <c r="F2503"/>
      <c r="G2503"/>
      <c r="H2503"/>
      <c r="I2503"/>
      <c r="J2503"/>
      <c r="K2503" s="13" t="s">
        <v>211</v>
      </c>
      <c r="L2503" s="13" t="s">
        <v>383</v>
      </c>
      <c r="M2503" s="13" t="s">
        <v>420</v>
      </c>
      <c r="N2503" s="15">
        <v>20</v>
      </c>
      <c r="O2503" s="16">
        <v>0</v>
      </c>
      <c r="P2503" s="17">
        <v>0</v>
      </c>
      <c r="Q2503" s="17">
        <v>0</v>
      </c>
      <c r="R2503" s="13"/>
      <c r="S2503" s="13"/>
      <c r="T2503" s="13"/>
      <c r="U2503" s="13"/>
      <c r="V2503" s="13"/>
      <c r="W2503" s="13"/>
    </row>
    <row r="2504" spans="1:23" x14ac:dyDescent="0.2">
      <c r="A2504"/>
      <c r="B2504"/>
      <c r="C2504"/>
      <c r="D2504"/>
      <c r="E2504"/>
      <c r="F2504"/>
      <c r="G2504"/>
      <c r="H2504"/>
      <c r="I2504"/>
      <c r="J2504"/>
      <c r="K2504" s="13" t="s">
        <v>211</v>
      </c>
      <c r="L2504" s="13" t="s">
        <v>467</v>
      </c>
      <c r="M2504" s="13" t="s">
        <v>422</v>
      </c>
      <c r="N2504" s="15">
        <v>0</v>
      </c>
      <c r="O2504" s="16">
        <v>39.332388740690583</v>
      </c>
      <c r="P2504" s="17">
        <v>0</v>
      </c>
      <c r="Q2504" s="17">
        <v>0</v>
      </c>
      <c r="R2504" s="13"/>
      <c r="S2504" s="13"/>
      <c r="T2504" s="13"/>
      <c r="U2504" s="13"/>
      <c r="V2504" s="13"/>
      <c r="W2504" s="13"/>
    </row>
    <row r="2505" spans="1:23" x14ac:dyDescent="0.2">
      <c r="A2505"/>
      <c r="B2505"/>
      <c r="C2505"/>
      <c r="D2505"/>
      <c r="E2505"/>
      <c r="F2505"/>
      <c r="G2505"/>
      <c r="H2505"/>
      <c r="I2505"/>
      <c r="J2505"/>
      <c r="K2505" s="13" t="s">
        <v>211</v>
      </c>
      <c r="L2505" s="13" t="s">
        <v>528</v>
      </c>
      <c r="M2505" s="13" t="s">
        <v>384</v>
      </c>
      <c r="N2505" s="15">
        <v>0</v>
      </c>
      <c r="O2505" s="16">
        <v>186.92145209866226</v>
      </c>
      <c r="P2505" s="17">
        <v>0</v>
      </c>
      <c r="Q2505" s="17">
        <v>0</v>
      </c>
      <c r="R2505" s="13"/>
      <c r="S2505" s="13"/>
      <c r="T2505" s="13"/>
      <c r="U2505" s="13"/>
      <c r="V2505" s="13"/>
      <c r="W2505" s="13"/>
    </row>
    <row r="2506" spans="1:23" x14ac:dyDescent="0.2">
      <c r="A2506"/>
      <c r="B2506"/>
      <c r="C2506"/>
      <c r="D2506"/>
      <c r="E2506"/>
      <c r="F2506"/>
      <c r="G2506"/>
      <c r="H2506"/>
      <c r="I2506"/>
      <c r="J2506"/>
      <c r="K2506" s="13" t="s">
        <v>211</v>
      </c>
      <c r="L2506" s="13" t="s">
        <v>613</v>
      </c>
      <c r="M2506" s="13" t="s">
        <v>444</v>
      </c>
      <c r="N2506" s="15">
        <v>0</v>
      </c>
      <c r="O2506" s="16">
        <v>117.27901186901012</v>
      </c>
      <c r="P2506" s="17">
        <v>0</v>
      </c>
      <c r="Q2506" s="17">
        <v>0</v>
      </c>
      <c r="R2506" s="13"/>
      <c r="S2506" s="13"/>
      <c r="T2506" s="13"/>
      <c r="U2506" s="13"/>
      <c r="V2506" s="13"/>
      <c r="W2506" s="13"/>
    </row>
    <row r="2507" spans="1:23" x14ac:dyDescent="0.2">
      <c r="A2507"/>
      <c r="B2507"/>
      <c r="C2507"/>
      <c r="D2507"/>
      <c r="E2507"/>
      <c r="F2507"/>
      <c r="G2507"/>
      <c r="H2507"/>
      <c r="I2507"/>
      <c r="J2507"/>
      <c r="K2507" s="13" t="s">
        <v>211</v>
      </c>
      <c r="L2507" s="13" t="s">
        <v>446</v>
      </c>
      <c r="M2507" s="13" t="s">
        <v>371</v>
      </c>
      <c r="N2507" s="15">
        <v>18</v>
      </c>
      <c r="O2507" s="16">
        <v>0</v>
      </c>
      <c r="P2507" s="17">
        <v>0</v>
      </c>
      <c r="Q2507" s="17">
        <v>0</v>
      </c>
      <c r="R2507" s="13"/>
      <c r="S2507" s="13"/>
      <c r="T2507" s="13"/>
      <c r="U2507" s="13"/>
      <c r="V2507" s="13"/>
      <c r="W2507" s="13"/>
    </row>
    <row r="2508" spans="1:23" x14ac:dyDescent="0.2">
      <c r="A2508"/>
      <c r="B2508"/>
      <c r="C2508"/>
      <c r="D2508"/>
      <c r="E2508"/>
      <c r="F2508"/>
      <c r="G2508"/>
      <c r="H2508"/>
      <c r="I2508"/>
      <c r="J2508"/>
      <c r="K2508" s="13" t="s">
        <v>211</v>
      </c>
      <c r="L2508" s="13" t="s">
        <v>614</v>
      </c>
      <c r="M2508" s="13" t="s">
        <v>447</v>
      </c>
      <c r="N2508" s="15">
        <v>8</v>
      </c>
      <c r="O2508" s="16">
        <v>0</v>
      </c>
      <c r="P2508" s="17">
        <v>0</v>
      </c>
      <c r="Q2508" s="17">
        <v>0</v>
      </c>
      <c r="R2508" s="13"/>
      <c r="S2508" s="13"/>
      <c r="T2508" s="13"/>
      <c r="U2508" s="13"/>
      <c r="V2508" s="13"/>
      <c r="W2508" s="13"/>
    </row>
    <row r="2509" spans="1:23" x14ac:dyDescent="0.2">
      <c r="A2509"/>
      <c r="B2509"/>
      <c r="C2509"/>
      <c r="D2509"/>
      <c r="E2509"/>
      <c r="F2509"/>
      <c r="G2509"/>
      <c r="H2509"/>
      <c r="I2509"/>
      <c r="J2509"/>
      <c r="K2509" s="13" t="s">
        <v>211</v>
      </c>
      <c r="L2509" s="13" t="s">
        <v>612</v>
      </c>
      <c r="M2509" s="13" t="s">
        <v>425</v>
      </c>
      <c r="N2509" s="15">
        <v>2</v>
      </c>
      <c r="O2509" s="16">
        <v>0</v>
      </c>
      <c r="P2509" s="17">
        <v>0</v>
      </c>
      <c r="Q2509" s="17">
        <v>0</v>
      </c>
      <c r="R2509" s="13"/>
      <c r="S2509" s="13"/>
      <c r="T2509" s="13"/>
      <c r="U2509" s="13"/>
      <c r="V2509" s="13"/>
      <c r="W2509" s="13"/>
    </row>
    <row r="2510" spans="1:23" x14ac:dyDescent="0.2">
      <c r="A2510"/>
      <c r="B2510"/>
      <c r="C2510"/>
      <c r="D2510"/>
      <c r="E2510"/>
      <c r="F2510"/>
      <c r="G2510"/>
      <c r="H2510"/>
      <c r="I2510"/>
      <c r="J2510"/>
      <c r="K2510" s="13" t="s">
        <v>211</v>
      </c>
      <c r="L2510" s="13" t="s">
        <v>469</v>
      </c>
      <c r="M2510" s="13" t="s">
        <v>426</v>
      </c>
      <c r="N2510" s="15">
        <v>2</v>
      </c>
      <c r="O2510" s="16">
        <v>0</v>
      </c>
      <c r="P2510" s="17">
        <v>0</v>
      </c>
      <c r="Q2510" s="17">
        <v>0</v>
      </c>
      <c r="R2510" s="13"/>
      <c r="S2510" s="13"/>
      <c r="T2510" s="13"/>
      <c r="U2510" s="13"/>
      <c r="V2510" s="13"/>
      <c r="W2510" s="13"/>
    </row>
    <row r="2511" spans="1:23" x14ac:dyDescent="0.2">
      <c r="A2511"/>
      <c r="B2511"/>
      <c r="C2511"/>
      <c r="D2511"/>
      <c r="E2511"/>
      <c r="F2511"/>
      <c r="G2511"/>
      <c r="H2511"/>
      <c r="I2511"/>
      <c r="J2511"/>
      <c r="K2511" s="13" t="s">
        <v>583</v>
      </c>
      <c r="L2511" s="13" t="s">
        <v>635</v>
      </c>
      <c r="M2511" s="13" t="s">
        <v>507</v>
      </c>
      <c r="N2511" s="15">
        <v>0</v>
      </c>
      <c r="O2511" s="16">
        <v>0</v>
      </c>
      <c r="P2511" s="17">
        <v>6.5105999999498945</v>
      </c>
      <c r="Q2511" s="17">
        <v>0</v>
      </c>
      <c r="R2511" s="13"/>
      <c r="S2511" s="13"/>
      <c r="T2511" s="13"/>
      <c r="U2511" s="13"/>
      <c r="V2511" s="13"/>
      <c r="W2511" s="13"/>
    </row>
    <row r="2512" spans="1:23" x14ac:dyDescent="0.2">
      <c r="A2512"/>
      <c r="B2512"/>
      <c r="C2512"/>
      <c r="D2512"/>
      <c r="E2512"/>
      <c r="F2512"/>
      <c r="G2512"/>
      <c r="H2512"/>
      <c r="I2512"/>
      <c r="J2512"/>
      <c r="K2512" s="13" t="s">
        <v>583</v>
      </c>
      <c r="L2512" s="13" t="s">
        <v>387</v>
      </c>
      <c r="M2512" s="13" t="s">
        <v>386</v>
      </c>
      <c r="N2512" s="15">
        <v>0</v>
      </c>
      <c r="O2512" s="16">
        <v>0</v>
      </c>
      <c r="P2512" s="17">
        <v>1293.3909499727631</v>
      </c>
      <c r="Q2512" s="17">
        <v>0</v>
      </c>
      <c r="R2512" s="13"/>
      <c r="S2512" s="13"/>
      <c r="T2512" s="13"/>
      <c r="U2512" s="13"/>
      <c r="V2512" s="13"/>
      <c r="W2512" s="13"/>
    </row>
    <row r="2513" spans="1:23" x14ac:dyDescent="0.2">
      <c r="A2513"/>
      <c r="B2513"/>
      <c r="C2513"/>
      <c r="D2513"/>
      <c r="E2513"/>
      <c r="F2513"/>
      <c r="G2513"/>
      <c r="H2513"/>
      <c r="I2513"/>
      <c r="J2513"/>
      <c r="K2513" s="13" t="s">
        <v>583</v>
      </c>
      <c r="L2513" s="13" t="s">
        <v>389</v>
      </c>
      <c r="M2513" s="13" t="s">
        <v>388</v>
      </c>
      <c r="N2513" s="15">
        <v>0</v>
      </c>
      <c r="O2513" s="16">
        <v>0</v>
      </c>
      <c r="P2513" s="17">
        <v>98.491350006007792</v>
      </c>
      <c r="Q2513" s="17">
        <v>0</v>
      </c>
      <c r="R2513" s="13"/>
      <c r="S2513" s="13"/>
      <c r="T2513" s="13"/>
      <c r="U2513" s="13"/>
      <c r="V2513" s="13"/>
      <c r="W2513" s="13"/>
    </row>
    <row r="2514" spans="1:23" x14ac:dyDescent="0.2">
      <c r="A2514"/>
      <c r="B2514"/>
      <c r="C2514"/>
      <c r="D2514"/>
      <c r="E2514"/>
      <c r="F2514"/>
      <c r="G2514"/>
      <c r="H2514"/>
      <c r="I2514"/>
      <c r="J2514"/>
      <c r="K2514" s="13" t="s">
        <v>583</v>
      </c>
      <c r="L2514" s="13" t="s">
        <v>391</v>
      </c>
      <c r="M2514" s="13" t="s">
        <v>358</v>
      </c>
      <c r="N2514" s="15">
        <v>0</v>
      </c>
      <c r="O2514" s="16">
        <v>0</v>
      </c>
      <c r="P2514" s="17">
        <v>1211.0992617920583</v>
      </c>
      <c r="Q2514" s="17">
        <v>0</v>
      </c>
      <c r="R2514" s="13"/>
      <c r="S2514" s="13"/>
      <c r="T2514" s="13"/>
      <c r="U2514" s="13"/>
      <c r="V2514" s="13"/>
      <c r="W2514" s="13"/>
    </row>
    <row r="2515" spans="1:23" x14ac:dyDescent="0.2">
      <c r="A2515"/>
      <c r="B2515"/>
      <c r="C2515"/>
      <c r="D2515"/>
      <c r="E2515"/>
      <c r="F2515"/>
      <c r="G2515"/>
      <c r="H2515"/>
      <c r="I2515"/>
      <c r="J2515"/>
      <c r="K2515" s="13" t="s">
        <v>583</v>
      </c>
      <c r="L2515" s="13" t="s">
        <v>486</v>
      </c>
      <c r="M2515" s="13" t="s">
        <v>439</v>
      </c>
      <c r="N2515" s="15">
        <v>0</v>
      </c>
      <c r="O2515" s="16">
        <v>0</v>
      </c>
      <c r="P2515" s="17">
        <v>86.280900001063955</v>
      </c>
      <c r="Q2515" s="17">
        <v>0</v>
      </c>
      <c r="R2515" s="13"/>
      <c r="S2515" s="13"/>
      <c r="T2515" s="13"/>
      <c r="U2515" s="13"/>
      <c r="V2515" s="13"/>
      <c r="W2515" s="13"/>
    </row>
    <row r="2516" spans="1:23" x14ac:dyDescent="0.2">
      <c r="A2516"/>
      <c r="B2516"/>
      <c r="C2516"/>
      <c r="D2516"/>
      <c r="E2516"/>
      <c r="F2516"/>
      <c r="G2516"/>
      <c r="H2516"/>
      <c r="I2516"/>
      <c r="J2516"/>
      <c r="K2516" s="13" t="s">
        <v>583</v>
      </c>
      <c r="L2516" s="13" t="s">
        <v>465</v>
      </c>
      <c r="M2516" s="13" t="s">
        <v>514</v>
      </c>
      <c r="N2516" s="15">
        <v>0</v>
      </c>
      <c r="O2516" s="16">
        <v>0</v>
      </c>
      <c r="P2516" s="17">
        <v>20.774149999798766</v>
      </c>
      <c r="Q2516" s="17">
        <v>0</v>
      </c>
      <c r="R2516" s="13"/>
      <c r="S2516" s="13"/>
      <c r="T2516" s="13"/>
      <c r="U2516" s="13"/>
      <c r="V2516" s="13"/>
      <c r="W2516" s="13"/>
    </row>
    <row r="2517" spans="1:23" x14ac:dyDescent="0.2">
      <c r="A2517"/>
      <c r="B2517"/>
      <c r="C2517"/>
      <c r="D2517"/>
      <c r="E2517"/>
      <c r="F2517"/>
      <c r="G2517"/>
      <c r="H2517"/>
      <c r="I2517"/>
      <c r="J2517"/>
      <c r="K2517" s="13" t="s">
        <v>583</v>
      </c>
      <c r="L2517" s="13" t="s">
        <v>512</v>
      </c>
      <c r="M2517" s="13" t="s">
        <v>466</v>
      </c>
      <c r="N2517" s="15">
        <v>0</v>
      </c>
      <c r="O2517" s="16">
        <v>0</v>
      </c>
      <c r="P2517" s="17">
        <v>233.27770000764829</v>
      </c>
      <c r="Q2517" s="17">
        <v>0</v>
      </c>
      <c r="R2517" s="13"/>
      <c r="S2517" s="13"/>
      <c r="T2517" s="13"/>
      <c r="U2517" s="13"/>
      <c r="V2517" s="13"/>
      <c r="W2517" s="13"/>
    </row>
    <row r="2518" spans="1:23" x14ac:dyDescent="0.2">
      <c r="A2518"/>
      <c r="B2518"/>
      <c r="C2518"/>
      <c r="D2518"/>
      <c r="E2518"/>
      <c r="F2518"/>
      <c r="G2518"/>
      <c r="H2518"/>
      <c r="I2518"/>
      <c r="J2518"/>
      <c r="K2518" s="13" t="s">
        <v>583</v>
      </c>
      <c r="L2518" s="13" t="s">
        <v>532</v>
      </c>
      <c r="M2518" s="13" t="s">
        <v>620</v>
      </c>
      <c r="N2518" s="15">
        <v>0</v>
      </c>
      <c r="O2518" s="16">
        <v>0</v>
      </c>
      <c r="P2518" s="17">
        <v>30.119100006281258</v>
      </c>
      <c r="Q2518" s="17">
        <v>0</v>
      </c>
      <c r="R2518" s="13"/>
      <c r="S2518" s="13"/>
      <c r="T2518" s="13"/>
      <c r="U2518" s="13"/>
      <c r="V2518" s="13"/>
      <c r="W2518" s="13"/>
    </row>
    <row r="2519" spans="1:23" x14ac:dyDescent="0.2">
      <c r="A2519"/>
      <c r="B2519"/>
      <c r="C2519"/>
      <c r="D2519"/>
      <c r="E2519"/>
      <c r="F2519"/>
      <c r="G2519"/>
      <c r="H2519"/>
      <c r="I2519"/>
      <c r="J2519"/>
      <c r="K2519" s="13" t="s">
        <v>583</v>
      </c>
      <c r="L2519" s="13" t="s">
        <v>394</v>
      </c>
      <c r="M2519" s="13" t="s">
        <v>359</v>
      </c>
      <c r="N2519" s="15">
        <v>0</v>
      </c>
      <c r="O2519" s="16">
        <v>0</v>
      </c>
      <c r="P2519" s="17">
        <v>12.596599998743367</v>
      </c>
      <c r="Q2519" s="17">
        <v>0</v>
      </c>
      <c r="R2519" s="13"/>
      <c r="S2519" s="13"/>
      <c r="T2519" s="13"/>
      <c r="U2519" s="13"/>
      <c r="V2519" s="13"/>
      <c r="W2519" s="13"/>
    </row>
    <row r="2520" spans="1:23" x14ac:dyDescent="0.2">
      <c r="A2520"/>
      <c r="B2520"/>
      <c r="C2520"/>
      <c r="D2520"/>
      <c r="E2520"/>
      <c r="F2520"/>
      <c r="G2520"/>
      <c r="H2520"/>
      <c r="I2520"/>
      <c r="J2520"/>
      <c r="K2520" s="13" t="s">
        <v>583</v>
      </c>
      <c r="L2520" s="13" t="s">
        <v>395</v>
      </c>
      <c r="M2520" s="13" t="s">
        <v>602</v>
      </c>
      <c r="N2520" s="15">
        <v>1</v>
      </c>
      <c r="O2520" s="16">
        <v>0</v>
      </c>
      <c r="P2520" s="17">
        <v>0</v>
      </c>
      <c r="Q2520" s="17">
        <v>0</v>
      </c>
      <c r="R2520" s="13"/>
      <c r="S2520" s="13"/>
      <c r="T2520" s="13"/>
      <c r="U2520" s="13"/>
      <c r="V2520" s="13"/>
      <c r="W2520" s="13"/>
    </row>
    <row r="2521" spans="1:23" x14ac:dyDescent="0.2">
      <c r="A2521"/>
      <c r="B2521"/>
      <c r="C2521"/>
      <c r="D2521"/>
      <c r="E2521"/>
      <c r="F2521"/>
      <c r="G2521"/>
      <c r="H2521"/>
      <c r="I2521"/>
      <c r="J2521"/>
      <c r="K2521" s="13" t="s">
        <v>583</v>
      </c>
      <c r="L2521" s="13" t="s">
        <v>397</v>
      </c>
      <c r="M2521" s="13" t="s">
        <v>398</v>
      </c>
      <c r="N2521" s="15">
        <v>0</v>
      </c>
      <c r="O2521" s="16">
        <v>0</v>
      </c>
      <c r="P2521" s="17">
        <v>0.12590000890977682</v>
      </c>
      <c r="Q2521" s="17">
        <v>0</v>
      </c>
      <c r="R2521" s="13"/>
      <c r="S2521" s="13"/>
      <c r="T2521" s="13"/>
      <c r="U2521" s="13"/>
      <c r="V2521" s="13"/>
      <c r="W2521" s="13"/>
    </row>
    <row r="2522" spans="1:23" x14ac:dyDescent="0.2">
      <c r="A2522"/>
      <c r="B2522"/>
      <c r="C2522"/>
      <c r="D2522"/>
      <c r="E2522"/>
      <c r="F2522"/>
      <c r="G2522"/>
      <c r="H2522"/>
      <c r="I2522"/>
      <c r="J2522"/>
      <c r="K2522" s="13" t="s">
        <v>583</v>
      </c>
      <c r="L2522" s="13" t="s">
        <v>399</v>
      </c>
      <c r="M2522" s="13" t="s">
        <v>400</v>
      </c>
      <c r="N2522" s="15">
        <v>0</v>
      </c>
      <c r="O2522" s="16">
        <v>0</v>
      </c>
      <c r="P2522" s="17">
        <v>13.309600000971905</v>
      </c>
      <c r="Q2522" s="17">
        <v>0</v>
      </c>
      <c r="R2522" s="13"/>
      <c r="S2522" s="13"/>
      <c r="T2522" s="13"/>
      <c r="U2522" s="13"/>
      <c r="V2522" s="13"/>
      <c r="W2522" s="13"/>
    </row>
    <row r="2523" spans="1:23" x14ac:dyDescent="0.2">
      <c r="A2523"/>
      <c r="B2523"/>
      <c r="C2523"/>
      <c r="D2523"/>
      <c r="E2523"/>
      <c r="F2523"/>
      <c r="G2523"/>
      <c r="H2523"/>
      <c r="I2523"/>
      <c r="J2523"/>
      <c r="K2523" s="13" t="s">
        <v>583</v>
      </c>
      <c r="L2523" s="13" t="s">
        <v>401</v>
      </c>
      <c r="M2523" s="13" t="s">
        <v>360</v>
      </c>
      <c r="N2523" s="15">
        <v>0</v>
      </c>
      <c r="O2523" s="16">
        <v>0</v>
      </c>
      <c r="P2523" s="17">
        <v>642.49349997119657</v>
      </c>
      <c r="Q2523" s="17">
        <v>0</v>
      </c>
      <c r="R2523" s="13"/>
      <c r="S2523" s="13"/>
      <c r="T2523" s="13"/>
      <c r="U2523" s="13"/>
      <c r="V2523" s="13"/>
      <c r="W2523" s="13"/>
    </row>
    <row r="2524" spans="1:23" x14ac:dyDescent="0.2">
      <c r="A2524"/>
      <c r="B2524"/>
      <c r="C2524"/>
      <c r="D2524"/>
      <c r="E2524"/>
      <c r="F2524"/>
      <c r="G2524"/>
      <c r="H2524"/>
      <c r="I2524"/>
      <c r="J2524"/>
      <c r="K2524" s="13" t="s">
        <v>583</v>
      </c>
      <c r="L2524" s="13" t="s">
        <v>511</v>
      </c>
      <c r="M2524" s="13" t="s">
        <v>377</v>
      </c>
      <c r="N2524" s="15">
        <v>0</v>
      </c>
      <c r="O2524" s="16">
        <v>0</v>
      </c>
      <c r="P2524" s="17">
        <v>153.67154999001156</v>
      </c>
      <c r="Q2524" s="17">
        <v>0</v>
      </c>
      <c r="R2524" s="13"/>
      <c r="S2524" s="13"/>
      <c r="T2524" s="13"/>
      <c r="U2524" s="13"/>
      <c r="V2524" s="13"/>
      <c r="W2524" s="13"/>
    </row>
    <row r="2525" spans="1:23" x14ac:dyDescent="0.2">
      <c r="A2525"/>
      <c r="B2525"/>
      <c r="C2525"/>
      <c r="D2525"/>
      <c r="E2525"/>
      <c r="F2525"/>
      <c r="G2525"/>
      <c r="H2525"/>
      <c r="I2525"/>
      <c r="J2525"/>
      <c r="K2525" s="13" t="s">
        <v>583</v>
      </c>
      <c r="L2525" s="13" t="s">
        <v>402</v>
      </c>
      <c r="M2525" s="13" t="s">
        <v>403</v>
      </c>
      <c r="N2525" s="15">
        <v>0</v>
      </c>
      <c r="O2525" s="16">
        <v>0</v>
      </c>
      <c r="P2525" s="17">
        <v>2155.1622111312954</v>
      </c>
      <c r="Q2525" s="17">
        <v>0</v>
      </c>
      <c r="R2525" s="13"/>
      <c r="S2525" s="13"/>
      <c r="T2525" s="13"/>
      <c r="U2525" s="13"/>
      <c r="V2525" s="13"/>
      <c r="W2525" s="13"/>
    </row>
    <row r="2526" spans="1:23" x14ac:dyDescent="0.2">
      <c r="A2526"/>
      <c r="B2526"/>
      <c r="C2526"/>
      <c r="D2526"/>
      <c r="E2526"/>
      <c r="F2526"/>
      <c r="G2526"/>
      <c r="H2526"/>
      <c r="I2526"/>
      <c r="J2526"/>
      <c r="K2526" s="13" t="s">
        <v>583</v>
      </c>
      <c r="L2526" s="13" t="s">
        <v>448</v>
      </c>
      <c r="M2526" s="13" t="s">
        <v>366</v>
      </c>
      <c r="N2526" s="15">
        <v>0</v>
      </c>
      <c r="O2526" s="16">
        <v>0</v>
      </c>
      <c r="P2526" s="17">
        <v>42.969350000165846</v>
      </c>
      <c r="Q2526" s="17">
        <v>0</v>
      </c>
      <c r="R2526" s="13"/>
      <c r="S2526" s="13"/>
      <c r="T2526" s="13"/>
      <c r="U2526" s="13"/>
      <c r="V2526" s="13"/>
      <c r="W2526" s="13"/>
    </row>
    <row r="2527" spans="1:23" x14ac:dyDescent="0.2">
      <c r="A2527"/>
      <c r="B2527"/>
      <c r="C2527"/>
      <c r="D2527"/>
      <c r="E2527"/>
      <c r="F2527"/>
      <c r="G2527"/>
      <c r="H2527"/>
      <c r="I2527"/>
      <c r="J2527"/>
      <c r="K2527" s="13" t="s">
        <v>583</v>
      </c>
      <c r="L2527" s="13" t="s">
        <v>456</v>
      </c>
      <c r="M2527" s="13" t="s">
        <v>457</v>
      </c>
      <c r="N2527" s="15">
        <v>0</v>
      </c>
      <c r="O2527" s="16">
        <v>0</v>
      </c>
      <c r="P2527" s="17">
        <v>0.35919999586285556</v>
      </c>
      <c r="Q2527" s="17">
        <v>0</v>
      </c>
      <c r="R2527" s="13"/>
      <c r="S2527" s="13"/>
      <c r="T2527" s="13"/>
      <c r="U2527" s="13"/>
      <c r="V2527" s="13"/>
      <c r="W2527" s="13"/>
    </row>
    <row r="2528" spans="1:23" x14ac:dyDescent="0.2">
      <c r="A2528"/>
      <c r="B2528"/>
      <c r="C2528"/>
      <c r="D2528"/>
      <c r="E2528"/>
      <c r="F2528"/>
      <c r="G2528"/>
      <c r="H2528"/>
      <c r="I2528"/>
      <c r="J2528"/>
      <c r="K2528" s="13" t="s">
        <v>583</v>
      </c>
      <c r="L2528" s="13" t="s">
        <v>404</v>
      </c>
      <c r="M2528" s="13" t="s">
        <v>405</v>
      </c>
      <c r="N2528" s="15">
        <v>0</v>
      </c>
      <c r="O2528" s="16">
        <v>0</v>
      </c>
      <c r="P2528" s="17">
        <v>27.185599920969725</v>
      </c>
      <c r="Q2528" s="17">
        <v>165.71707486600491</v>
      </c>
      <c r="R2528" s="13"/>
      <c r="S2528" s="13"/>
      <c r="T2528" s="13"/>
      <c r="U2528" s="13"/>
      <c r="V2528" s="13"/>
      <c r="W2528" s="13"/>
    </row>
    <row r="2529" spans="1:23" x14ac:dyDescent="0.2">
      <c r="A2529"/>
      <c r="B2529"/>
      <c r="C2529"/>
      <c r="D2529"/>
      <c r="E2529"/>
      <c r="F2529"/>
      <c r="G2529"/>
      <c r="H2529"/>
      <c r="I2529"/>
      <c r="J2529"/>
      <c r="K2529" s="13" t="s">
        <v>583</v>
      </c>
      <c r="L2529" s="13" t="s">
        <v>406</v>
      </c>
      <c r="M2529" s="13" t="s">
        <v>361</v>
      </c>
      <c r="N2529" s="15">
        <v>0</v>
      </c>
      <c r="O2529" s="16">
        <v>0</v>
      </c>
      <c r="P2529" s="17">
        <v>96.463500018617154</v>
      </c>
      <c r="Q2529" s="17">
        <v>192.55831859433852</v>
      </c>
      <c r="R2529" s="13"/>
      <c r="S2529" s="13"/>
      <c r="T2529" s="13"/>
      <c r="U2529" s="13"/>
      <c r="V2529" s="13"/>
      <c r="W2529" s="13"/>
    </row>
    <row r="2530" spans="1:23" x14ac:dyDescent="0.2">
      <c r="A2530"/>
      <c r="B2530"/>
      <c r="C2530"/>
      <c r="D2530"/>
      <c r="E2530"/>
      <c r="F2530"/>
      <c r="G2530"/>
      <c r="H2530"/>
      <c r="I2530"/>
      <c r="J2530"/>
      <c r="K2530" s="13" t="s">
        <v>583</v>
      </c>
      <c r="L2530" s="13" t="s">
        <v>381</v>
      </c>
      <c r="M2530" s="13" t="s">
        <v>382</v>
      </c>
      <c r="N2530" s="15">
        <v>47</v>
      </c>
      <c r="O2530" s="16">
        <v>0</v>
      </c>
      <c r="P2530" s="17">
        <v>0</v>
      </c>
      <c r="Q2530" s="17">
        <v>0</v>
      </c>
      <c r="R2530" s="13"/>
      <c r="S2530" s="13"/>
      <c r="T2530" s="13"/>
      <c r="U2530" s="13"/>
      <c r="V2530" s="13"/>
      <c r="W2530" s="13"/>
    </row>
    <row r="2531" spans="1:23" x14ac:dyDescent="0.2">
      <c r="A2531"/>
      <c r="B2531"/>
      <c r="C2531"/>
      <c r="D2531"/>
      <c r="E2531"/>
      <c r="F2531"/>
      <c r="G2531"/>
      <c r="H2531"/>
      <c r="I2531"/>
      <c r="J2531"/>
      <c r="K2531" s="13" t="s">
        <v>583</v>
      </c>
      <c r="L2531" s="13" t="s">
        <v>411</v>
      </c>
      <c r="M2531" s="13" t="s">
        <v>362</v>
      </c>
      <c r="N2531" s="15">
        <v>0</v>
      </c>
      <c r="O2531" s="16">
        <v>50.38552699010723</v>
      </c>
      <c r="P2531" s="17">
        <v>0</v>
      </c>
      <c r="Q2531" s="17">
        <v>0</v>
      </c>
      <c r="R2531" s="13"/>
      <c r="S2531" s="13"/>
      <c r="T2531" s="13"/>
      <c r="U2531" s="13"/>
      <c r="V2531" s="13"/>
      <c r="W2531" s="13"/>
    </row>
    <row r="2532" spans="1:23" x14ac:dyDescent="0.2">
      <c r="A2532"/>
      <c r="B2532"/>
      <c r="C2532"/>
      <c r="D2532"/>
      <c r="E2532"/>
      <c r="F2532"/>
      <c r="G2532"/>
      <c r="H2532"/>
      <c r="I2532"/>
      <c r="J2532"/>
      <c r="K2532" s="13" t="s">
        <v>583</v>
      </c>
      <c r="L2532" s="13" t="s">
        <v>411</v>
      </c>
      <c r="M2532" s="13" t="s">
        <v>362</v>
      </c>
      <c r="N2532" s="15">
        <v>4</v>
      </c>
      <c r="O2532" s="16">
        <v>0</v>
      </c>
      <c r="P2532" s="17">
        <v>0</v>
      </c>
      <c r="Q2532" s="17">
        <v>0</v>
      </c>
      <c r="R2532" s="13"/>
      <c r="S2532" s="13"/>
      <c r="T2532" s="13"/>
      <c r="U2532" s="13"/>
      <c r="V2532" s="13"/>
      <c r="W2532" s="13"/>
    </row>
    <row r="2533" spans="1:23" x14ac:dyDescent="0.2">
      <c r="A2533"/>
      <c r="B2533"/>
      <c r="C2533"/>
      <c r="D2533"/>
      <c r="E2533"/>
      <c r="F2533"/>
      <c r="G2533"/>
      <c r="H2533"/>
      <c r="I2533"/>
      <c r="J2533"/>
      <c r="K2533" s="13" t="s">
        <v>583</v>
      </c>
      <c r="L2533" s="13" t="s">
        <v>605</v>
      </c>
      <c r="M2533" s="13" t="s">
        <v>429</v>
      </c>
      <c r="N2533" s="15">
        <v>0</v>
      </c>
      <c r="O2533" s="16">
        <v>8.0238955623872936</v>
      </c>
      <c r="P2533" s="17">
        <v>0</v>
      </c>
      <c r="Q2533" s="17">
        <v>0</v>
      </c>
      <c r="R2533" s="13"/>
      <c r="S2533" s="13"/>
      <c r="T2533" s="13"/>
      <c r="U2533" s="13"/>
      <c r="V2533" s="13"/>
      <c r="W2533" s="13"/>
    </row>
    <row r="2534" spans="1:23" x14ac:dyDescent="0.2">
      <c r="A2534"/>
      <c r="B2534"/>
      <c r="C2534"/>
      <c r="D2534"/>
      <c r="E2534"/>
      <c r="F2534"/>
      <c r="G2534"/>
      <c r="H2534"/>
      <c r="I2534"/>
      <c r="J2534"/>
      <c r="K2534" s="13" t="s">
        <v>583</v>
      </c>
      <c r="L2534" s="13" t="s">
        <v>606</v>
      </c>
      <c r="M2534" s="13" t="s">
        <v>430</v>
      </c>
      <c r="N2534" s="15">
        <v>7</v>
      </c>
      <c r="O2534" s="16">
        <v>0</v>
      </c>
      <c r="P2534" s="17">
        <v>0</v>
      </c>
      <c r="Q2534" s="17">
        <v>0</v>
      </c>
      <c r="R2534" s="13"/>
      <c r="S2534" s="13"/>
      <c r="T2534" s="13"/>
      <c r="U2534" s="13"/>
      <c r="V2534" s="13"/>
      <c r="W2534" s="13"/>
    </row>
    <row r="2535" spans="1:23" x14ac:dyDescent="0.2">
      <c r="A2535"/>
      <c r="B2535"/>
      <c r="C2535"/>
      <c r="D2535"/>
      <c r="E2535"/>
      <c r="F2535"/>
      <c r="G2535"/>
      <c r="H2535"/>
      <c r="I2535"/>
      <c r="J2535"/>
      <c r="K2535" s="13" t="s">
        <v>583</v>
      </c>
      <c r="L2535" s="13" t="s">
        <v>623</v>
      </c>
      <c r="M2535" s="13" t="s">
        <v>530</v>
      </c>
      <c r="N2535" s="15">
        <v>0</v>
      </c>
      <c r="O2535" s="16">
        <v>243.80351733147299</v>
      </c>
      <c r="P2535" s="17">
        <v>0</v>
      </c>
      <c r="Q2535" s="17">
        <v>0</v>
      </c>
      <c r="R2535" s="13"/>
      <c r="S2535" s="13"/>
      <c r="T2535" s="13"/>
      <c r="U2535" s="13"/>
      <c r="V2535" s="13"/>
      <c r="W2535" s="13"/>
    </row>
    <row r="2536" spans="1:23" x14ac:dyDescent="0.2">
      <c r="A2536"/>
      <c r="B2536"/>
      <c r="C2536"/>
      <c r="D2536"/>
      <c r="E2536"/>
      <c r="F2536"/>
      <c r="G2536"/>
      <c r="H2536"/>
      <c r="I2536"/>
      <c r="J2536"/>
      <c r="K2536" s="13" t="s">
        <v>583</v>
      </c>
      <c r="L2536" s="13" t="s">
        <v>624</v>
      </c>
      <c r="M2536" s="13" t="s">
        <v>531</v>
      </c>
      <c r="N2536" s="15">
        <v>1</v>
      </c>
      <c r="O2536" s="16">
        <v>0</v>
      </c>
      <c r="P2536" s="17">
        <v>0</v>
      </c>
      <c r="Q2536" s="17">
        <v>0</v>
      </c>
      <c r="R2536" s="13"/>
      <c r="S2536" s="13"/>
      <c r="T2536" s="13"/>
      <c r="U2536" s="13"/>
      <c r="V2536" s="13"/>
      <c r="W2536" s="13"/>
    </row>
    <row r="2537" spans="1:23" x14ac:dyDescent="0.2">
      <c r="A2537"/>
      <c r="B2537"/>
      <c r="C2537"/>
      <c r="D2537"/>
      <c r="E2537"/>
      <c r="F2537"/>
      <c r="G2537"/>
      <c r="H2537"/>
      <c r="I2537"/>
      <c r="J2537"/>
      <c r="K2537" s="13" t="s">
        <v>583</v>
      </c>
      <c r="L2537" s="13" t="s">
        <v>607</v>
      </c>
      <c r="M2537" s="13" t="s">
        <v>431</v>
      </c>
      <c r="N2537" s="15">
        <v>2</v>
      </c>
      <c r="O2537" s="16">
        <v>0</v>
      </c>
      <c r="P2537" s="17">
        <v>0</v>
      </c>
      <c r="Q2537" s="17">
        <v>0</v>
      </c>
      <c r="R2537" s="13"/>
      <c r="S2537" s="13"/>
      <c r="T2537" s="13"/>
      <c r="U2537" s="13"/>
      <c r="V2537" s="13"/>
      <c r="W2537" s="13"/>
    </row>
    <row r="2538" spans="1:23" x14ac:dyDescent="0.2">
      <c r="A2538"/>
      <c r="B2538"/>
      <c r="C2538"/>
      <c r="D2538"/>
      <c r="E2538"/>
      <c r="F2538"/>
      <c r="G2538"/>
      <c r="H2538"/>
      <c r="I2538"/>
      <c r="J2538"/>
      <c r="K2538" s="13" t="s">
        <v>583</v>
      </c>
      <c r="L2538" s="13" t="s">
        <v>608</v>
      </c>
      <c r="M2538" s="13" t="s">
        <v>432</v>
      </c>
      <c r="N2538" s="15">
        <v>7</v>
      </c>
      <c r="O2538" s="16">
        <v>0</v>
      </c>
      <c r="P2538" s="17">
        <v>0</v>
      </c>
      <c r="Q2538" s="17">
        <v>0</v>
      </c>
      <c r="R2538" s="13"/>
      <c r="S2538" s="13"/>
      <c r="T2538" s="13"/>
      <c r="U2538" s="13"/>
      <c r="V2538" s="13"/>
      <c r="W2538" s="13"/>
    </row>
    <row r="2539" spans="1:23" x14ac:dyDescent="0.2">
      <c r="A2539"/>
      <c r="B2539"/>
      <c r="C2539"/>
      <c r="D2539"/>
      <c r="E2539"/>
      <c r="F2539"/>
      <c r="G2539"/>
      <c r="H2539"/>
      <c r="I2539"/>
      <c r="J2539"/>
      <c r="K2539" s="13" t="s">
        <v>583</v>
      </c>
      <c r="L2539" s="13" t="s">
        <v>615</v>
      </c>
      <c r="M2539" s="13" t="s">
        <v>449</v>
      </c>
      <c r="N2539" s="15">
        <v>1</v>
      </c>
      <c r="O2539" s="16">
        <v>0</v>
      </c>
      <c r="P2539" s="17">
        <v>0</v>
      </c>
      <c r="Q2539" s="17">
        <v>0</v>
      </c>
      <c r="R2539" s="13"/>
      <c r="S2539" s="13"/>
      <c r="T2539" s="13"/>
      <c r="U2539" s="13"/>
      <c r="V2539" s="13"/>
      <c r="W2539" s="13"/>
    </row>
    <row r="2540" spans="1:23" x14ac:dyDescent="0.2">
      <c r="A2540"/>
      <c r="B2540"/>
      <c r="C2540"/>
      <c r="D2540"/>
      <c r="E2540"/>
      <c r="F2540"/>
      <c r="G2540"/>
      <c r="H2540"/>
      <c r="I2540"/>
      <c r="J2540"/>
      <c r="K2540" s="13" t="s">
        <v>583</v>
      </c>
      <c r="L2540" s="13" t="s">
        <v>415</v>
      </c>
      <c r="M2540" s="13" t="s">
        <v>412</v>
      </c>
      <c r="N2540" s="15">
        <v>0</v>
      </c>
      <c r="O2540" s="16">
        <v>0</v>
      </c>
      <c r="P2540" s="17">
        <v>21.5098000047517</v>
      </c>
      <c r="Q2540" s="17">
        <v>0</v>
      </c>
      <c r="R2540" s="13"/>
      <c r="S2540" s="13"/>
      <c r="T2540" s="13"/>
      <c r="U2540" s="13"/>
      <c r="V2540" s="13"/>
      <c r="W2540" s="13"/>
    </row>
    <row r="2541" spans="1:23" x14ac:dyDescent="0.2">
      <c r="A2541"/>
      <c r="B2541"/>
      <c r="C2541"/>
      <c r="D2541"/>
      <c r="E2541"/>
      <c r="F2541"/>
      <c r="G2541"/>
      <c r="H2541"/>
      <c r="I2541"/>
      <c r="J2541"/>
      <c r="K2541" s="13" t="s">
        <v>583</v>
      </c>
      <c r="L2541" s="13" t="s">
        <v>523</v>
      </c>
      <c r="M2541" s="13" t="s">
        <v>476</v>
      </c>
      <c r="N2541" s="15">
        <v>0</v>
      </c>
      <c r="O2541" s="16">
        <v>0</v>
      </c>
      <c r="P2541" s="17">
        <v>7.1572500004628674</v>
      </c>
      <c r="Q2541" s="17">
        <v>0</v>
      </c>
      <c r="R2541" s="13"/>
      <c r="S2541" s="13"/>
      <c r="T2541" s="13"/>
      <c r="U2541" s="13"/>
      <c r="V2541" s="13"/>
      <c r="W2541" s="13"/>
    </row>
    <row r="2542" spans="1:23" x14ac:dyDescent="0.2">
      <c r="A2542"/>
      <c r="B2542"/>
      <c r="C2542"/>
      <c r="D2542"/>
      <c r="E2542"/>
      <c r="F2542"/>
      <c r="G2542"/>
      <c r="H2542"/>
      <c r="I2542"/>
      <c r="J2542"/>
      <c r="K2542" s="13" t="s">
        <v>583</v>
      </c>
      <c r="L2542" s="13" t="s">
        <v>419</v>
      </c>
      <c r="M2542" s="13" t="s">
        <v>442</v>
      </c>
      <c r="N2542" s="15">
        <v>0</v>
      </c>
      <c r="O2542" s="16">
        <v>107.83742022382997</v>
      </c>
      <c r="P2542" s="17">
        <v>0</v>
      </c>
      <c r="Q2542" s="17">
        <v>0</v>
      </c>
      <c r="R2542" s="13"/>
      <c r="S2542" s="13"/>
      <c r="T2542" s="13"/>
      <c r="U2542" s="13"/>
      <c r="V2542" s="13"/>
      <c r="W2542" s="13"/>
    </row>
    <row r="2543" spans="1:23" x14ac:dyDescent="0.2">
      <c r="A2543"/>
      <c r="B2543"/>
      <c r="C2543"/>
      <c r="D2543"/>
      <c r="E2543"/>
      <c r="F2543"/>
      <c r="G2543"/>
      <c r="H2543"/>
      <c r="I2543"/>
      <c r="J2543"/>
      <c r="K2543" s="13" t="s">
        <v>583</v>
      </c>
      <c r="L2543" s="13" t="s">
        <v>609</v>
      </c>
      <c r="M2543" s="13" t="s">
        <v>416</v>
      </c>
      <c r="N2543" s="15">
        <v>0</v>
      </c>
      <c r="O2543" s="16">
        <v>7.7759605333648398</v>
      </c>
      <c r="P2543" s="17">
        <v>0</v>
      </c>
      <c r="Q2543" s="17">
        <v>0</v>
      </c>
      <c r="R2543" s="13"/>
      <c r="S2543" s="13"/>
      <c r="T2543" s="13"/>
      <c r="U2543" s="13"/>
      <c r="V2543" s="13"/>
      <c r="W2543" s="13"/>
    </row>
    <row r="2544" spans="1:23" x14ac:dyDescent="0.2">
      <c r="A2544"/>
      <c r="B2544"/>
      <c r="C2544"/>
      <c r="D2544"/>
      <c r="E2544"/>
      <c r="F2544"/>
      <c r="G2544"/>
      <c r="H2544"/>
      <c r="I2544"/>
      <c r="J2544"/>
      <c r="K2544" s="13" t="s">
        <v>583</v>
      </c>
      <c r="L2544" s="13" t="s">
        <v>383</v>
      </c>
      <c r="M2544" s="13" t="s">
        <v>420</v>
      </c>
      <c r="N2544" s="15">
        <v>9</v>
      </c>
      <c r="O2544" s="16">
        <v>0</v>
      </c>
      <c r="P2544" s="17">
        <v>0</v>
      </c>
      <c r="Q2544" s="17">
        <v>0</v>
      </c>
      <c r="R2544" s="13"/>
      <c r="S2544" s="13"/>
      <c r="T2544" s="13"/>
      <c r="U2544" s="13"/>
      <c r="V2544" s="13"/>
      <c r="W2544" s="13"/>
    </row>
    <row r="2545" spans="1:23" x14ac:dyDescent="0.2">
      <c r="A2545"/>
      <c r="B2545"/>
      <c r="C2545"/>
      <c r="D2545"/>
      <c r="E2545"/>
      <c r="F2545"/>
      <c r="G2545"/>
      <c r="H2545"/>
      <c r="I2545"/>
      <c r="J2545"/>
      <c r="K2545" s="13" t="s">
        <v>583</v>
      </c>
      <c r="L2545" s="13" t="s">
        <v>528</v>
      </c>
      <c r="M2545" s="13" t="s">
        <v>384</v>
      </c>
      <c r="N2545" s="15">
        <v>0</v>
      </c>
      <c r="O2545" s="16">
        <v>30.460878614973499</v>
      </c>
      <c r="P2545" s="17">
        <v>0</v>
      </c>
      <c r="Q2545" s="17">
        <v>0</v>
      </c>
      <c r="R2545" s="13"/>
      <c r="S2545" s="13"/>
      <c r="T2545" s="13"/>
      <c r="U2545" s="13"/>
      <c r="V2545" s="13"/>
      <c r="W2545" s="13"/>
    </row>
    <row r="2546" spans="1:23" x14ac:dyDescent="0.2">
      <c r="A2546"/>
      <c r="B2546"/>
      <c r="C2546"/>
      <c r="D2546"/>
      <c r="E2546"/>
      <c r="F2546"/>
      <c r="G2546"/>
      <c r="H2546"/>
      <c r="I2546"/>
      <c r="J2546"/>
      <c r="K2546" s="13" t="s">
        <v>583</v>
      </c>
      <c r="L2546" s="13" t="s">
        <v>613</v>
      </c>
      <c r="M2546" s="13" t="s">
        <v>444</v>
      </c>
      <c r="N2546" s="15">
        <v>0</v>
      </c>
      <c r="O2546" s="16">
        <v>29.822074338778641</v>
      </c>
      <c r="P2546" s="17">
        <v>0</v>
      </c>
      <c r="Q2546" s="17">
        <v>0</v>
      </c>
      <c r="R2546" s="13"/>
      <c r="S2546" s="13"/>
      <c r="T2546" s="13"/>
      <c r="U2546" s="13"/>
      <c r="V2546" s="13"/>
      <c r="W2546" s="13"/>
    </row>
    <row r="2547" spans="1:23" x14ac:dyDescent="0.2">
      <c r="A2547"/>
      <c r="B2547"/>
      <c r="C2547"/>
      <c r="D2547"/>
      <c r="E2547"/>
      <c r="F2547"/>
      <c r="G2547"/>
      <c r="H2547"/>
      <c r="I2547"/>
      <c r="J2547"/>
      <c r="K2547" s="13" t="s">
        <v>583</v>
      </c>
      <c r="L2547" s="13" t="s">
        <v>611</v>
      </c>
      <c r="M2547" s="13" t="s">
        <v>423</v>
      </c>
      <c r="N2547" s="15">
        <v>0</v>
      </c>
      <c r="O2547" s="16">
        <v>24.647612346120177</v>
      </c>
      <c r="P2547" s="17">
        <v>0</v>
      </c>
      <c r="Q2547" s="17">
        <v>0</v>
      </c>
      <c r="R2547" s="13"/>
      <c r="S2547" s="13"/>
      <c r="T2547" s="13"/>
      <c r="U2547" s="13"/>
      <c r="V2547" s="13"/>
      <c r="W2547" s="13"/>
    </row>
    <row r="2548" spans="1:23" x14ac:dyDescent="0.2">
      <c r="A2548"/>
      <c r="B2548"/>
      <c r="C2548"/>
      <c r="D2548"/>
      <c r="E2548"/>
      <c r="F2548"/>
      <c r="G2548"/>
      <c r="H2548"/>
      <c r="I2548"/>
      <c r="J2548"/>
      <c r="K2548" s="13" t="s">
        <v>583</v>
      </c>
      <c r="L2548" s="13" t="s">
        <v>446</v>
      </c>
      <c r="M2548" s="13" t="s">
        <v>371</v>
      </c>
      <c r="N2548" s="15">
        <v>6</v>
      </c>
      <c r="O2548" s="16">
        <v>0</v>
      </c>
      <c r="P2548" s="17">
        <v>0</v>
      </c>
      <c r="Q2548" s="17">
        <v>0</v>
      </c>
      <c r="R2548" s="13"/>
      <c r="S2548" s="13"/>
      <c r="T2548" s="13"/>
      <c r="U2548" s="13"/>
      <c r="V2548" s="13"/>
      <c r="W2548" s="13"/>
    </row>
    <row r="2549" spans="1:23" x14ac:dyDescent="0.2">
      <c r="A2549"/>
      <c r="B2549"/>
      <c r="C2549"/>
      <c r="D2549"/>
      <c r="E2549"/>
      <c r="F2549"/>
      <c r="G2549"/>
      <c r="H2549"/>
      <c r="I2549"/>
      <c r="J2549"/>
      <c r="K2549" s="13" t="s">
        <v>583</v>
      </c>
      <c r="L2549" s="13" t="s">
        <v>424</v>
      </c>
      <c r="M2549" s="13" t="s">
        <v>468</v>
      </c>
      <c r="N2549" s="15">
        <v>0</v>
      </c>
      <c r="O2549" s="16">
        <v>0</v>
      </c>
      <c r="P2549" s="17">
        <v>11.020300002884749</v>
      </c>
      <c r="Q2549" s="17">
        <v>0</v>
      </c>
      <c r="R2549" s="13"/>
      <c r="S2549" s="13"/>
      <c r="T2549" s="13"/>
      <c r="U2549" s="13"/>
      <c r="V2549" s="13"/>
      <c r="W2549" s="13"/>
    </row>
    <row r="2550" spans="1:23" x14ac:dyDescent="0.2">
      <c r="A2550"/>
      <c r="B2550"/>
      <c r="C2550"/>
      <c r="D2550"/>
      <c r="E2550"/>
      <c r="F2550"/>
      <c r="G2550"/>
      <c r="H2550"/>
      <c r="I2550"/>
      <c r="J2550"/>
      <c r="K2550" s="13" t="s">
        <v>583</v>
      </c>
      <c r="L2550" s="13" t="s">
        <v>484</v>
      </c>
      <c r="M2550" s="13" t="s">
        <v>529</v>
      </c>
      <c r="N2550" s="15">
        <v>0</v>
      </c>
      <c r="O2550" s="16">
        <v>51.5870877377765</v>
      </c>
      <c r="P2550" s="17">
        <v>0</v>
      </c>
      <c r="Q2550" s="17">
        <v>0</v>
      </c>
      <c r="R2550" s="13"/>
      <c r="S2550" s="13"/>
      <c r="T2550" s="13"/>
      <c r="U2550" s="13"/>
      <c r="V2550" s="13"/>
      <c r="W2550" s="13"/>
    </row>
    <row r="2551" spans="1:23" x14ac:dyDescent="0.2">
      <c r="A2551"/>
      <c r="B2551"/>
      <c r="C2551"/>
      <c r="D2551"/>
      <c r="E2551"/>
      <c r="F2551"/>
      <c r="G2551"/>
      <c r="H2551"/>
      <c r="I2551"/>
      <c r="J2551"/>
      <c r="K2551" s="13" t="s">
        <v>583</v>
      </c>
      <c r="L2551" s="13" t="s">
        <v>614</v>
      </c>
      <c r="M2551" s="13" t="s">
        <v>447</v>
      </c>
      <c r="N2551" s="15">
        <v>1</v>
      </c>
      <c r="O2551" s="16">
        <v>0</v>
      </c>
      <c r="P2551" s="17">
        <v>0</v>
      </c>
      <c r="Q2551" s="17">
        <v>0</v>
      </c>
      <c r="R2551" s="13"/>
      <c r="S2551" s="13"/>
      <c r="T2551" s="13"/>
      <c r="U2551" s="13"/>
      <c r="V2551" s="13"/>
      <c r="W2551" s="13"/>
    </row>
    <row r="2552" spans="1:23" x14ac:dyDescent="0.2">
      <c r="A2552"/>
      <c r="B2552"/>
      <c r="C2552"/>
      <c r="D2552"/>
      <c r="E2552"/>
      <c r="F2552"/>
      <c r="G2552"/>
      <c r="H2552"/>
      <c r="I2552"/>
      <c r="J2552"/>
      <c r="K2552" s="13" t="s">
        <v>583</v>
      </c>
      <c r="L2552" s="13" t="s">
        <v>469</v>
      </c>
      <c r="M2552" s="13" t="s">
        <v>426</v>
      </c>
      <c r="N2552" s="15">
        <v>2</v>
      </c>
      <c r="O2552" s="16">
        <v>0</v>
      </c>
      <c r="P2552" s="17">
        <v>0</v>
      </c>
      <c r="Q2552" s="17">
        <v>0</v>
      </c>
      <c r="R2552" s="13"/>
      <c r="S2552" s="13"/>
      <c r="T2552" s="13"/>
      <c r="U2552" s="13"/>
      <c r="V2552" s="13"/>
      <c r="W2552" s="13"/>
    </row>
    <row r="2553" spans="1:23" x14ac:dyDescent="0.2">
      <c r="A2553"/>
      <c r="B2553"/>
      <c r="C2553"/>
      <c r="D2553"/>
      <c r="E2553"/>
      <c r="F2553"/>
      <c r="G2553"/>
      <c r="H2553"/>
      <c r="I2553"/>
      <c r="J2553"/>
      <c r="K2553" s="13" t="s">
        <v>583</v>
      </c>
      <c r="L2553" s="13" t="s">
        <v>458</v>
      </c>
      <c r="M2553" s="13" t="s">
        <v>459</v>
      </c>
      <c r="N2553" s="15">
        <v>0</v>
      </c>
      <c r="O2553" s="16">
        <v>0</v>
      </c>
      <c r="P2553" s="17">
        <v>658.35544998296177</v>
      </c>
      <c r="Q2553" s="17">
        <v>0</v>
      </c>
      <c r="R2553" s="13"/>
      <c r="S2553" s="13"/>
      <c r="T2553" s="13"/>
      <c r="U2553" s="13"/>
      <c r="V2553" s="13"/>
      <c r="W2553" s="13"/>
    </row>
    <row r="2554" spans="1:23" x14ac:dyDescent="0.2">
      <c r="A2554"/>
      <c r="B2554"/>
      <c r="C2554"/>
      <c r="D2554"/>
      <c r="E2554"/>
      <c r="F2554"/>
      <c r="G2554"/>
      <c r="H2554"/>
      <c r="I2554"/>
      <c r="J2554"/>
      <c r="K2554" s="13" t="s">
        <v>584</v>
      </c>
      <c r="L2554" s="13" t="s">
        <v>435</v>
      </c>
      <c r="M2554" s="13" t="s">
        <v>364</v>
      </c>
      <c r="N2554" s="15">
        <v>0</v>
      </c>
      <c r="O2554" s="16">
        <v>0</v>
      </c>
      <c r="P2554" s="17">
        <v>3.5704999995160613</v>
      </c>
      <c r="Q2554" s="17">
        <v>0</v>
      </c>
      <c r="R2554" s="13"/>
      <c r="S2554" s="13"/>
      <c r="T2554" s="13"/>
      <c r="U2554" s="13"/>
      <c r="V2554" s="13"/>
      <c r="W2554" s="13"/>
    </row>
    <row r="2555" spans="1:23" x14ac:dyDescent="0.2">
      <c r="A2555"/>
      <c r="B2555"/>
      <c r="C2555"/>
      <c r="D2555"/>
      <c r="E2555"/>
      <c r="F2555"/>
      <c r="G2555"/>
      <c r="H2555"/>
      <c r="I2555"/>
      <c r="J2555"/>
      <c r="K2555" s="13" t="s">
        <v>584</v>
      </c>
      <c r="L2555" s="13" t="s">
        <v>387</v>
      </c>
      <c r="M2555" s="13" t="s">
        <v>386</v>
      </c>
      <c r="N2555" s="15">
        <v>0</v>
      </c>
      <c r="O2555" s="16">
        <v>0</v>
      </c>
      <c r="P2555" s="17">
        <v>6795.8854499103245</v>
      </c>
      <c r="Q2555" s="17">
        <v>0</v>
      </c>
      <c r="R2555" s="13"/>
      <c r="S2555" s="13"/>
      <c r="T2555" s="13"/>
      <c r="U2555" s="13"/>
      <c r="V2555" s="13"/>
      <c r="W2555" s="13"/>
    </row>
    <row r="2556" spans="1:23" x14ac:dyDescent="0.2">
      <c r="A2556"/>
      <c r="B2556"/>
      <c r="C2556"/>
      <c r="D2556"/>
      <c r="E2556"/>
      <c r="F2556"/>
      <c r="G2556"/>
      <c r="H2556"/>
      <c r="I2556"/>
      <c r="J2556"/>
      <c r="K2556" s="13" t="s">
        <v>584</v>
      </c>
      <c r="L2556" s="13" t="s">
        <v>389</v>
      </c>
      <c r="M2556" s="13" t="s">
        <v>388</v>
      </c>
      <c r="N2556" s="15">
        <v>0</v>
      </c>
      <c r="O2556" s="16">
        <v>0</v>
      </c>
      <c r="P2556" s="17">
        <v>6319.9269910184212</v>
      </c>
      <c r="Q2556" s="17">
        <v>0</v>
      </c>
      <c r="R2556" s="13"/>
      <c r="S2556" s="13"/>
      <c r="T2556" s="13"/>
      <c r="U2556" s="13"/>
      <c r="V2556" s="13"/>
      <c r="W2556" s="13"/>
    </row>
    <row r="2557" spans="1:23" x14ac:dyDescent="0.2">
      <c r="A2557"/>
      <c r="B2557"/>
      <c r="C2557"/>
      <c r="D2557"/>
      <c r="E2557"/>
      <c r="F2557"/>
      <c r="G2557"/>
      <c r="H2557"/>
      <c r="I2557"/>
      <c r="J2557"/>
      <c r="K2557" s="13" t="s">
        <v>584</v>
      </c>
      <c r="L2557" s="13" t="s">
        <v>391</v>
      </c>
      <c r="M2557" s="13" t="s">
        <v>358</v>
      </c>
      <c r="N2557" s="15">
        <v>0</v>
      </c>
      <c r="O2557" s="16">
        <v>0</v>
      </c>
      <c r="P2557" s="17">
        <v>1244.6506399139719</v>
      </c>
      <c r="Q2557" s="17">
        <v>0</v>
      </c>
      <c r="R2557" s="13"/>
      <c r="S2557" s="13"/>
      <c r="T2557" s="13"/>
      <c r="U2557" s="13"/>
      <c r="V2557" s="13"/>
      <c r="W2557" s="13"/>
    </row>
    <row r="2558" spans="1:23" x14ac:dyDescent="0.2">
      <c r="A2558"/>
      <c r="B2558"/>
      <c r="C2558"/>
      <c r="D2558"/>
      <c r="E2558"/>
      <c r="F2558"/>
      <c r="G2558"/>
      <c r="H2558"/>
      <c r="I2558"/>
      <c r="J2558"/>
      <c r="K2558" s="13" t="s">
        <v>584</v>
      </c>
      <c r="L2558" s="13" t="s">
        <v>486</v>
      </c>
      <c r="M2558" s="13" t="s">
        <v>439</v>
      </c>
      <c r="N2558" s="15">
        <v>0</v>
      </c>
      <c r="O2558" s="16">
        <v>0</v>
      </c>
      <c r="P2558" s="17">
        <v>292.58708277577108</v>
      </c>
      <c r="Q2558" s="17">
        <v>0</v>
      </c>
      <c r="R2558" s="13"/>
      <c r="S2558" s="13"/>
      <c r="T2558" s="13"/>
      <c r="U2558" s="13"/>
      <c r="V2558" s="13"/>
      <c r="W2558" s="13"/>
    </row>
    <row r="2559" spans="1:23" x14ac:dyDescent="0.2">
      <c r="A2559"/>
      <c r="B2559"/>
      <c r="C2559"/>
      <c r="D2559"/>
      <c r="E2559"/>
      <c r="F2559"/>
      <c r="G2559"/>
      <c r="H2559"/>
      <c r="I2559"/>
      <c r="J2559"/>
      <c r="K2559" s="13" t="s">
        <v>584</v>
      </c>
      <c r="L2559" s="13" t="s">
        <v>621</v>
      </c>
      <c r="M2559" s="13" t="s">
        <v>520</v>
      </c>
      <c r="N2559" s="15">
        <v>0</v>
      </c>
      <c r="O2559" s="16">
        <v>0</v>
      </c>
      <c r="P2559" s="17">
        <v>454.84714999106967</v>
      </c>
      <c r="Q2559" s="17">
        <v>0</v>
      </c>
      <c r="R2559" s="13"/>
      <c r="S2559" s="13"/>
      <c r="T2559" s="13"/>
      <c r="U2559" s="13"/>
      <c r="V2559" s="13"/>
      <c r="W2559" s="13"/>
    </row>
    <row r="2560" spans="1:23" x14ac:dyDescent="0.2">
      <c r="A2560"/>
      <c r="B2560"/>
      <c r="C2560"/>
      <c r="D2560"/>
      <c r="E2560"/>
      <c r="F2560"/>
      <c r="G2560"/>
      <c r="H2560"/>
      <c r="I2560"/>
      <c r="J2560"/>
      <c r="K2560" s="13" t="s">
        <v>584</v>
      </c>
      <c r="L2560" s="13" t="s">
        <v>512</v>
      </c>
      <c r="M2560" s="13" t="s">
        <v>466</v>
      </c>
      <c r="N2560" s="15">
        <v>0</v>
      </c>
      <c r="O2560" s="16">
        <v>0</v>
      </c>
      <c r="P2560" s="17">
        <v>930.90089999855354</v>
      </c>
      <c r="Q2560" s="17">
        <v>0</v>
      </c>
      <c r="R2560" s="13"/>
      <c r="S2560" s="13"/>
      <c r="T2560" s="13"/>
      <c r="U2560" s="13"/>
      <c r="V2560" s="13"/>
      <c r="W2560" s="13"/>
    </row>
    <row r="2561" spans="1:23" x14ac:dyDescent="0.2">
      <c r="A2561"/>
      <c r="B2561"/>
      <c r="C2561"/>
      <c r="D2561"/>
      <c r="E2561"/>
      <c r="F2561"/>
      <c r="G2561"/>
      <c r="H2561"/>
      <c r="I2561"/>
      <c r="J2561"/>
      <c r="K2561" s="13" t="s">
        <v>584</v>
      </c>
      <c r="L2561" s="13" t="s">
        <v>532</v>
      </c>
      <c r="M2561" s="13" t="s">
        <v>620</v>
      </c>
      <c r="N2561" s="15">
        <v>0</v>
      </c>
      <c r="O2561" s="16">
        <v>0</v>
      </c>
      <c r="P2561" s="17">
        <v>75.794250005403185</v>
      </c>
      <c r="Q2561" s="17">
        <v>0</v>
      </c>
      <c r="R2561" s="13"/>
      <c r="S2561" s="13"/>
      <c r="T2561" s="13"/>
      <c r="U2561" s="13"/>
      <c r="V2561" s="13"/>
      <c r="W2561" s="13"/>
    </row>
    <row r="2562" spans="1:23" x14ac:dyDescent="0.2">
      <c r="A2562"/>
      <c r="B2562"/>
      <c r="C2562"/>
      <c r="D2562"/>
      <c r="E2562"/>
      <c r="F2562"/>
      <c r="G2562"/>
      <c r="H2562"/>
      <c r="I2562"/>
      <c r="J2562"/>
      <c r="K2562" s="13" t="s">
        <v>584</v>
      </c>
      <c r="L2562" s="13" t="s">
        <v>440</v>
      </c>
      <c r="M2562" s="13" t="s">
        <v>441</v>
      </c>
      <c r="N2562" s="15">
        <v>4</v>
      </c>
      <c r="O2562" s="16">
        <v>0</v>
      </c>
      <c r="P2562" s="17">
        <v>0</v>
      </c>
      <c r="Q2562" s="17">
        <v>0</v>
      </c>
      <c r="R2562" s="13"/>
      <c r="S2562" s="13"/>
      <c r="T2562" s="13"/>
      <c r="U2562" s="13"/>
      <c r="V2562" s="13"/>
      <c r="W2562" s="13"/>
    </row>
    <row r="2563" spans="1:23" x14ac:dyDescent="0.2">
      <c r="A2563"/>
      <c r="B2563"/>
      <c r="C2563"/>
      <c r="D2563"/>
      <c r="E2563"/>
      <c r="F2563"/>
      <c r="G2563"/>
      <c r="H2563"/>
      <c r="I2563"/>
      <c r="J2563"/>
      <c r="K2563" s="13" t="s">
        <v>584</v>
      </c>
      <c r="L2563" s="13" t="s">
        <v>397</v>
      </c>
      <c r="M2563" s="13" t="s">
        <v>398</v>
      </c>
      <c r="N2563" s="15">
        <v>0</v>
      </c>
      <c r="O2563" s="16">
        <v>0</v>
      </c>
      <c r="P2563" s="17">
        <v>15.056550009260816</v>
      </c>
      <c r="Q2563" s="17">
        <v>0</v>
      </c>
      <c r="R2563" s="13"/>
      <c r="S2563" s="13"/>
      <c r="T2563" s="13"/>
      <c r="U2563" s="13"/>
      <c r="V2563" s="13"/>
      <c r="W2563" s="13"/>
    </row>
    <row r="2564" spans="1:23" x14ac:dyDescent="0.2">
      <c r="A2564"/>
      <c r="B2564"/>
      <c r="C2564"/>
      <c r="D2564"/>
      <c r="E2564"/>
      <c r="F2564"/>
      <c r="G2564"/>
      <c r="H2564"/>
      <c r="I2564"/>
      <c r="J2564"/>
      <c r="K2564" s="13" t="s">
        <v>584</v>
      </c>
      <c r="L2564" s="13" t="s">
        <v>399</v>
      </c>
      <c r="M2564" s="13" t="s">
        <v>400</v>
      </c>
      <c r="N2564" s="15">
        <v>0</v>
      </c>
      <c r="O2564" s="16">
        <v>0</v>
      </c>
      <c r="P2564" s="17">
        <v>203.16934829401913</v>
      </c>
      <c r="Q2564" s="17">
        <v>0</v>
      </c>
      <c r="R2564" s="13"/>
      <c r="S2564" s="13"/>
      <c r="T2564" s="13"/>
      <c r="U2564" s="13"/>
      <c r="V2564" s="13"/>
      <c r="W2564" s="13"/>
    </row>
    <row r="2565" spans="1:23" x14ac:dyDescent="0.2">
      <c r="A2565"/>
      <c r="B2565"/>
      <c r="C2565"/>
      <c r="D2565"/>
      <c r="E2565"/>
      <c r="F2565"/>
      <c r="G2565"/>
      <c r="H2565"/>
      <c r="I2565"/>
      <c r="J2565"/>
      <c r="K2565" s="13" t="s">
        <v>584</v>
      </c>
      <c r="L2565" s="13" t="s">
        <v>401</v>
      </c>
      <c r="M2565" s="13" t="s">
        <v>360</v>
      </c>
      <c r="N2565" s="15">
        <v>0</v>
      </c>
      <c r="O2565" s="16">
        <v>0</v>
      </c>
      <c r="P2565" s="17">
        <v>5270.039629602833</v>
      </c>
      <c r="Q2565" s="17">
        <v>0</v>
      </c>
      <c r="R2565" s="13"/>
      <c r="S2565" s="13"/>
      <c r="T2565" s="13"/>
      <c r="U2565" s="13"/>
      <c r="V2565" s="13"/>
      <c r="W2565" s="13"/>
    </row>
    <row r="2566" spans="1:23" x14ac:dyDescent="0.2">
      <c r="A2566"/>
      <c r="B2566"/>
      <c r="C2566"/>
      <c r="D2566"/>
      <c r="E2566"/>
      <c r="F2566"/>
      <c r="G2566"/>
      <c r="H2566"/>
      <c r="I2566"/>
      <c r="J2566"/>
      <c r="K2566" s="13" t="s">
        <v>584</v>
      </c>
      <c r="L2566" s="13" t="s">
        <v>511</v>
      </c>
      <c r="M2566" s="13" t="s">
        <v>377</v>
      </c>
      <c r="N2566" s="15">
        <v>0</v>
      </c>
      <c r="O2566" s="16">
        <v>0</v>
      </c>
      <c r="P2566" s="17">
        <v>89.63930000070593</v>
      </c>
      <c r="Q2566" s="17">
        <v>0</v>
      </c>
      <c r="R2566" s="13"/>
      <c r="S2566" s="13"/>
      <c r="T2566" s="13"/>
      <c r="U2566" s="13"/>
      <c r="V2566" s="13"/>
      <c r="W2566" s="13"/>
    </row>
    <row r="2567" spans="1:23" x14ac:dyDescent="0.2">
      <c r="A2567"/>
      <c r="B2567"/>
      <c r="C2567"/>
      <c r="D2567"/>
      <c r="E2567"/>
      <c r="F2567"/>
      <c r="G2567"/>
      <c r="H2567"/>
      <c r="I2567"/>
      <c r="J2567"/>
      <c r="K2567" s="13" t="s">
        <v>584</v>
      </c>
      <c r="L2567" s="13" t="s">
        <v>402</v>
      </c>
      <c r="M2567" s="13" t="s">
        <v>403</v>
      </c>
      <c r="N2567" s="15">
        <v>0</v>
      </c>
      <c r="O2567" s="16">
        <v>0</v>
      </c>
      <c r="P2567" s="17">
        <v>8025.8668457757658</v>
      </c>
      <c r="Q2567" s="17">
        <v>0</v>
      </c>
      <c r="R2567" s="13"/>
      <c r="S2567" s="13"/>
      <c r="T2567" s="13"/>
      <c r="U2567" s="13"/>
      <c r="V2567" s="13"/>
      <c r="W2567" s="13"/>
    </row>
    <row r="2568" spans="1:23" x14ac:dyDescent="0.2">
      <c r="A2568"/>
      <c r="B2568"/>
      <c r="C2568"/>
      <c r="D2568"/>
      <c r="E2568"/>
      <c r="F2568"/>
      <c r="G2568"/>
      <c r="H2568"/>
      <c r="I2568"/>
      <c r="J2568"/>
      <c r="K2568" s="13" t="s">
        <v>584</v>
      </c>
      <c r="L2568" s="13" t="s">
        <v>473</v>
      </c>
      <c r="M2568" s="13" t="s">
        <v>474</v>
      </c>
      <c r="N2568" s="15">
        <v>0</v>
      </c>
      <c r="O2568" s="16">
        <v>0</v>
      </c>
      <c r="P2568" s="17">
        <v>4951.5969500502379</v>
      </c>
      <c r="Q2568" s="17">
        <v>0</v>
      </c>
      <c r="R2568" s="13"/>
      <c r="S2568" s="13"/>
      <c r="T2568" s="13"/>
      <c r="U2568" s="13"/>
      <c r="V2568" s="13"/>
      <c r="W2568" s="13"/>
    </row>
    <row r="2569" spans="1:23" x14ac:dyDescent="0.2">
      <c r="A2569"/>
      <c r="B2569"/>
      <c r="C2569"/>
      <c r="D2569"/>
      <c r="E2569"/>
      <c r="F2569"/>
      <c r="G2569"/>
      <c r="H2569"/>
      <c r="I2569"/>
      <c r="J2569"/>
      <c r="K2569" s="13" t="s">
        <v>584</v>
      </c>
      <c r="L2569" s="13" t="s">
        <v>448</v>
      </c>
      <c r="M2569" s="13" t="s">
        <v>366</v>
      </c>
      <c r="N2569" s="15">
        <v>0</v>
      </c>
      <c r="O2569" s="16">
        <v>0</v>
      </c>
      <c r="P2569" s="17">
        <v>1718.8029999739285</v>
      </c>
      <c r="Q2569" s="17">
        <v>0</v>
      </c>
      <c r="R2569" s="13"/>
      <c r="S2569" s="13"/>
      <c r="T2569" s="13"/>
      <c r="U2569" s="13"/>
      <c r="V2569" s="13"/>
      <c r="W2569" s="13"/>
    </row>
    <row r="2570" spans="1:23" x14ac:dyDescent="0.2">
      <c r="A2570"/>
      <c r="B2570"/>
      <c r="C2570"/>
      <c r="D2570"/>
      <c r="E2570"/>
      <c r="F2570"/>
      <c r="G2570"/>
      <c r="H2570"/>
      <c r="I2570"/>
      <c r="J2570"/>
      <c r="K2570" s="13" t="s">
        <v>584</v>
      </c>
      <c r="L2570" s="13" t="s">
        <v>462</v>
      </c>
      <c r="M2570" s="13" t="s">
        <v>370</v>
      </c>
      <c r="N2570" s="15">
        <v>0</v>
      </c>
      <c r="O2570" s="16">
        <v>0</v>
      </c>
      <c r="P2570" s="17">
        <v>6.7309499991635793</v>
      </c>
      <c r="Q2570" s="17">
        <v>0</v>
      </c>
      <c r="R2570" s="13"/>
      <c r="S2570" s="13"/>
      <c r="T2570" s="13"/>
      <c r="U2570" s="13"/>
      <c r="V2570" s="13"/>
      <c r="W2570" s="13"/>
    </row>
    <row r="2571" spans="1:23" x14ac:dyDescent="0.2">
      <c r="A2571"/>
      <c r="B2571"/>
      <c r="C2571"/>
      <c r="D2571"/>
      <c r="E2571"/>
      <c r="F2571"/>
      <c r="G2571"/>
      <c r="H2571"/>
      <c r="I2571"/>
      <c r="J2571"/>
      <c r="K2571" s="13" t="s">
        <v>584</v>
      </c>
      <c r="L2571" s="13" t="s">
        <v>456</v>
      </c>
      <c r="M2571" s="13" t="s">
        <v>457</v>
      </c>
      <c r="N2571" s="15">
        <v>0</v>
      </c>
      <c r="O2571" s="16">
        <v>0</v>
      </c>
      <c r="P2571" s="17">
        <v>686.69044998233778</v>
      </c>
      <c r="Q2571" s="17">
        <v>0</v>
      </c>
      <c r="R2571" s="13"/>
      <c r="S2571" s="13"/>
      <c r="T2571" s="13"/>
      <c r="U2571" s="13"/>
      <c r="V2571" s="13"/>
      <c r="W2571" s="13"/>
    </row>
    <row r="2572" spans="1:23" x14ac:dyDescent="0.2">
      <c r="A2572"/>
      <c r="B2572"/>
      <c r="C2572"/>
      <c r="D2572"/>
      <c r="E2572"/>
      <c r="F2572"/>
      <c r="G2572"/>
      <c r="H2572"/>
      <c r="I2572"/>
      <c r="J2572"/>
      <c r="K2572" s="13" t="s">
        <v>584</v>
      </c>
      <c r="L2572" s="13" t="s">
        <v>404</v>
      </c>
      <c r="M2572" s="13" t="s">
        <v>405</v>
      </c>
      <c r="N2572" s="15">
        <v>0</v>
      </c>
      <c r="O2572" s="16">
        <v>0</v>
      </c>
      <c r="P2572" s="17">
        <v>23.590630610715937</v>
      </c>
      <c r="Q2572" s="17">
        <v>147.14364881447463</v>
      </c>
      <c r="R2572" s="13"/>
      <c r="S2572" s="13"/>
      <c r="T2572" s="13"/>
      <c r="U2572" s="13"/>
      <c r="V2572" s="13"/>
      <c r="W2572" s="13"/>
    </row>
    <row r="2573" spans="1:23" x14ac:dyDescent="0.2">
      <c r="A2573"/>
      <c r="B2573"/>
      <c r="C2573"/>
      <c r="D2573"/>
      <c r="E2573"/>
      <c r="F2573"/>
      <c r="G2573"/>
      <c r="H2573"/>
      <c r="I2573"/>
      <c r="J2573"/>
      <c r="K2573" s="13" t="s">
        <v>584</v>
      </c>
      <c r="L2573" s="13" t="s">
        <v>381</v>
      </c>
      <c r="M2573" s="13" t="s">
        <v>382</v>
      </c>
      <c r="N2573" s="15">
        <v>88</v>
      </c>
      <c r="O2573" s="16">
        <v>0</v>
      </c>
      <c r="P2573" s="17">
        <v>0</v>
      </c>
      <c r="Q2573" s="17">
        <v>0</v>
      </c>
      <c r="R2573" s="13"/>
      <c r="S2573" s="13"/>
      <c r="T2573" s="13"/>
      <c r="U2573" s="13"/>
      <c r="V2573" s="13"/>
      <c r="W2573" s="13"/>
    </row>
    <row r="2574" spans="1:23" x14ac:dyDescent="0.2">
      <c r="A2574"/>
      <c r="B2574"/>
      <c r="C2574"/>
      <c r="D2574"/>
      <c r="E2574"/>
      <c r="F2574"/>
      <c r="G2574"/>
      <c r="H2574"/>
      <c r="I2574"/>
      <c r="J2574"/>
      <c r="K2574" s="13" t="s">
        <v>584</v>
      </c>
      <c r="L2574" s="13" t="s">
        <v>407</v>
      </c>
      <c r="M2574" s="13" t="s">
        <v>408</v>
      </c>
      <c r="N2574" s="15">
        <v>21</v>
      </c>
      <c r="O2574" s="16">
        <v>0</v>
      </c>
      <c r="P2574" s="17">
        <v>0</v>
      </c>
      <c r="Q2574" s="17">
        <v>0</v>
      </c>
      <c r="R2574" s="13"/>
      <c r="S2574" s="13"/>
      <c r="T2574" s="13"/>
      <c r="U2574" s="13"/>
      <c r="V2574" s="13"/>
      <c r="W2574" s="13"/>
    </row>
    <row r="2575" spans="1:23" x14ac:dyDescent="0.2">
      <c r="A2575"/>
      <c r="B2575"/>
      <c r="C2575"/>
      <c r="D2575"/>
      <c r="E2575"/>
      <c r="F2575"/>
      <c r="G2575"/>
      <c r="H2575"/>
      <c r="I2575"/>
      <c r="J2575"/>
      <c r="K2575" s="13" t="s">
        <v>584</v>
      </c>
      <c r="L2575" s="13" t="s">
        <v>471</v>
      </c>
      <c r="M2575" s="13" t="s">
        <v>472</v>
      </c>
      <c r="N2575" s="15">
        <v>0</v>
      </c>
      <c r="O2575" s="16">
        <v>0</v>
      </c>
      <c r="P2575" s="17">
        <v>14425.036009144735</v>
      </c>
      <c r="Q2575" s="17">
        <v>0</v>
      </c>
      <c r="R2575" s="13"/>
      <c r="S2575" s="13"/>
      <c r="T2575" s="13"/>
      <c r="U2575" s="13"/>
      <c r="V2575" s="13"/>
      <c r="W2575" s="13"/>
    </row>
    <row r="2576" spans="1:23" x14ac:dyDescent="0.2">
      <c r="A2576"/>
      <c r="B2576"/>
      <c r="C2576"/>
      <c r="D2576"/>
      <c r="E2576"/>
      <c r="F2576"/>
      <c r="G2576"/>
      <c r="H2576"/>
      <c r="I2576"/>
      <c r="J2576"/>
      <c r="K2576" s="13" t="s">
        <v>584</v>
      </c>
      <c r="L2576" s="13" t="s">
        <v>411</v>
      </c>
      <c r="M2576" s="13" t="s">
        <v>362</v>
      </c>
      <c r="N2576" s="15">
        <v>0</v>
      </c>
      <c r="O2576" s="16">
        <v>0</v>
      </c>
      <c r="P2576" s="17">
        <v>63.695299991272321</v>
      </c>
      <c r="Q2576" s="17">
        <v>0</v>
      </c>
      <c r="R2576" s="13"/>
      <c r="S2576" s="13"/>
      <c r="T2576" s="13"/>
      <c r="U2576" s="13"/>
      <c r="V2576" s="13"/>
      <c r="W2576" s="13"/>
    </row>
    <row r="2577" spans="1:23" x14ac:dyDescent="0.2">
      <c r="A2577"/>
      <c r="B2577"/>
      <c r="C2577"/>
      <c r="D2577"/>
      <c r="E2577"/>
      <c r="F2577"/>
      <c r="G2577"/>
      <c r="H2577"/>
      <c r="I2577"/>
      <c r="J2577"/>
      <c r="K2577" s="13" t="s">
        <v>584</v>
      </c>
      <c r="L2577" s="13" t="s">
        <v>411</v>
      </c>
      <c r="M2577" s="13" t="s">
        <v>362</v>
      </c>
      <c r="N2577" s="15">
        <v>0</v>
      </c>
      <c r="O2577" s="16">
        <v>309.17127567746434</v>
      </c>
      <c r="P2577" s="17">
        <v>0</v>
      </c>
      <c r="Q2577" s="17">
        <v>0</v>
      </c>
      <c r="R2577" s="13"/>
      <c r="S2577" s="13"/>
      <c r="T2577" s="13"/>
      <c r="U2577" s="13"/>
      <c r="V2577" s="13"/>
      <c r="W2577" s="13"/>
    </row>
    <row r="2578" spans="1:23" x14ac:dyDescent="0.2">
      <c r="A2578"/>
      <c r="B2578"/>
      <c r="C2578"/>
      <c r="D2578"/>
      <c r="E2578"/>
      <c r="F2578"/>
      <c r="G2578"/>
      <c r="H2578"/>
      <c r="I2578"/>
      <c r="J2578"/>
      <c r="K2578" s="13" t="s">
        <v>584</v>
      </c>
      <c r="L2578" s="13" t="s">
        <v>411</v>
      </c>
      <c r="M2578" s="13" t="s">
        <v>362</v>
      </c>
      <c r="N2578" s="15">
        <v>15</v>
      </c>
      <c r="O2578" s="16">
        <v>0</v>
      </c>
      <c r="P2578" s="17">
        <v>0</v>
      </c>
      <c r="Q2578" s="17">
        <v>0</v>
      </c>
      <c r="R2578" s="13"/>
      <c r="S2578" s="13"/>
      <c r="T2578" s="13"/>
      <c r="U2578" s="13"/>
      <c r="V2578" s="13"/>
      <c r="W2578" s="13"/>
    </row>
    <row r="2579" spans="1:23" x14ac:dyDescent="0.2">
      <c r="A2579"/>
      <c r="B2579"/>
      <c r="C2579"/>
      <c r="D2579"/>
      <c r="E2579"/>
      <c r="F2579"/>
      <c r="G2579"/>
      <c r="H2579"/>
      <c r="I2579"/>
      <c r="J2579"/>
      <c r="K2579" s="13" t="s">
        <v>584</v>
      </c>
      <c r="L2579" s="13" t="s">
        <v>413</v>
      </c>
      <c r="M2579" s="13" t="s">
        <v>428</v>
      </c>
      <c r="N2579" s="15">
        <v>7</v>
      </c>
      <c r="O2579" s="16">
        <v>0</v>
      </c>
      <c r="P2579" s="17">
        <v>0</v>
      </c>
      <c r="Q2579" s="17">
        <v>0</v>
      </c>
      <c r="R2579" s="13"/>
      <c r="S2579" s="13"/>
      <c r="T2579" s="13"/>
      <c r="U2579" s="13"/>
      <c r="V2579" s="13"/>
      <c r="W2579" s="13"/>
    </row>
    <row r="2580" spans="1:23" x14ac:dyDescent="0.2">
      <c r="A2580"/>
      <c r="B2580"/>
      <c r="C2580"/>
      <c r="D2580"/>
      <c r="E2580"/>
      <c r="F2580"/>
      <c r="G2580"/>
      <c r="H2580"/>
      <c r="I2580"/>
      <c r="J2580"/>
      <c r="K2580" s="13" t="s">
        <v>584</v>
      </c>
      <c r="L2580" s="13" t="s">
        <v>475</v>
      </c>
      <c r="M2580" s="13" t="s">
        <v>470</v>
      </c>
      <c r="N2580" s="15">
        <v>5</v>
      </c>
      <c r="O2580" s="16">
        <v>0</v>
      </c>
      <c r="P2580" s="17">
        <v>0</v>
      </c>
      <c r="Q2580" s="17">
        <v>0</v>
      </c>
      <c r="R2580" s="13"/>
      <c r="S2580" s="13"/>
      <c r="T2580" s="13"/>
      <c r="U2580" s="13"/>
      <c r="V2580" s="13"/>
      <c r="W2580" s="13"/>
    </row>
    <row r="2581" spans="1:23" x14ac:dyDescent="0.2">
      <c r="A2581"/>
      <c r="B2581"/>
      <c r="C2581"/>
      <c r="D2581"/>
      <c r="E2581"/>
      <c r="F2581"/>
      <c r="G2581"/>
      <c r="H2581"/>
      <c r="I2581"/>
      <c r="J2581"/>
      <c r="K2581" s="13" t="s">
        <v>584</v>
      </c>
      <c r="L2581" s="13" t="s">
        <v>605</v>
      </c>
      <c r="M2581" s="13" t="s">
        <v>429</v>
      </c>
      <c r="N2581" s="15">
        <v>14</v>
      </c>
      <c r="O2581" s="16">
        <v>0</v>
      </c>
      <c r="P2581" s="17">
        <v>0</v>
      </c>
      <c r="Q2581" s="17">
        <v>0</v>
      </c>
      <c r="R2581" s="13"/>
      <c r="S2581" s="13"/>
      <c r="T2581" s="13"/>
      <c r="U2581" s="13"/>
      <c r="V2581" s="13"/>
      <c r="W2581" s="13"/>
    </row>
    <row r="2582" spans="1:23" x14ac:dyDescent="0.2">
      <c r="A2582"/>
      <c r="B2582"/>
      <c r="C2582"/>
      <c r="D2582"/>
      <c r="E2582"/>
      <c r="F2582"/>
      <c r="G2582"/>
      <c r="H2582"/>
      <c r="I2582"/>
      <c r="J2582"/>
      <c r="K2582" s="13" t="s">
        <v>584</v>
      </c>
      <c r="L2582" s="13" t="s">
        <v>606</v>
      </c>
      <c r="M2582" s="13" t="s">
        <v>430</v>
      </c>
      <c r="N2582" s="15">
        <v>63</v>
      </c>
      <c r="O2582" s="16">
        <v>0</v>
      </c>
      <c r="P2582" s="17">
        <v>0</v>
      </c>
      <c r="Q2582" s="17">
        <v>0</v>
      </c>
      <c r="R2582" s="13"/>
      <c r="S2582" s="13"/>
      <c r="T2582" s="13"/>
      <c r="U2582" s="13"/>
      <c r="V2582" s="13"/>
      <c r="W2582" s="13"/>
    </row>
    <row r="2583" spans="1:23" x14ac:dyDescent="0.2">
      <c r="A2583"/>
      <c r="B2583"/>
      <c r="C2583"/>
      <c r="D2583"/>
      <c r="E2583"/>
      <c r="F2583"/>
      <c r="G2583"/>
      <c r="H2583"/>
      <c r="I2583"/>
      <c r="J2583"/>
      <c r="K2583" s="13" t="s">
        <v>584</v>
      </c>
      <c r="L2583" s="13" t="s">
        <v>607</v>
      </c>
      <c r="M2583" s="13" t="s">
        <v>431</v>
      </c>
      <c r="N2583" s="15">
        <v>3</v>
      </c>
      <c r="O2583" s="16">
        <v>0</v>
      </c>
      <c r="P2583" s="17">
        <v>0</v>
      </c>
      <c r="Q2583" s="17">
        <v>0</v>
      </c>
      <c r="R2583" s="13"/>
      <c r="S2583" s="13"/>
      <c r="T2583" s="13"/>
      <c r="U2583" s="13"/>
      <c r="V2583" s="13"/>
      <c r="W2583" s="13"/>
    </row>
    <row r="2584" spans="1:23" x14ac:dyDescent="0.2">
      <c r="A2584"/>
      <c r="B2584"/>
      <c r="C2584"/>
      <c r="D2584"/>
      <c r="E2584"/>
      <c r="F2584"/>
      <c r="G2584"/>
      <c r="H2584"/>
      <c r="I2584"/>
      <c r="J2584"/>
      <c r="K2584" s="13" t="s">
        <v>584</v>
      </c>
      <c r="L2584" s="13" t="s">
        <v>608</v>
      </c>
      <c r="M2584" s="13" t="s">
        <v>432</v>
      </c>
      <c r="N2584" s="15">
        <v>52</v>
      </c>
      <c r="O2584" s="16">
        <v>0</v>
      </c>
      <c r="P2584" s="17">
        <v>0</v>
      </c>
      <c r="Q2584" s="17">
        <v>0</v>
      </c>
      <c r="R2584" s="13"/>
      <c r="S2584" s="13"/>
      <c r="T2584" s="13"/>
      <c r="U2584" s="13"/>
      <c r="V2584" s="13"/>
      <c r="W2584" s="13"/>
    </row>
    <row r="2585" spans="1:23" x14ac:dyDescent="0.2">
      <c r="A2585"/>
      <c r="B2585"/>
      <c r="C2585"/>
      <c r="D2585"/>
      <c r="E2585"/>
      <c r="F2585"/>
      <c r="G2585"/>
      <c r="H2585"/>
      <c r="I2585"/>
      <c r="J2585"/>
      <c r="K2585" s="13" t="s">
        <v>584</v>
      </c>
      <c r="L2585" s="13" t="s">
        <v>615</v>
      </c>
      <c r="M2585" s="13" t="s">
        <v>449</v>
      </c>
      <c r="N2585" s="15">
        <v>2</v>
      </c>
      <c r="O2585" s="16">
        <v>0</v>
      </c>
      <c r="P2585" s="17">
        <v>0</v>
      </c>
      <c r="Q2585" s="17">
        <v>0</v>
      </c>
      <c r="R2585" s="13"/>
      <c r="S2585" s="13"/>
      <c r="T2585" s="13"/>
      <c r="U2585" s="13"/>
      <c r="V2585" s="13"/>
      <c r="W2585" s="13"/>
    </row>
    <row r="2586" spans="1:23" x14ac:dyDescent="0.2">
      <c r="A2586"/>
      <c r="B2586"/>
      <c r="C2586"/>
      <c r="D2586"/>
      <c r="E2586"/>
      <c r="F2586"/>
      <c r="G2586"/>
      <c r="H2586"/>
      <c r="I2586"/>
      <c r="J2586"/>
      <c r="K2586" s="13" t="s">
        <v>584</v>
      </c>
      <c r="L2586" s="13" t="s">
        <v>415</v>
      </c>
      <c r="M2586" s="13" t="s">
        <v>412</v>
      </c>
      <c r="N2586" s="15">
        <v>0</v>
      </c>
      <c r="O2586" s="16">
        <v>0</v>
      </c>
      <c r="P2586" s="17">
        <v>79.080749995476339</v>
      </c>
      <c r="Q2586" s="17">
        <v>0</v>
      </c>
      <c r="R2586" s="13"/>
      <c r="S2586" s="13"/>
      <c r="T2586" s="13"/>
      <c r="U2586" s="13"/>
      <c r="V2586" s="13"/>
      <c r="W2586" s="13"/>
    </row>
    <row r="2587" spans="1:23" x14ac:dyDescent="0.2">
      <c r="A2587"/>
      <c r="B2587"/>
      <c r="C2587"/>
      <c r="D2587"/>
      <c r="E2587"/>
      <c r="F2587"/>
      <c r="G2587"/>
      <c r="H2587"/>
      <c r="I2587"/>
      <c r="J2587"/>
      <c r="K2587" s="13" t="s">
        <v>584</v>
      </c>
      <c r="L2587" s="13" t="s">
        <v>523</v>
      </c>
      <c r="M2587" s="13" t="s">
        <v>476</v>
      </c>
      <c r="N2587" s="15">
        <v>0</v>
      </c>
      <c r="O2587" s="16">
        <v>0</v>
      </c>
      <c r="P2587" s="17">
        <v>20.774699999154848</v>
      </c>
      <c r="Q2587" s="17">
        <v>0</v>
      </c>
      <c r="R2587" s="13"/>
      <c r="S2587" s="13"/>
      <c r="T2587" s="13"/>
      <c r="U2587" s="13"/>
      <c r="V2587" s="13"/>
      <c r="W2587" s="13"/>
    </row>
    <row r="2588" spans="1:23" x14ac:dyDescent="0.2">
      <c r="A2588"/>
      <c r="B2588"/>
      <c r="C2588"/>
      <c r="D2588"/>
      <c r="E2588"/>
      <c r="F2588"/>
      <c r="G2588"/>
      <c r="H2588"/>
      <c r="I2588"/>
      <c r="J2588"/>
      <c r="K2588" s="13" t="s">
        <v>584</v>
      </c>
      <c r="L2588" s="13" t="s">
        <v>609</v>
      </c>
      <c r="M2588" s="13" t="s">
        <v>416</v>
      </c>
      <c r="N2588" s="15">
        <v>0</v>
      </c>
      <c r="O2588" s="16">
        <v>160.22640542237784</v>
      </c>
      <c r="P2588" s="17">
        <v>0</v>
      </c>
      <c r="Q2588" s="17">
        <v>0</v>
      </c>
      <c r="R2588" s="13"/>
      <c r="S2588" s="13"/>
      <c r="T2588" s="13"/>
      <c r="U2588" s="13"/>
      <c r="V2588" s="13"/>
      <c r="W2588" s="13"/>
    </row>
    <row r="2589" spans="1:23" x14ac:dyDescent="0.2">
      <c r="A2589"/>
      <c r="B2589"/>
      <c r="C2589"/>
      <c r="D2589"/>
      <c r="E2589"/>
      <c r="F2589"/>
      <c r="G2589"/>
      <c r="H2589"/>
      <c r="I2589"/>
      <c r="J2589"/>
      <c r="K2589" s="13" t="s">
        <v>584</v>
      </c>
      <c r="L2589" s="13" t="s">
        <v>421</v>
      </c>
      <c r="M2589" s="13" t="s">
        <v>443</v>
      </c>
      <c r="N2589" s="15">
        <v>3</v>
      </c>
      <c r="O2589" s="16">
        <v>0</v>
      </c>
      <c r="P2589" s="17">
        <v>0</v>
      </c>
      <c r="Q2589" s="17">
        <v>0</v>
      </c>
      <c r="R2589" s="13"/>
      <c r="S2589" s="13"/>
      <c r="T2589" s="13"/>
      <c r="U2589" s="13"/>
      <c r="V2589" s="13"/>
      <c r="W2589" s="13"/>
    </row>
    <row r="2590" spans="1:23" x14ac:dyDescent="0.2">
      <c r="A2590"/>
      <c r="B2590"/>
      <c r="C2590"/>
      <c r="D2590"/>
      <c r="E2590"/>
      <c r="F2590"/>
      <c r="G2590"/>
      <c r="H2590"/>
      <c r="I2590"/>
      <c r="J2590"/>
      <c r="K2590" s="13" t="s">
        <v>584</v>
      </c>
      <c r="L2590" s="13" t="s">
        <v>383</v>
      </c>
      <c r="M2590" s="13" t="s">
        <v>420</v>
      </c>
      <c r="N2590" s="15">
        <v>30</v>
      </c>
      <c r="O2590" s="16">
        <v>0</v>
      </c>
      <c r="P2590" s="17">
        <v>0</v>
      </c>
      <c r="Q2590" s="17">
        <v>0</v>
      </c>
      <c r="R2590" s="13"/>
      <c r="S2590" s="13"/>
      <c r="T2590" s="13"/>
      <c r="U2590" s="13"/>
      <c r="V2590" s="13"/>
      <c r="W2590" s="13"/>
    </row>
    <row r="2591" spans="1:23" x14ac:dyDescent="0.2">
      <c r="A2591"/>
      <c r="B2591"/>
      <c r="C2591"/>
      <c r="D2591"/>
      <c r="E2591"/>
      <c r="F2591"/>
      <c r="G2591"/>
      <c r="H2591"/>
      <c r="I2591"/>
      <c r="J2591"/>
      <c r="K2591" s="13" t="s">
        <v>584</v>
      </c>
      <c r="L2591" s="13" t="s">
        <v>528</v>
      </c>
      <c r="M2591" s="13" t="s">
        <v>384</v>
      </c>
      <c r="N2591" s="15">
        <v>0</v>
      </c>
      <c r="O2591" s="16">
        <v>74.719967032572796</v>
      </c>
      <c r="P2591" s="17">
        <v>0</v>
      </c>
      <c r="Q2591" s="17">
        <v>0</v>
      </c>
      <c r="R2591" s="13"/>
      <c r="S2591" s="13"/>
      <c r="T2591" s="13"/>
      <c r="U2591" s="13"/>
      <c r="V2591" s="13"/>
      <c r="W2591" s="13"/>
    </row>
    <row r="2592" spans="1:23" x14ac:dyDescent="0.2">
      <c r="A2592"/>
      <c r="B2592"/>
      <c r="C2592"/>
      <c r="D2592"/>
      <c r="E2592"/>
      <c r="F2592"/>
      <c r="G2592"/>
      <c r="H2592"/>
      <c r="I2592"/>
      <c r="J2592"/>
      <c r="K2592" s="13" t="s">
        <v>584</v>
      </c>
      <c r="L2592" s="13" t="s">
        <v>613</v>
      </c>
      <c r="M2592" s="13" t="s">
        <v>444</v>
      </c>
      <c r="N2592" s="15">
        <v>0</v>
      </c>
      <c r="O2592" s="16">
        <v>189.95962926387551</v>
      </c>
      <c r="P2592" s="17">
        <v>0</v>
      </c>
      <c r="Q2592" s="17">
        <v>0</v>
      </c>
      <c r="R2592" s="13"/>
      <c r="S2592" s="13"/>
      <c r="T2592" s="13"/>
      <c r="U2592" s="13"/>
      <c r="V2592" s="13"/>
      <c r="W2592" s="13"/>
    </row>
    <row r="2593" spans="1:23" x14ac:dyDescent="0.2">
      <c r="A2593"/>
      <c r="B2593"/>
      <c r="C2593"/>
      <c r="D2593"/>
      <c r="E2593"/>
      <c r="F2593"/>
      <c r="G2593"/>
      <c r="H2593"/>
      <c r="I2593"/>
      <c r="J2593"/>
      <c r="K2593" s="13" t="s">
        <v>584</v>
      </c>
      <c r="L2593" s="13" t="s">
        <v>611</v>
      </c>
      <c r="M2593" s="13" t="s">
        <v>423</v>
      </c>
      <c r="N2593" s="15">
        <v>0</v>
      </c>
      <c r="O2593" s="16">
        <v>157.07579458640438</v>
      </c>
      <c r="P2593" s="17">
        <v>0</v>
      </c>
      <c r="Q2593" s="17">
        <v>0</v>
      </c>
      <c r="R2593" s="13"/>
      <c r="S2593" s="13"/>
      <c r="T2593" s="13"/>
      <c r="U2593" s="13"/>
      <c r="V2593" s="13"/>
      <c r="W2593" s="13"/>
    </row>
    <row r="2594" spans="1:23" x14ac:dyDescent="0.2">
      <c r="A2594"/>
      <c r="B2594"/>
      <c r="C2594"/>
      <c r="D2594"/>
      <c r="E2594"/>
      <c r="F2594"/>
      <c r="G2594"/>
      <c r="H2594"/>
      <c r="I2594"/>
      <c r="J2594"/>
      <c r="K2594" s="13" t="s">
        <v>584</v>
      </c>
      <c r="L2594" s="13" t="s">
        <v>446</v>
      </c>
      <c r="M2594" s="13" t="s">
        <v>371</v>
      </c>
      <c r="N2594" s="15">
        <v>33</v>
      </c>
      <c r="O2594" s="16">
        <v>0</v>
      </c>
      <c r="P2594" s="17">
        <v>0</v>
      </c>
      <c r="Q2594" s="17">
        <v>0</v>
      </c>
      <c r="R2594" s="13"/>
      <c r="S2594" s="13"/>
      <c r="T2594" s="13"/>
      <c r="U2594" s="13"/>
      <c r="V2594" s="13"/>
      <c r="W2594" s="13"/>
    </row>
    <row r="2595" spans="1:23" x14ac:dyDescent="0.2">
      <c r="A2595"/>
      <c r="B2595"/>
      <c r="C2595"/>
      <c r="D2595"/>
      <c r="E2595"/>
      <c r="F2595"/>
      <c r="G2595"/>
      <c r="H2595"/>
      <c r="I2595"/>
      <c r="J2595"/>
      <c r="K2595" s="13" t="s">
        <v>584</v>
      </c>
      <c r="L2595" s="13" t="s">
        <v>424</v>
      </c>
      <c r="M2595" s="13" t="s">
        <v>468</v>
      </c>
      <c r="N2595" s="15">
        <v>0</v>
      </c>
      <c r="O2595" s="16">
        <v>0</v>
      </c>
      <c r="P2595" s="17">
        <v>365.11179999837879</v>
      </c>
      <c r="Q2595" s="17">
        <v>0</v>
      </c>
      <c r="R2595" s="13"/>
      <c r="S2595" s="13"/>
      <c r="T2595" s="13"/>
      <c r="U2595" s="13"/>
      <c r="V2595" s="13"/>
      <c r="W2595" s="13"/>
    </row>
    <row r="2596" spans="1:23" x14ac:dyDescent="0.2">
      <c r="A2596"/>
      <c r="B2596"/>
      <c r="C2596"/>
      <c r="D2596"/>
      <c r="E2596"/>
      <c r="F2596"/>
      <c r="G2596"/>
      <c r="H2596"/>
      <c r="I2596"/>
      <c r="J2596"/>
      <c r="K2596" s="13" t="s">
        <v>584</v>
      </c>
      <c r="L2596" s="13" t="s">
        <v>484</v>
      </c>
      <c r="M2596" s="13" t="s">
        <v>529</v>
      </c>
      <c r="N2596" s="15">
        <v>0</v>
      </c>
      <c r="O2596" s="16">
        <v>117.59431864563673</v>
      </c>
      <c r="P2596" s="17">
        <v>0</v>
      </c>
      <c r="Q2596" s="17">
        <v>0</v>
      </c>
      <c r="R2596" s="13"/>
      <c r="S2596" s="13"/>
      <c r="T2596" s="13"/>
      <c r="U2596" s="13"/>
      <c r="V2596" s="13"/>
      <c r="W2596" s="13"/>
    </row>
    <row r="2597" spans="1:23" x14ac:dyDescent="0.2">
      <c r="A2597"/>
      <c r="B2597"/>
      <c r="C2597"/>
      <c r="D2597"/>
      <c r="E2597"/>
      <c r="F2597"/>
      <c r="G2597"/>
      <c r="H2597"/>
      <c r="I2597"/>
      <c r="J2597"/>
      <c r="K2597" s="13" t="s">
        <v>584</v>
      </c>
      <c r="L2597" s="13" t="s">
        <v>469</v>
      </c>
      <c r="M2597" s="13" t="s">
        <v>426</v>
      </c>
      <c r="N2597" s="15">
        <v>4</v>
      </c>
      <c r="O2597" s="16">
        <v>0</v>
      </c>
      <c r="P2597" s="17">
        <v>0</v>
      </c>
      <c r="Q2597" s="17">
        <v>0</v>
      </c>
      <c r="R2597" s="13"/>
      <c r="S2597" s="13"/>
      <c r="T2597" s="13"/>
      <c r="U2597" s="13"/>
      <c r="V2597" s="13"/>
      <c r="W2597" s="13"/>
    </row>
    <row r="2598" spans="1:23" x14ac:dyDescent="0.2">
      <c r="A2598"/>
      <c r="B2598"/>
      <c r="C2598"/>
      <c r="D2598"/>
      <c r="E2598"/>
      <c r="F2598"/>
      <c r="G2598"/>
      <c r="H2598"/>
      <c r="I2598"/>
      <c r="J2598"/>
      <c r="K2598" s="13" t="s">
        <v>584</v>
      </c>
      <c r="L2598" s="13" t="s">
        <v>454</v>
      </c>
      <c r="M2598" s="13" t="s">
        <v>455</v>
      </c>
      <c r="N2598" s="15">
        <v>0</v>
      </c>
      <c r="O2598" s="16">
        <v>0</v>
      </c>
      <c r="P2598" s="17">
        <v>246.16694999469397</v>
      </c>
      <c r="Q2598" s="17">
        <v>0</v>
      </c>
      <c r="R2598" s="13"/>
      <c r="S2598" s="13"/>
      <c r="T2598" s="13"/>
      <c r="U2598" s="13"/>
      <c r="V2598" s="13"/>
      <c r="W2598" s="13"/>
    </row>
    <row r="2599" spans="1:23" x14ac:dyDescent="0.2">
      <c r="A2599"/>
      <c r="B2599"/>
      <c r="C2599"/>
      <c r="D2599"/>
      <c r="E2599"/>
      <c r="F2599"/>
      <c r="G2599"/>
      <c r="H2599"/>
      <c r="I2599"/>
      <c r="J2599"/>
      <c r="K2599" s="13" t="s">
        <v>585</v>
      </c>
      <c r="L2599" s="13" t="s">
        <v>435</v>
      </c>
      <c r="M2599" s="13" t="s">
        <v>364</v>
      </c>
      <c r="N2599" s="15">
        <v>0</v>
      </c>
      <c r="O2599" s="16">
        <v>0</v>
      </c>
      <c r="P2599" s="17">
        <v>5.8750500024209495</v>
      </c>
      <c r="Q2599" s="17">
        <v>0</v>
      </c>
      <c r="R2599" s="13"/>
      <c r="S2599" s="13"/>
      <c r="T2599" s="13"/>
      <c r="U2599" s="13"/>
      <c r="V2599" s="13"/>
      <c r="W2599" s="13"/>
    </row>
    <row r="2600" spans="1:23" x14ac:dyDescent="0.2">
      <c r="A2600"/>
      <c r="B2600"/>
      <c r="C2600"/>
      <c r="D2600"/>
      <c r="E2600"/>
      <c r="F2600"/>
      <c r="G2600"/>
      <c r="H2600"/>
      <c r="I2600"/>
      <c r="J2600"/>
      <c r="K2600" s="13" t="s">
        <v>585</v>
      </c>
      <c r="L2600" s="13" t="s">
        <v>387</v>
      </c>
      <c r="M2600" s="13" t="s">
        <v>386</v>
      </c>
      <c r="N2600" s="15">
        <v>0</v>
      </c>
      <c r="O2600" s="16">
        <v>0</v>
      </c>
      <c r="P2600" s="17">
        <v>3778.154249903876</v>
      </c>
      <c r="Q2600" s="17">
        <v>0</v>
      </c>
      <c r="R2600" s="13"/>
      <c r="S2600" s="13"/>
      <c r="T2600" s="13"/>
      <c r="U2600" s="13"/>
      <c r="V2600" s="13"/>
      <c r="W2600" s="13"/>
    </row>
    <row r="2601" spans="1:23" x14ac:dyDescent="0.2">
      <c r="A2601"/>
      <c r="B2601"/>
      <c r="C2601"/>
      <c r="D2601"/>
      <c r="E2601"/>
      <c r="F2601"/>
      <c r="G2601"/>
      <c r="H2601"/>
      <c r="I2601"/>
      <c r="J2601"/>
      <c r="K2601" s="13" t="s">
        <v>585</v>
      </c>
      <c r="L2601" s="13" t="s">
        <v>389</v>
      </c>
      <c r="M2601" s="13" t="s">
        <v>388</v>
      </c>
      <c r="N2601" s="15">
        <v>0</v>
      </c>
      <c r="O2601" s="16">
        <v>0</v>
      </c>
      <c r="P2601" s="17">
        <v>778.43423121085198</v>
      </c>
      <c r="Q2601" s="17">
        <v>0</v>
      </c>
      <c r="R2601" s="13"/>
      <c r="S2601" s="13"/>
      <c r="T2601" s="13"/>
      <c r="U2601" s="13"/>
      <c r="V2601" s="13"/>
      <c r="W2601" s="13"/>
    </row>
    <row r="2602" spans="1:23" x14ac:dyDescent="0.2">
      <c r="A2602"/>
      <c r="B2602"/>
      <c r="C2602"/>
      <c r="D2602"/>
      <c r="E2602"/>
      <c r="F2602"/>
      <c r="G2602"/>
      <c r="H2602"/>
      <c r="I2602"/>
      <c r="J2602"/>
      <c r="K2602" s="13" t="s">
        <v>585</v>
      </c>
      <c r="L2602" s="13" t="s">
        <v>391</v>
      </c>
      <c r="M2602" s="13" t="s">
        <v>358</v>
      </c>
      <c r="N2602" s="15">
        <v>0</v>
      </c>
      <c r="O2602" s="16">
        <v>0</v>
      </c>
      <c r="P2602" s="17">
        <v>381.27373801347159</v>
      </c>
      <c r="Q2602" s="17">
        <v>0</v>
      </c>
      <c r="R2602" s="13"/>
      <c r="S2602" s="13"/>
      <c r="T2602" s="13"/>
      <c r="U2602" s="13"/>
      <c r="V2602" s="13"/>
      <c r="W2602" s="13"/>
    </row>
    <row r="2603" spans="1:23" x14ac:dyDescent="0.2">
      <c r="A2603"/>
      <c r="B2603"/>
      <c r="C2603"/>
      <c r="D2603"/>
      <c r="E2603"/>
      <c r="F2603"/>
      <c r="G2603"/>
      <c r="H2603"/>
      <c r="I2603"/>
      <c r="J2603"/>
      <c r="K2603" s="13" t="s">
        <v>585</v>
      </c>
      <c r="L2603" s="13" t="s">
        <v>436</v>
      </c>
      <c r="M2603" s="13" t="s">
        <v>487</v>
      </c>
      <c r="N2603" s="15">
        <v>0</v>
      </c>
      <c r="O2603" s="16">
        <v>0</v>
      </c>
      <c r="P2603" s="17">
        <v>13.981899999742769</v>
      </c>
      <c r="Q2603" s="17">
        <v>0</v>
      </c>
      <c r="R2603" s="13"/>
      <c r="S2603" s="13"/>
      <c r="T2603" s="13"/>
      <c r="U2603" s="13"/>
      <c r="V2603" s="13"/>
      <c r="W2603" s="13"/>
    </row>
    <row r="2604" spans="1:23" x14ac:dyDescent="0.2">
      <c r="A2604"/>
      <c r="B2604"/>
      <c r="C2604"/>
      <c r="D2604"/>
      <c r="E2604"/>
      <c r="F2604"/>
      <c r="G2604"/>
      <c r="H2604"/>
      <c r="I2604"/>
      <c r="J2604"/>
      <c r="K2604" s="13" t="s">
        <v>585</v>
      </c>
      <c r="L2604" s="13" t="s">
        <v>621</v>
      </c>
      <c r="M2604" s="13" t="s">
        <v>520</v>
      </c>
      <c r="N2604" s="15">
        <v>0</v>
      </c>
      <c r="O2604" s="16">
        <v>0</v>
      </c>
      <c r="P2604" s="17">
        <v>487.08245000716181</v>
      </c>
      <c r="Q2604" s="17">
        <v>0</v>
      </c>
      <c r="R2604" s="13"/>
      <c r="S2604" s="13"/>
      <c r="T2604" s="13"/>
      <c r="U2604" s="13"/>
      <c r="V2604" s="13"/>
      <c r="W2604" s="13"/>
    </row>
    <row r="2605" spans="1:23" x14ac:dyDescent="0.2">
      <c r="A2605"/>
      <c r="B2605"/>
      <c r="C2605"/>
      <c r="D2605"/>
      <c r="E2605"/>
      <c r="F2605"/>
      <c r="G2605"/>
      <c r="H2605"/>
      <c r="I2605"/>
      <c r="J2605"/>
      <c r="K2605" s="13" t="s">
        <v>585</v>
      </c>
      <c r="L2605" s="13" t="s">
        <v>465</v>
      </c>
      <c r="M2605" s="13" t="s">
        <v>514</v>
      </c>
      <c r="N2605" s="15">
        <v>0</v>
      </c>
      <c r="O2605" s="16">
        <v>0</v>
      </c>
      <c r="P2605" s="17">
        <v>12.83194999752806</v>
      </c>
      <c r="Q2605" s="17">
        <v>0</v>
      </c>
      <c r="R2605" s="13"/>
      <c r="S2605" s="13"/>
      <c r="T2605" s="13"/>
      <c r="U2605" s="13"/>
      <c r="V2605" s="13"/>
      <c r="W2605" s="13"/>
    </row>
    <row r="2606" spans="1:23" x14ac:dyDescent="0.2">
      <c r="A2606"/>
      <c r="B2606"/>
      <c r="C2606"/>
      <c r="D2606"/>
      <c r="E2606"/>
      <c r="F2606"/>
      <c r="G2606"/>
      <c r="H2606"/>
      <c r="I2606"/>
      <c r="J2606"/>
      <c r="K2606" s="13" t="s">
        <v>585</v>
      </c>
      <c r="L2606" s="13" t="s">
        <v>512</v>
      </c>
      <c r="M2606" s="13" t="s">
        <v>466</v>
      </c>
      <c r="N2606" s="15">
        <v>0</v>
      </c>
      <c r="O2606" s="16">
        <v>0</v>
      </c>
      <c r="P2606" s="17">
        <v>141.86815001304092</v>
      </c>
      <c r="Q2606" s="17">
        <v>0</v>
      </c>
      <c r="R2606" s="13"/>
      <c r="S2606" s="13"/>
      <c r="T2606" s="13"/>
      <c r="U2606" s="13"/>
      <c r="V2606" s="13"/>
      <c r="W2606" s="13"/>
    </row>
    <row r="2607" spans="1:23" x14ac:dyDescent="0.2">
      <c r="A2607"/>
      <c r="B2607"/>
      <c r="C2607"/>
      <c r="D2607"/>
      <c r="E2607"/>
      <c r="F2607"/>
      <c r="G2607"/>
      <c r="H2607"/>
      <c r="I2607"/>
      <c r="J2607"/>
      <c r="K2607" s="13" t="s">
        <v>585</v>
      </c>
      <c r="L2607" s="13" t="s">
        <v>532</v>
      </c>
      <c r="M2607" s="13" t="s">
        <v>620</v>
      </c>
      <c r="N2607" s="15">
        <v>0</v>
      </c>
      <c r="O2607" s="16">
        <v>0</v>
      </c>
      <c r="P2607" s="17">
        <v>230.42631539661573</v>
      </c>
      <c r="Q2607" s="17">
        <v>0</v>
      </c>
      <c r="R2607" s="13"/>
      <c r="S2607" s="13"/>
      <c r="T2607" s="13"/>
      <c r="U2607" s="13"/>
      <c r="V2607" s="13"/>
      <c r="W2607" s="13"/>
    </row>
    <row r="2608" spans="1:23" x14ac:dyDescent="0.2">
      <c r="A2608"/>
      <c r="B2608"/>
      <c r="C2608"/>
      <c r="D2608"/>
      <c r="E2608"/>
      <c r="F2608"/>
      <c r="G2608"/>
      <c r="H2608"/>
      <c r="I2608"/>
      <c r="J2608"/>
      <c r="K2608" s="13" t="s">
        <v>585</v>
      </c>
      <c r="L2608" s="13" t="s">
        <v>440</v>
      </c>
      <c r="M2608" s="13" t="s">
        <v>441</v>
      </c>
      <c r="N2608" s="15">
        <v>4</v>
      </c>
      <c r="O2608" s="16">
        <v>0</v>
      </c>
      <c r="P2608" s="17">
        <v>0</v>
      </c>
      <c r="Q2608" s="17">
        <v>0</v>
      </c>
      <c r="R2608" s="13"/>
      <c r="S2608" s="13"/>
      <c r="T2608" s="13"/>
      <c r="U2608" s="13"/>
      <c r="V2608" s="13"/>
      <c r="W2608" s="13"/>
    </row>
    <row r="2609" spans="1:23" x14ac:dyDescent="0.2">
      <c r="A2609"/>
      <c r="B2609"/>
      <c r="C2609"/>
      <c r="D2609"/>
      <c r="E2609"/>
      <c r="F2609"/>
      <c r="G2609"/>
      <c r="H2609"/>
      <c r="I2609"/>
      <c r="J2609"/>
      <c r="K2609" s="13" t="s">
        <v>585</v>
      </c>
      <c r="L2609" s="13" t="s">
        <v>395</v>
      </c>
      <c r="M2609" s="13" t="s">
        <v>602</v>
      </c>
      <c r="N2609" s="15">
        <v>1</v>
      </c>
      <c r="O2609" s="16">
        <v>0</v>
      </c>
      <c r="P2609" s="17">
        <v>0</v>
      </c>
      <c r="Q2609" s="17">
        <v>0</v>
      </c>
      <c r="R2609" s="13"/>
      <c r="S2609" s="13"/>
      <c r="T2609" s="13"/>
      <c r="U2609" s="13"/>
      <c r="V2609" s="13"/>
      <c r="W2609" s="13"/>
    </row>
    <row r="2610" spans="1:23" x14ac:dyDescent="0.2">
      <c r="A2610"/>
      <c r="B2610"/>
      <c r="C2610"/>
      <c r="D2610"/>
      <c r="E2610"/>
      <c r="F2610"/>
      <c r="G2610"/>
      <c r="H2610"/>
      <c r="I2610"/>
      <c r="J2610"/>
      <c r="K2610" s="13" t="s">
        <v>585</v>
      </c>
      <c r="L2610" s="13" t="s">
        <v>397</v>
      </c>
      <c r="M2610" s="13" t="s">
        <v>398</v>
      </c>
      <c r="N2610" s="15">
        <v>0</v>
      </c>
      <c r="O2610" s="16">
        <v>0</v>
      </c>
      <c r="P2610" s="17">
        <v>60.6232499999496</v>
      </c>
      <c r="Q2610" s="17">
        <v>0</v>
      </c>
      <c r="R2610" s="13"/>
      <c r="S2610" s="13"/>
      <c r="T2610" s="13"/>
      <c r="U2610" s="13"/>
      <c r="V2610" s="13"/>
      <c r="W2610" s="13"/>
    </row>
    <row r="2611" spans="1:23" x14ac:dyDescent="0.2">
      <c r="A2611"/>
      <c r="B2611"/>
      <c r="C2611"/>
      <c r="D2611"/>
      <c r="E2611"/>
      <c r="F2611"/>
      <c r="G2611"/>
      <c r="H2611"/>
      <c r="I2611"/>
      <c r="J2611"/>
      <c r="K2611" s="13" t="s">
        <v>585</v>
      </c>
      <c r="L2611" s="13" t="s">
        <v>399</v>
      </c>
      <c r="M2611" s="13" t="s">
        <v>400</v>
      </c>
      <c r="N2611" s="15">
        <v>0</v>
      </c>
      <c r="O2611" s="16">
        <v>0</v>
      </c>
      <c r="P2611" s="17">
        <v>156.99035000427253</v>
      </c>
      <c r="Q2611" s="17">
        <v>0</v>
      </c>
      <c r="R2611" s="13"/>
      <c r="S2611" s="13"/>
      <c r="T2611" s="13"/>
      <c r="U2611" s="13"/>
      <c r="V2611" s="13"/>
      <c r="W2611" s="13"/>
    </row>
    <row r="2612" spans="1:23" x14ac:dyDescent="0.2">
      <c r="A2612"/>
      <c r="B2612"/>
      <c r="C2612"/>
      <c r="D2612"/>
      <c r="E2612"/>
      <c r="F2612"/>
      <c r="G2612"/>
      <c r="H2612"/>
      <c r="I2612"/>
      <c r="J2612"/>
      <c r="K2612" s="13" t="s">
        <v>585</v>
      </c>
      <c r="L2612" s="13" t="s">
        <v>401</v>
      </c>
      <c r="M2612" s="13" t="s">
        <v>360</v>
      </c>
      <c r="N2612" s="15">
        <v>0</v>
      </c>
      <c r="O2612" s="16">
        <v>0</v>
      </c>
      <c r="P2612" s="17">
        <v>3703.9005500047574</v>
      </c>
      <c r="Q2612" s="17">
        <v>0</v>
      </c>
      <c r="R2612" s="13"/>
      <c r="S2612" s="13"/>
      <c r="T2612" s="13"/>
      <c r="U2612" s="13"/>
      <c r="V2612" s="13"/>
      <c r="W2612" s="13"/>
    </row>
    <row r="2613" spans="1:23" x14ac:dyDescent="0.2">
      <c r="A2613"/>
      <c r="B2613"/>
      <c r="C2613"/>
      <c r="D2613"/>
      <c r="E2613"/>
      <c r="F2613"/>
      <c r="G2613"/>
      <c r="H2613"/>
      <c r="I2613"/>
      <c r="J2613"/>
      <c r="K2613" s="13" t="s">
        <v>585</v>
      </c>
      <c r="L2613" s="13" t="s">
        <v>511</v>
      </c>
      <c r="M2613" s="13" t="s">
        <v>377</v>
      </c>
      <c r="N2613" s="15">
        <v>0</v>
      </c>
      <c r="O2613" s="16">
        <v>0</v>
      </c>
      <c r="P2613" s="17">
        <v>179.46109999257826</v>
      </c>
      <c r="Q2613" s="17">
        <v>0</v>
      </c>
      <c r="R2613" s="13"/>
      <c r="S2613" s="13"/>
      <c r="T2613" s="13"/>
      <c r="U2613" s="13"/>
      <c r="V2613" s="13"/>
      <c r="W2613" s="13"/>
    </row>
    <row r="2614" spans="1:23" x14ac:dyDescent="0.2">
      <c r="A2614"/>
      <c r="B2614"/>
      <c r="C2614"/>
      <c r="D2614"/>
      <c r="E2614"/>
      <c r="F2614"/>
      <c r="G2614"/>
      <c r="H2614"/>
      <c r="I2614"/>
      <c r="J2614"/>
      <c r="K2614" s="13" t="s">
        <v>585</v>
      </c>
      <c r="L2614" s="13" t="s">
        <v>402</v>
      </c>
      <c r="M2614" s="13" t="s">
        <v>403</v>
      </c>
      <c r="N2614" s="15">
        <v>0</v>
      </c>
      <c r="O2614" s="16">
        <v>0</v>
      </c>
      <c r="P2614" s="17">
        <v>10653.926184123162</v>
      </c>
      <c r="Q2614" s="17">
        <v>0</v>
      </c>
      <c r="R2614" s="13"/>
      <c r="S2614" s="13"/>
      <c r="T2614" s="13"/>
      <c r="U2614" s="13"/>
      <c r="V2614" s="13"/>
      <c r="W2614" s="13"/>
    </row>
    <row r="2615" spans="1:23" x14ac:dyDescent="0.2">
      <c r="A2615"/>
      <c r="B2615"/>
      <c r="C2615"/>
      <c r="D2615"/>
      <c r="E2615"/>
      <c r="F2615"/>
      <c r="G2615"/>
      <c r="H2615"/>
      <c r="I2615"/>
      <c r="J2615"/>
      <c r="K2615" s="13" t="s">
        <v>585</v>
      </c>
      <c r="L2615" s="13" t="s">
        <v>448</v>
      </c>
      <c r="M2615" s="13" t="s">
        <v>366</v>
      </c>
      <c r="N2615" s="15">
        <v>0</v>
      </c>
      <c r="O2615" s="16">
        <v>0</v>
      </c>
      <c r="P2615" s="17">
        <v>296.81423460028333</v>
      </c>
      <c r="Q2615" s="17">
        <v>0</v>
      </c>
      <c r="R2615" s="13"/>
      <c r="S2615" s="13"/>
      <c r="T2615" s="13"/>
      <c r="U2615" s="13"/>
      <c r="V2615" s="13"/>
      <c r="W2615" s="13"/>
    </row>
    <row r="2616" spans="1:23" x14ac:dyDescent="0.2">
      <c r="A2616"/>
      <c r="B2616"/>
      <c r="C2616"/>
      <c r="D2616"/>
      <c r="E2616"/>
      <c r="F2616"/>
      <c r="G2616"/>
      <c r="H2616"/>
      <c r="I2616"/>
      <c r="J2616"/>
      <c r="K2616" s="13" t="s">
        <v>585</v>
      </c>
      <c r="L2616" s="13" t="s">
        <v>462</v>
      </c>
      <c r="M2616" s="13" t="s">
        <v>370</v>
      </c>
      <c r="N2616" s="15">
        <v>0</v>
      </c>
      <c r="O2616" s="16">
        <v>0</v>
      </c>
      <c r="P2616" s="17">
        <v>399.78204997777777</v>
      </c>
      <c r="Q2616" s="17">
        <v>0</v>
      </c>
      <c r="R2616" s="13"/>
      <c r="S2616" s="13"/>
      <c r="T2616" s="13"/>
      <c r="U2616" s="13"/>
      <c r="V2616" s="13"/>
      <c r="W2616" s="13"/>
    </row>
    <row r="2617" spans="1:23" x14ac:dyDescent="0.2">
      <c r="A2617"/>
      <c r="B2617"/>
      <c r="C2617"/>
      <c r="D2617"/>
      <c r="E2617"/>
      <c r="F2617"/>
      <c r="G2617"/>
      <c r="H2617"/>
      <c r="I2617"/>
      <c r="J2617"/>
      <c r="K2617" s="13" t="s">
        <v>585</v>
      </c>
      <c r="L2617" s="13" t="s">
        <v>404</v>
      </c>
      <c r="M2617" s="13" t="s">
        <v>405</v>
      </c>
      <c r="N2617" s="15">
        <v>0</v>
      </c>
      <c r="O2617" s="16">
        <v>0</v>
      </c>
      <c r="P2617" s="17">
        <v>22.932050003679635</v>
      </c>
      <c r="Q2617" s="17">
        <v>68.313453017753048</v>
      </c>
      <c r="R2617" s="13"/>
      <c r="S2617" s="13"/>
      <c r="T2617" s="13"/>
      <c r="U2617" s="13"/>
      <c r="V2617" s="13"/>
      <c r="W2617" s="13"/>
    </row>
    <row r="2618" spans="1:23" x14ac:dyDescent="0.2">
      <c r="A2618"/>
      <c r="B2618"/>
      <c r="C2618"/>
      <c r="D2618"/>
      <c r="E2618"/>
      <c r="F2618"/>
      <c r="G2618"/>
      <c r="H2618"/>
      <c r="I2618"/>
      <c r="J2618"/>
      <c r="K2618" s="13" t="s">
        <v>585</v>
      </c>
      <c r="L2618" s="13" t="s">
        <v>406</v>
      </c>
      <c r="M2618" s="13" t="s">
        <v>361</v>
      </c>
      <c r="N2618" s="15">
        <v>0</v>
      </c>
      <c r="O2618" s="16">
        <v>0</v>
      </c>
      <c r="P2618" s="17">
        <v>136.11050001686078</v>
      </c>
      <c r="Q2618" s="17">
        <v>280.29581580630179</v>
      </c>
      <c r="R2618" s="13"/>
      <c r="S2618" s="13"/>
      <c r="T2618" s="13"/>
      <c r="U2618" s="13"/>
      <c r="V2618" s="13"/>
      <c r="W2618" s="13"/>
    </row>
    <row r="2619" spans="1:23" x14ac:dyDescent="0.2">
      <c r="A2619"/>
      <c r="B2619"/>
      <c r="C2619"/>
      <c r="D2619"/>
      <c r="E2619"/>
      <c r="F2619"/>
      <c r="G2619"/>
      <c r="H2619"/>
      <c r="I2619"/>
      <c r="J2619"/>
      <c r="K2619" s="13" t="s">
        <v>585</v>
      </c>
      <c r="L2619" s="13" t="s">
        <v>381</v>
      </c>
      <c r="M2619" s="13" t="s">
        <v>382</v>
      </c>
      <c r="N2619" s="15">
        <v>98</v>
      </c>
      <c r="O2619" s="16">
        <v>0</v>
      </c>
      <c r="P2619" s="17">
        <v>0</v>
      </c>
      <c r="Q2619" s="17">
        <v>0</v>
      </c>
      <c r="R2619" s="13"/>
      <c r="S2619" s="13"/>
      <c r="T2619" s="13"/>
      <c r="U2619" s="13"/>
      <c r="V2619" s="13"/>
      <c r="W2619" s="13"/>
    </row>
    <row r="2620" spans="1:23" x14ac:dyDescent="0.2">
      <c r="A2620"/>
      <c r="B2620"/>
      <c r="C2620"/>
      <c r="D2620"/>
      <c r="E2620"/>
      <c r="F2620"/>
      <c r="G2620"/>
      <c r="H2620"/>
      <c r="I2620"/>
      <c r="J2620"/>
      <c r="K2620" s="13" t="s">
        <v>585</v>
      </c>
      <c r="L2620" s="13" t="s">
        <v>411</v>
      </c>
      <c r="M2620" s="13" t="s">
        <v>362</v>
      </c>
      <c r="N2620" s="15">
        <v>0</v>
      </c>
      <c r="O2620" s="16">
        <v>0</v>
      </c>
      <c r="P2620" s="17">
        <v>172.14864998786527</v>
      </c>
      <c r="Q2620" s="17">
        <v>0</v>
      </c>
      <c r="R2620" s="13"/>
      <c r="S2620" s="13"/>
      <c r="T2620" s="13"/>
      <c r="U2620" s="13"/>
      <c r="V2620" s="13"/>
      <c r="W2620" s="13"/>
    </row>
    <row r="2621" spans="1:23" x14ac:dyDescent="0.2">
      <c r="A2621"/>
      <c r="B2621"/>
      <c r="C2621"/>
      <c r="D2621"/>
      <c r="E2621"/>
      <c r="F2621"/>
      <c r="G2621"/>
      <c r="H2621"/>
      <c r="I2621"/>
      <c r="J2621"/>
      <c r="K2621" s="13" t="s">
        <v>585</v>
      </c>
      <c r="L2621" s="13" t="s">
        <v>411</v>
      </c>
      <c r="M2621" s="13" t="s">
        <v>362</v>
      </c>
      <c r="N2621" s="15">
        <v>0</v>
      </c>
      <c r="O2621" s="16">
        <v>159.68679330696025</v>
      </c>
      <c r="P2621" s="17">
        <v>0</v>
      </c>
      <c r="Q2621" s="17">
        <v>0</v>
      </c>
      <c r="R2621" s="13"/>
      <c r="S2621" s="13"/>
      <c r="T2621" s="13"/>
      <c r="U2621" s="13"/>
      <c r="V2621" s="13"/>
      <c r="W2621" s="13"/>
    </row>
    <row r="2622" spans="1:23" x14ac:dyDescent="0.2">
      <c r="A2622"/>
      <c r="B2622"/>
      <c r="C2622"/>
      <c r="D2622"/>
      <c r="E2622"/>
      <c r="F2622"/>
      <c r="G2622"/>
      <c r="H2622"/>
      <c r="I2622"/>
      <c r="J2622"/>
      <c r="K2622" s="13" t="s">
        <v>585</v>
      </c>
      <c r="L2622" s="13" t="s">
        <v>475</v>
      </c>
      <c r="M2622" s="13" t="s">
        <v>470</v>
      </c>
      <c r="N2622" s="15">
        <v>3</v>
      </c>
      <c r="O2622" s="16">
        <v>0</v>
      </c>
      <c r="P2622" s="17">
        <v>0</v>
      </c>
      <c r="Q2622" s="17">
        <v>0</v>
      </c>
      <c r="R2622" s="13"/>
      <c r="S2622" s="13"/>
      <c r="T2622" s="13"/>
      <c r="U2622" s="13"/>
      <c r="V2622" s="13"/>
      <c r="W2622" s="13"/>
    </row>
    <row r="2623" spans="1:23" x14ac:dyDescent="0.2">
      <c r="A2623"/>
      <c r="B2623"/>
      <c r="C2623"/>
      <c r="D2623"/>
      <c r="E2623"/>
      <c r="F2623"/>
      <c r="G2623"/>
      <c r="H2623"/>
      <c r="I2623"/>
      <c r="J2623"/>
      <c r="K2623" s="13" t="s">
        <v>585</v>
      </c>
      <c r="L2623" s="13" t="s">
        <v>605</v>
      </c>
      <c r="M2623" s="13" t="s">
        <v>429</v>
      </c>
      <c r="N2623" s="15">
        <v>0</v>
      </c>
      <c r="O2623" s="16">
        <v>8.8312739736617001</v>
      </c>
      <c r="P2623" s="17">
        <v>0</v>
      </c>
      <c r="Q2623" s="17">
        <v>0</v>
      </c>
      <c r="R2623" s="13"/>
      <c r="S2623" s="13"/>
      <c r="T2623" s="13"/>
      <c r="U2623" s="13"/>
      <c r="V2623" s="13"/>
      <c r="W2623" s="13"/>
    </row>
    <row r="2624" spans="1:23" x14ac:dyDescent="0.2">
      <c r="A2624"/>
      <c r="B2624"/>
      <c r="C2624"/>
      <c r="D2624"/>
      <c r="E2624"/>
      <c r="F2624"/>
      <c r="G2624"/>
      <c r="H2624"/>
      <c r="I2624"/>
      <c r="J2624"/>
      <c r="K2624" s="13" t="s">
        <v>585</v>
      </c>
      <c r="L2624" s="13" t="s">
        <v>606</v>
      </c>
      <c r="M2624" s="13" t="s">
        <v>430</v>
      </c>
      <c r="N2624" s="15">
        <v>11</v>
      </c>
      <c r="O2624" s="16">
        <v>0</v>
      </c>
      <c r="P2624" s="17">
        <v>0</v>
      </c>
      <c r="Q2624" s="17">
        <v>0</v>
      </c>
      <c r="R2624" s="13"/>
      <c r="S2624" s="13"/>
      <c r="T2624" s="13"/>
      <c r="U2624" s="13"/>
      <c r="V2624" s="13"/>
      <c r="W2624" s="13"/>
    </row>
    <row r="2625" spans="1:23" x14ac:dyDescent="0.2">
      <c r="A2625"/>
      <c r="B2625"/>
      <c r="C2625"/>
      <c r="D2625"/>
      <c r="E2625"/>
      <c r="F2625"/>
      <c r="G2625"/>
      <c r="H2625"/>
      <c r="I2625"/>
      <c r="J2625"/>
      <c r="K2625" s="13" t="s">
        <v>585</v>
      </c>
      <c r="L2625" s="13" t="s">
        <v>623</v>
      </c>
      <c r="M2625" s="13" t="s">
        <v>530</v>
      </c>
      <c r="N2625" s="15">
        <v>0</v>
      </c>
      <c r="O2625" s="16">
        <v>349.32747907529483</v>
      </c>
      <c r="P2625" s="17">
        <v>0</v>
      </c>
      <c r="Q2625" s="17">
        <v>0</v>
      </c>
      <c r="R2625" s="13"/>
      <c r="S2625" s="13"/>
      <c r="T2625" s="13"/>
      <c r="U2625" s="13"/>
      <c r="V2625" s="13"/>
      <c r="W2625" s="13"/>
    </row>
    <row r="2626" spans="1:23" x14ac:dyDescent="0.2">
      <c r="A2626"/>
      <c r="B2626"/>
      <c r="C2626"/>
      <c r="D2626"/>
      <c r="E2626"/>
      <c r="F2626"/>
      <c r="G2626"/>
      <c r="H2626"/>
      <c r="I2626"/>
      <c r="J2626"/>
      <c r="K2626" s="13" t="s">
        <v>585</v>
      </c>
      <c r="L2626" s="13" t="s">
        <v>624</v>
      </c>
      <c r="M2626" s="13" t="s">
        <v>531</v>
      </c>
      <c r="N2626" s="15">
        <v>1</v>
      </c>
      <c r="O2626" s="16">
        <v>0</v>
      </c>
      <c r="P2626" s="17">
        <v>0</v>
      </c>
      <c r="Q2626" s="17">
        <v>0</v>
      </c>
      <c r="R2626" s="13"/>
      <c r="S2626" s="13"/>
      <c r="T2626" s="13"/>
      <c r="U2626" s="13"/>
      <c r="V2626" s="13"/>
      <c r="W2626" s="13"/>
    </row>
    <row r="2627" spans="1:23" x14ac:dyDescent="0.2">
      <c r="A2627"/>
      <c r="B2627"/>
      <c r="C2627"/>
      <c r="D2627"/>
      <c r="E2627"/>
      <c r="F2627"/>
      <c r="G2627"/>
      <c r="H2627"/>
      <c r="I2627"/>
      <c r="J2627"/>
      <c r="K2627" s="13" t="s">
        <v>585</v>
      </c>
      <c r="L2627" s="13" t="s">
        <v>607</v>
      </c>
      <c r="M2627" s="13" t="s">
        <v>431</v>
      </c>
      <c r="N2627" s="15">
        <v>8</v>
      </c>
      <c r="O2627" s="16">
        <v>0</v>
      </c>
      <c r="P2627" s="17">
        <v>0</v>
      </c>
      <c r="Q2627" s="17">
        <v>0</v>
      </c>
      <c r="R2627" s="13"/>
      <c r="S2627" s="13"/>
      <c r="T2627" s="13"/>
      <c r="U2627" s="13"/>
      <c r="V2627" s="13"/>
      <c r="W2627" s="13"/>
    </row>
    <row r="2628" spans="1:23" x14ac:dyDescent="0.2">
      <c r="A2628"/>
      <c r="B2628"/>
      <c r="C2628"/>
      <c r="D2628"/>
      <c r="E2628"/>
      <c r="F2628"/>
      <c r="G2628"/>
      <c r="H2628"/>
      <c r="I2628"/>
      <c r="J2628"/>
      <c r="K2628" s="13" t="s">
        <v>585</v>
      </c>
      <c r="L2628" s="13" t="s">
        <v>608</v>
      </c>
      <c r="M2628" s="13" t="s">
        <v>432</v>
      </c>
      <c r="N2628" s="15">
        <v>34</v>
      </c>
      <c r="O2628" s="16">
        <v>0</v>
      </c>
      <c r="P2628" s="17">
        <v>0</v>
      </c>
      <c r="Q2628" s="17">
        <v>0</v>
      </c>
      <c r="R2628" s="13"/>
      <c r="S2628" s="13"/>
      <c r="T2628" s="13"/>
      <c r="U2628" s="13"/>
      <c r="V2628" s="13"/>
      <c r="W2628" s="13"/>
    </row>
    <row r="2629" spans="1:23" x14ac:dyDescent="0.2">
      <c r="A2629"/>
      <c r="B2629"/>
      <c r="C2629"/>
      <c r="D2629"/>
      <c r="E2629"/>
      <c r="F2629"/>
      <c r="G2629"/>
      <c r="H2629"/>
      <c r="I2629"/>
      <c r="J2629"/>
      <c r="K2629" s="13" t="s">
        <v>585</v>
      </c>
      <c r="L2629" s="13" t="s">
        <v>615</v>
      </c>
      <c r="M2629" s="13" t="s">
        <v>449</v>
      </c>
      <c r="N2629" s="15">
        <v>3</v>
      </c>
      <c r="O2629" s="16">
        <v>0</v>
      </c>
      <c r="P2629" s="17">
        <v>0</v>
      </c>
      <c r="Q2629" s="17">
        <v>0</v>
      </c>
      <c r="R2629" s="13"/>
      <c r="S2629" s="13"/>
      <c r="T2629" s="13"/>
      <c r="U2629" s="13"/>
      <c r="V2629" s="13"/>
      <c r="W2629" s="13"/>
    </row>
    <row r="2630" spans="1:23" x14ac:dyDescent="0.2">
      <c r="A2630"/>
      <c r="B2630"/>
      <c r="C2630"/>
      <c r="D2630"/>
      <c r="E2630"/>
      <c r="F2630"/>
      <c r="G2630"/>
      <c r="H2630"/>
      <c r="I2630"/>
      <c r="J2630"/>
      <c r="K2630" s="13" t="s">
        <v>585</v>
      </c>
      <c r="L2630" s="13" t="s">
        <v>415</v>
      </c>
      <c r="M2630" s="13" t="s">
        <v>412</v>
      </c>
      <c r="N2630" s="15">
        <v>0</v>
      </c>
      <c r="O2630" s="16">
        <v>0</v>
      </c>
      <c r="P2630" s="17">
        <v>3.6864000013710698</v>
      </c>
      <c r="Q2630" s="17">
        <v>0</v>
      </c>
      <c r="R2630" s="13"/>
      <c r="S2630" s="13"/>
      <c r="T2630" s="13"/>
      <c r="U2630" s="13"/>
      <c r="V2630" s="13"/>
      <c r="W2630" s="13"/>
    </row>
    <row r="2631" spans="1:23" x14ac:dyDescent="0.2">
      <c r="A2631"/>
      <c r="B2631"/>
      <c r="C2631"/>
      <c r="D2631"/>
      <c r="E2631"/>
      <c r="F2631"/>
      <c r="G2631"/>
      <c r="H2631"/>
      <c r="I2631"/>
      <c r="J2631"/>
      <c r="K2631" s="13" t="s">
        <v>585</v>
      </c>
      <c r="L2631" s="13" t="s">
        <v>609</v>
      </c>
      <c r="M2631" s="13" t="s">
        <v>416</v>
      </c>
      <c r="N2631" s="15">
        <v>0</v>
      </c>
      <c r="O2631" s="16">
        <v>6.3622145874187428</v>
      </c>
      <c r="P2631" s="17">
        <v>0</v>
      </c>
      <c r="Q2631" s="17">
        <v>0</v>
      </c>
      <c r="R2631" s="13"/>
      <c r="S2631" s="13"/>
      <c r="T2631" s="13"/>
      <c r="U2631" s="13"/>
      <c r="V2631" s="13"/>
      <c r="W2631" s="13"/>
    </row>
    <row r="2632" spans="1:23" x14ac:dyDescent="0.2">
      <c r="A2632"/>
      <c r="B2632"/>
      <c r="C2632"/>
      <c r="D2632"/>
      <c r="E2632"/>
      <c r="F2632"/>
      <c r="G2632"/>
      <c r="H2632"/>
      <c r="I2632"/>
      <c r="J2632"/>
      <c r="K2632" s="13" t="s">
        <v>585</v>
      </c>
      <c r="L2632" s="13" t="s">
        <v>610</v>
      </c>
      <c r="M2632" s="13" t="s">
        <v>418</v>
      </c>
      <c r="N2632" s="15">
        <v>0</v>
      </c>
      <c r="O2632" s="16">
        <v>10.331462355667254</v>
      </c>
      <c r="P2632" s="17">
        <v>0</v>
      </c>
      <c r="Q2632" s="17">
        <v>0</v>
      </c>
      <c r="R2632" s="13"/>
      <c r="S2632" s="13"/>
      <c r="T2632" s="13"/>
      <c r="U2632" s="13"/>
      <c r="V2632" s="13"/>
      <c r="W2632" s="13"/>
    </row>
    <row r="2633" spans="1:23" x14ac:dyDescent="0.2">
      <c r="A2633"/>
      <c r="B2633"/>
      <c r="C2633"/>
      <c r="D2633"/>
      <c r="E2633"/>
      <c r="F2633"/>
      <c r="G2633"/>
      <c r="H2633"/>
      <c r="I2633"/>
      <c r="J2633"/>
      <c r="K2633" s="13" t="s">
        <v>585</v>
      </c>
      <c r="L2633" s="13" t="s">
        <v>622</v>
      </c>
      <c r="M2633" s="13" t="s">
        <v>524</v>
      </c>
      <c r="N2633" s="15">
        <v>0</v>
      </c>
      <c r="O2633" s="16">
        <v>31.142279305265426</v>
      </c>
      <c r="P2633" s="17">
        <v>0</v>
      </c>
      <c r="Q2633" s="17">
        <v>0</v>
      </c>
      <c r="R2633" s="13"/>
      <c r="S2633" s="13"/>
      <c r="T2633" s="13"/>
      <c r="U2633" s="13"/>
      <c r="V2633" s="13"/>
      <c r="W2633" s="13"/>
    </row>
    <row r="2634" spans="1:23" x14ac:dyDescent="0.2">
      <c r="A2634"/>
      <c r="B2634"/>
      <c r="C2634"/>
      <c r="D2634"/>
      <c r="E2634"/>
      <c r="F2634"/>
      <c r="G2634"/>
      <c r="H2634"/>
      <c r="I2634"/>
      <c r="J2634"/>
      <c r="K2634" s="13" t="s">
        <v>585</v>
      </c>
      <c r="L2634" s="13" t="s">
        <v>421</v>
      </c>
      <c r="M2634" s="13" t="s">
        <v>443</v>
      </c>
      <c r="N2634" s="15">
        <v>3</v>
      </c>
      <c r="O2634" s="16">
        <v>0</v>
      </c>
      <c r="P2634" s="17">
        <v>0</v>
      </c>
      <c r="Q2634" s="17">
        <v>0</v>
      </c>
      <c r="R2634" s="13"/>
      <c r="S2634" s="13"/>
      <c r="T2634" s="13"/>
      <c r="U2634" s="13"/>
      <c r="V2634" s="13"/>
      <c r="W2634" s="13"/>
    </row>
    <row r="2635" spans="1:23" x14ac:dyDescent="0.2">
      <c r="A2635"/>
      <c r="B2635"/>
      <c r="C2635"/>
      <c r="D2635"/>
      <c r="E2635"/>
      <c r="F2635"/>
      <c r="G2635"/>
      <c r="H2635"/>
      <c r="I2635"/>
      <c r="J2635"/>
      <c r="K2635" s="13" t="s">
        <v>585</v>
      </c>
      <c r="L2635" s="13" t="s">
        <v>383</v>
      </c>
      <c r="M2635" s="13" t="s">
        <v>420</v>
      </c>
      <c r="N2635" s="15">
        <v>20</v>
      </c>
      <c r="O2635" s="16">
        <v>0</v>
      </c>
      <c r="P2635" s="17">
        <v>0</v>
      </c>
      <c r="Q2635" s="17">
        <v>0</v>
      </c>
      <c r="R2635" s="13"/>
      <c r="S2635" s="13"/>
      <c r="T2635" s="13"/>
      <c r="U2635" s="13"/>
      <c r="V2635" s="13"/>
      <c r="W2635" s="13"/>
    </row>
    <row r="2636" spans="1:23" x14ac:dyDescent="0.2">
      <c r="A2636"/>
      <c r="B2636"/>
      <c r="C2636"/>
      <c r="D2636"/>
      <c r="E2636"/>
      <c r="F2636"/>
      <c r="G2636"/>
      <c r="H2636"/>
      <c r="I2636"/>
      <c r="J2636"/>
      <c r="K2636" s="13" t="s">
        <v>585</v>
      </c>
      <c r="L2636" s="13" t="s">
        <v>528</v>
      </c>
      <c r="M2636" s="13" t="s">
        <v>384</v>
      </c>
      <c r="N2636" s="15">
        <v>0</v>
      </c>
      <c r="O2636" s="16">
        <v>614.46159044253227</v>
      </c>
      <c r="P2636" s="17">
        <v>0</v>
      </c>
      <c r="Q2636" s="17">
        <v>0</v>
      </c>
      <c r="R2636" s="13"/>
      <c r="S2636" s="13"/>
      <c r="T2636" s="13"/>
      <c r="U2636" s="13"/>
      <c r="V2636" s="13"/>
      <c r="W2636" s="13"/>
    </row>
    <row r="2637" spans="1:23" x14ac:dyDescent="0.2">
      <c r="A2637"/>
      <c r="B2637"/>
      <c r="C2637"/>
      <c r="D2637"/>
      <c r="E2637"/>
      <c r="F2637"/>
      <c r="G2637"/>
      <c r="H2637"/>
      <c r="I2637"/>
      <c r="J2637"/>
      <c r="K2637" s="13" t="s">
        <v>585</v>
      </c>
      <c r="L2637" s="13" t="s">
        <v>613</v>
      </c>
      <c r="M2637" s="13" t="s">
        <v>444</v>
      </c>
      <c r="N2637" s="15">
        <v>0</v>
      </c>
      <c r="O2637" s="16">
        <v>93.332023485121198</v>
      </c>
      <c r="P2637" s="17">
        <v>0</v>
      </c>
      <c r="Q2637" s="17">
        <v>0</v>
      </c>
      <c r="R2637" s="13"/>
      <c r="S2637" s="13"/>
      <c r="T2637" s="13"/>
      <c r="U2637" s="13"/>
      <c r="V2637" s="13"/>
      <c r="W2637" s="13"/>
    </row>
    <row r="2638" spans="1:23" x14ac:dyDescent="0.2">
      <c r="A2638"/>
      <c r="B2638"/>
      <c r="C2638"/>
      <c r="D2638"/>
      <c r="E2638"/>
      <c r="F2638"/>
      <c r="G2638"/>
      <c r="H2638"/>
      <c r="I2638"/>
      <c r="J2638"/>
      <c r="K2638" s="13" t="s">
        <v>585</v>
      </c>
      <c r="L2638" s="13" t="s">
        <v>611</v>
      </c>
      <c r="M2638" s="13" t="s">
        <v>423</v>
      </c>
      <c r="N2638" s="15">
        <v>0</v>
      </c>
      <c r="O2638" s="16">
        <v>63.620918739429911</v>
      </c>
      <c r="P2638" s="17">
        <v>0</v>
      </c>
      <c r="Q2638" s="17">
        <v>0</v>
      </c>
      <c r="R2638" s="13"/>
      <c r="S2638" s="13"/>
      <c r="T2638" s="13"/>
      <c r="U2638" s="13"/>
      <c r="V2638" s="13"/>
      <c r="W2638" s="13"/>
    </row>
    <row r="2639" spans="1:23" x14ac:dyDescent="0.2">
      <c r="A2639"/>
      <c r="B2639"/>
      <c r="C2639"/>
      <c r="D2639"/>
      <c r="E2639"/>
      <c r="F2639"/>
      <c r="G2639"/>
      <c r="H2639"/>
      <c r="I2639"/>
      <c r="J2639"/>
      <c r="K2639" s="13" t="s">
        <v>585</v>
      </c>
      <c r="L2639" s="13" t="s">
        <v>446</v>
      </c>
      <c r="M2639" s="13" t="s">
        <v>371</v>
      </c>
      <c r="N2639" s="15">
        <v>14</v>
      </c>
      <c r="O2639" s="16">
        <v>0</v>
      </c>
      <c r="P2639" s="17">
        <v>0</v>
      </c>
      <c r="Q2639" s="17">
        <v>0</v>
      </c>
      <c r="R2639" s="13"/>
      <c r="S2639" s="13"/>
      <c r="T2639" s="13"/>
      <c r="U2639" s="13"/>
      <c r="V2639" s="13"/>
      <c r="W2639" s="13"/>
    </row>
    <row r="2640" spans="1:23" x14ac:dyDescent="0.2">
      <c r="A2640"/>
      <c r="B2640"/>
      <c r="C2640"/>
      <c r="D2640"/>
      <c r="E2640"/>
      <c r="F2640"/>
      <c r="G2640"/>
      <c r="H2640"/>
      <c r="I2640"/>
      <c r="J2640"/>
      <c r="K2640" s="13" t="s">
        <v>585</v>
      </c>
      <c r="L2640" s="13" t="s">
        <v>424</v>
      </c>
      <c r="M2640" s="13" t="s">
        <v>468</v>
      </c>
      <c r="N2640" s="15">
        <v>0</v>
      </c>
      <c r="O2640" s="16">
        <v>0</v>
      </c>
      <c r="P2640" s="17">
        <v>91.418449998604785</v>
      </c>
      <c r="Q2640" s="17">
        <v>0</v>
      </c>
      <c r="R2640" s="13"/>
      <c r="S2640" s="13"/>
      <c r="T2640" s="13"/>
      <c r="U2640" s="13"/>
      <c r="V2640" s="13"/>
      <c r="W2640" s="13"/>
    </row>
    <row r="2641" spans="1:23" x14ac:dyDescent="0.2">
      <c r="A2641"/>
      <c r="B2641"/>
      <c r="C2641"/>
      <c r="D2641"/>
      <c r="E2641"/>
      <c r="F2641"/>
      <c r="G2641"/>
      <c r="H2641"/>
      <c r="I2641"/>
      <c r="J2641"/>
      <c r="K2641" s="13" t="s">
        <v>585</v>
      </c>
      <c r="L2641" s="13" t="s">
        <v>614</v>
      </c>
      <c r="M2641" s="13" t="s">
        <v>447</v>
      </c>
      <c r="N2641" s="15">
        <v>3</v>
      </c>
      <c r="O2641" s="16">
        <v>0</v>
      </c>
      <c r="P2641" s="17">
        <v>0</v>
      </c>
      <c r="Q2641" s="17">
        <v>0</v>
      </c>
      <c r="R2641" s="13"/>
      <c r="S2641" s="13"/>
      <c r="T2641" s="13"/>
      <c r="U2641" s="13"/>
      <c r="V2641" s="13"/>
      <c r="W2641" s="13"/>
    </row>
    <row r="2642" spans="1:23" x14ac:dyDescent="0.2">
      <c r="A2642"/>
      <c r="B2642"/>
      <c r="C2642"/>
      <c r="D2642"/>
      <c r="E2642"/>
      <c r="F2642"/>
      <c r="G2642"/>
      <c r="H2642"/>
      <c r="I2642"/>
      <c r="J2642"/>
      <c r="K2642" s="13" t="s">
        <v>585</v>
      </c>
      <c r="L2642" s="13" t="s">
        <v>469</v>
      </c>
      <c r="M2642" s="13" t="s">
        <v>426</v>
      </c>
      <c r="N2642" s="15">
        <v>5</v>
      </c>
      <c r="O2642" s="16">
        <v>0</v>
      </c>
      <c r="P2642" s="17">
        <v>0</v>
      </c>
      <c r="Q2642" s="17">
        <v>0</v>
      </c>
      <c r="R2642" s="13"/>
      <c r="S2642" s="13"/>
      <c r="T2642" s="13"/>
      <c r="U2642" s="13"/>
      <c r="V2642" s="13"/>
      <c r="W2642" s="13"/>
    </row>
    <row r="2643" spans="1:23" x14ac:dyDescent="0.2">
      <c r="A2643"/>
      <c r="B2643"/>
      <c r="C2643"/>
      <c r="D2643"/>
      <c r="E2643"/>
      <c r="F2643"/>
      <c r="G2643"/>
      <c r="H2643"/>
      <c r="I2643"/>
      <c r="J2643"/>
      <c r="K2643" s="13" t="s">
        <v>586</v>
      </c>
      <c r="L2643" s="13" t="s">
        <v>387</v>
      </c>
      <c r="M2643" s="13" t="s">
        <v>386</v>
      </c>
      <c r="N2643" s="15">
        <v>0</v>
      </c>
      <c r="O2643" s="16">
        <v>0</v>
      </c>
      <c r="P2643" s="17">
        <v>485.68844992758437</v>
      </c>
      <c r="Q2643" s="17">
        <v>0</v>
      </c>
      <c r="R2643" s="13"/>
      <c r="S2643" s="13"/>
      <c r="T2643" s="13"/>
      <c r="U2643" s="13"/>
      <c r="V2643" s="13"/>
      <c r="W2643" s="13"/>
    </row>
    <row r="2644" spans="1:23" x14ac:dyDescent="0.2">
      <c r="A2644"/>
      <c r="B2644"/>
      <c r="C2644"/>
      <c r="D2644"/>
      <c r="E2644"/>
      <c r="F2644"/>
      <c r="G2644"/>
      <c r="H2644"/>
      <c r="I2644"/>
      <c r="J2644"/>
      <c r="K2644" s="13" t="s">
        <v>586</v>
      </c>
      <c r="L2644" s="13" t="s">
        <v>389</v>
      </c>
      <c r="M2644" s="13" t="s">
        <v>388</v>
      </c>
      <c r="N2644" s="15">
        <v>0</v>
      </c>
      <c r="O2644" s="16">
        <v>0</v>
      </c>
      <c r="P2644" s="17">
        <v>914.92205799398585</v>
      </c>
      <c r="Q2644" s="17">
        <v>0</v>
      </c>
      <c r="R2644" s="13"/>
      <c r="S2644" s="13"/>
      <c r="T2644" s="13"/>
      <c r="U2644" s="13"/>
      <c r="V2644" s="13"/>
      <c r="W2644" s="13"/>
    </row>
    <row r="2645" spans="1:23" x14ac:dyDescent="0.2">
      <c r="A2645"/>
      <c r="B2645"/>
      <c r="C2645"/>
      <c r="D2645"/>
      <c r="E2645"/>
      <c r="F2645"/>
      <c r="G2645"/>
      <c r="H2645"/>
      <c r="I2645"/>
      <c r="J2645"/>
      <c r="K2645" s="13" t="s">
        <v>586</v>
      </c>
      <c r="L2645" s="13" t="s">
        <v>542</v>
      </c>
      <c r="M2645" s="13" t="s">
        <v>390</v>
      </c>
      <c r="N2645" s="15">
        <v>0</v>
      </c>
      <c r="O2645" s="16">
        <v>0</v>
      </c>
      <c r="P2645" s="17">
        <v>36.551849989119191</v>
      </c>
      <c r="Q2645" s="17">
        <v>0</v>
      </c>
      <c r="R2645" s="13"/>
      <c r="S2645" s="13"/>
      <c r="T2645" s="13"/>
      <c r="U2645" s="13"/>
      <c r="V2645" s="13"/>
      <c r="W2645" s="13"/>
    </row>
    <row r="2646" spans="1:23" x14ac:dyDescent="0.2">
      <c r="A2646"/>
      <c r="B2646"/>
      <c r="C2646"/>
      <c r="D2646"/>
      <c r="E2646"/>
      <c r="F2646"/>
      <c r="G2646"/>
      <c r="H2646"/>
      <c r="I2646"/>
      <c r="J2646"/>
      <c r="K2646" s="13" t="s">
        <v>586</v>
      </c>
      <c r="L2646" s="13" t="s">
        <v>391</v>
      </c>
      <c r="M2646" s="13" t="s">
        <v>358</v>
      </c>
      <c r="N2646" s="15">
        <v>0</v>
      </c>
      <c r="O2646" s="16">
        <v>0</v>
      </c>
      <c r="P2646" s="17">
        <v>1041.9363190924125</v>
      </c>
      <c r="Q2646" s="17">
        <v>0</v>
      </c>
      <c r="R2646" s="13"/>
      <c r="S2646" s="13"/>
      <c r="T2646" s="13"/>
      <c r="U2646" s="13"/>
      <c r="V2646" s="13"/>
      <c r="W2646" s="13"/>
    </row>
    <row r="2647" spans="1:23" x14ac:dyDescent="0.2">
      <c r="A2647"/>
      <c r="B2647"/>
      <c r="C2647"/>
      <c r="D2647"/>
      <c r="E2647"/>
      <c r="F2647"/>
      <c r="G2647"/>
      <c r="H2647"/>
      <c r="I2647"/>
      <c r="J2647"/>
      <c r="K2647" s="13" t="s">
        <v>586</v>
      </c>
      <c r="L2647" s="13" t="s">
        <v>436</v>
      </c>
      <c r="M2647" s="13" t="s">
        <v>487</v>
      </c>
      <c r="N2647" s="15">
        <v>0</v>
      </c>
      <c r="O2647" s="16">
        <v>0</v>
      </c>
      <c r="P2647" s="17">
        <v>67.594200006234303</v>
      </c>
      <c r="Q2647" s="17">
        <v>0</v>
      </c>
      <c r="R2647" s="13"/>
      <c r="S2647" s="13"/>
      <c r="T2647" s="13"/>
      <c r="U2647" s="13"/>
      <c r="V2647" s="13"/>
      <c r="W2647" s="13"/>
    </row>
    <row r="2648" spans="1:23" x14ac:dyDescent="0.2">
      <c r="A2648"/>
      <c r="B2648"/>
      <c r="C2648"/>
      <c r="D2648"/>
      <c r="E2648"/>
      <c r="F2648"/>
      <c r="G2648"/>
      <c r="H2648"/>
      <c r="I2648"/>
      <c r="J2648"/>
      <c r="K2648" s="13" t="s">
        <v>586</v>
      </c>
      <c r="L2648" s="13" t="s">
        <v>438</v>
      </c>
      <c r="M2648" s="13" t="s">
        <v>461</v>
      </c>
      <c r="N2648" s="15">
        <v>0</v>
      </c>
      <c r="O2648" s="16">
        <v>0</v>
      </c>
      <c r="P2648" s="17">
        <v>43.734550003553899</v>
      </c>
      <c r="Q2648" s="17">
        <v>0</v>
      </c>
      <c r="R2648" s="13"/>
      <c r="S2648" s="13"/>
      <c r="T2648" s="13"/>
      <c r="U2648" s="13"/>
      <c r="V2648" s="13"/>
      <c r="W2648" s="13"/>
    </row>
    <row r="2649" spans="1:23" x14ac:dyDescent="0.2">
      <c r="A2649"/>
      <c r="B2649"/>
      <c r="C2649"/>
      <c r="D2649"/>
      <c r="E2649"/>
      <c r="F2649"/>
      <c r="G2649"/>
      <c r="H2649"/>
      <c r="I2649"/>
      <c r="J2649"/>
      <c r="K2649" s="13" t="s">
        <v>586</v>
      </c>
      <c r="L2649" s="13" t="s">
        <v>621</v>
      </c>
      <c r="M2649" s="13" t="s">
        <v>520</v>
      </c>
      <c r="N2649" s="15">
        <v>0</v>
      </c>
      <c r="O2649" s="16">
        <v>0</v>
      </c>
      <c r="P2649" s="17">
        <v>172.43035000028414</v>
      </c>
      <c r="Q2649" s="17">
        <v>0</v>
      </c>
      <c r="R2649" s="13"/>
      <c r="S2649" s="13"/>
      <c r="T2649" s="13"/>
      <c r="U2649" s="13"/>
      <c r="V2649" s="13"/>
      <c r="W2649" s="13"/>
    </row>
    <row r="2650" spans="1:23" x14ac:dyDescent="0.2">
      <c r="A2650"/>
      <c r="B2650"/>
      <c r="C2650"/>
      <c r="D2650"/>
      <c r="E2650"/>
      <c r="F2650"/>
      <c r="G2650"/>
      <c r="H2650"/>
      <c r="I2650"/>
      <c r="J2650"/>
      <c r="K2650" s="13" t="s">
        <v>586</v>
      </c>
      <c r="L2650" s="13" t="s">
        <v>465</v>
      </c>
      <c r="M2650" s="13" t="s">
        <v>514</v>
      </c>
      <c r="N2650" s="15">
        <v>0</v>
      </c>
      <c r="O2650" s="16">
        <v>0</v>
      </c>
      <c r="P2650" s="17">
        <v>100.57070000124695</v>
      </c>
      <c r="Q2650" s="17">
        <v>0</v>
      </c>
      <c r="R2650" s="13"/>
      <c r="S2650" s="13"/>
      <c r="T2650" s="13"/>
      <c r="U2650" s="13"/>
      <c r="V2650" s="13"/>
      <c r="W2650" s="13"/>
    </row>
    <row r="2651" spans="1:23" x14ac:dyDescent="0.2">
      <c r="A2651"/>
      <c r="B2651"/>
      <c r="C2651"/>
      <c r="D2651"/>
      <c r="E2651"/>
      <c r="F2651"/>
      <c r="G2651"/>
      <c r="H2651"/>
      <c r="I2651"/>
      <c r="J2651"/>
      <c r="K2651" s="13" t="s">
        <v>586</v>
      </c>
      <c r="L2651" s="13" t="s">
        <v>512</v>
      </c>
      <c r="M2651" s="13" t="s">
        <v>466</v>
      </c>
      <c r="N2651" s="15">
        <v>0</v>
      </c>
      <c r="O2651" s="16">
        <v>0</v>
      </c>
      <c r="P2651" s="17">
        <v>156.15029999221059</v>
      </c>
      <c r="Q2651" s="17">
        <v>0</v>
      </c>
      <c r="R2651" s="13"/>
      <c r="S2651" s="13"/>
      <c r="T2651" s="13"/>
      <c r="U2651" s="13"/>
      <c r="V2651" s="13"/>
      <c r="W2651" s="13"/>
    </row>
    <row r="2652" spans="1:23" x14ac:dyDescent="0.2">
      <c r="A2652"/>
      <c r="B2652"/>
      <c r="C2652"/>
      <c r="D2652"/>
      <c r="E2652"/>
      <c r="F2652"/>
      <c r="G2652"/>
      <c r="H2652"/>
      <c r="I2652"/>
      <c r="J2652"/>
      <c r="K2652" s="13" t="s">
        <v>586</v>
      </c>
      <c r="L2652" s="13" t="s">
        <v>532</v>
      </c>
      <c r="M2652" s="13" t="s">
        <v>620</v>
      </c>
      <c r="N2652" s="15">
        <v>0</v>
      </c>
      <c r="O2652" s="16">
        <v>0</v>
      </c>
      <c r="P2652" s="17">
        <v>120.06550001396786</v>
      </c>
      <c r="Q2652" s="17">
        <v>0</v>
      </c>
      <c r="R2652" s="13"/>
      <c r="S2652" s="13"/>
      <c r="T2652" s="13"/>
      <c r="U2652" s="13"/>
      <c r="V2652" s="13"/>
      <c r="W2652" s="13"/>
    </row>
    <row r="2653" spans="1:23" x14ac:dyDescent="0.2">
      <c r="A2653"/>
      <c r="B2653"/>
      <c r="C2653"/>
      <c r="D2653"/>
      <c r="E2653"/>
      <c r="F2653"/>
      <c r="G2653"/>
      <c r="H2653"/>
      <c r="I2653"/>
      <c r="J2653"/>
      <c r="K2653" s="13" t="s">
        <v>586</v>
      </c>
      <c r="L2653" s="13" t="s">
        <v>440</v>
      </c>
      <c r="M2653" s="13" t="s">
        <v>441</v>
      </c>
      <c r="N2653" s="15">
        <v>2</v>
      </c>
      <c r="O2653" s="16">
        <v>0</v>
      </c>
      <c r="P2653" s="17">
        <v>0</v>
      </c>
      <c r="Q2653" s="17">
        <v>0</v>
      </c>
      <c r="R2653" s="13"/>
      <c r="S2653" s="13"/>
      <c r="T2653" s="13"/>
      <c r="U2653" s="13"/>
      <c r="V2653" s="13"/>
      <c r="W2653" s="13"/>
    </row>
    <row r="2654" spans="1:23" x14ac:dyDescent="0.2">
      <c r="A2654"/>
      <c r="B2654"/>
      <c r="C2654"/>
      <c r="D2654"/>
      <c r="E2654"/>
      <c r="F2654"/>
      <c r="G2654"/>
      <c r="H2654"/>
      <c r="I2654"/>
      <c r="J2654"/>
      <c r="K2654" s="13" t="s">
        <v>586</v>
      </c>
      <c r="L2654" s="13" t="s">
        <v>394</v>
      </c>
      <c r="M2654" s="13" t="s">
        <v>359</v>
      </c>
      <c r="N2654" s="15">
        <v>0</v>
      </c>
      <c r="O2654" s="16">
        <v>0</v>
      </c>
      <c r="P2654" s="17">
        <v>45.848350020953433</v>
      </c>
      <c r="Q2654" s="17">
        <v>0</v>
      </c>
      <c r="R2654" s="13"/>
      <c r="S2654" s="13"/>
      <c r="T2654" s="13"/>
      <c r="U2654" s="13"/>
      <c r="V2654" s="13"/>
      <c r="W2654" s="13"/>
    </row>
    <row r="2655" spans="1:23" x14ac:dyDescent="0.2">
      <c r="A2655"/>
      <c r="B2655"/>
      <c r="C2655"/>
      <c r="D2655"/>
      <c r="E2655"/>
      <c r="F2655"/>
      <c r="G2655"/>
      <c r="H2655"/>
      <c r="I2655"/>
      <c r="J2655"/>
      <c r="K2655" s="13" t="s">
        <v>586</v>
      </c>
      <c r="L2655" s="13" t="s">
        <v>395</v>
      </c>
      <c r="M2655" s="13" t="s">
        <v>602</v>
      </c>
      <c r="N2655" s="15">
        <v>1</v>
      </c>
      <c r="O2655" s="16">
        <v>0</v>
      </c>
      <c r="P2655" s="17">
        <v>0</v>
      </c>
      <c r="Q2655" s="17">
        <v>0</v>
      </c>
      <c r="R2655" s="13"/>
      <c r="S2655" s="13"/>
      <c r="T2655" s="13"/>
      <c r="U2655" s="13"/>
      <c r="V2655" s="13"/>
      <c r="W2655" s="13"/>
    </row>
    <row r="2656" spans="1:23" x14ac:dyDescent="0.2">
      <c r="A2656"/>
      <c r="B2656"/>
      <c r="C2656"/>
      <c r="D2656"/>
      <c r="E2656"/>
      <c r="F2656"/>
      <c r="G2656"/>
      <c r="H2656"/>
      <c r="I2656"/>
      <c r="J2656"/>
      <c r="K2656" s="13" t="s">
        <v>586</v>
      </c>
      <c r="L2656" s="13" t="s">
        <v>399</v>
      </c>
      <c r="M2656" s="13" t="s">
        <v>400</v>
      </c>
      <c r="N2656" s="15">
        <v>0</v>
      </c>
      <c r="O2656" s="16">
        <v>0</v>
      </c>
      <c r="P2656" s="17">
        <v>32.096799999228026</v>
      </c>
      <c r="Q2656" s="17">
        <v>0</v>
      </c>
      <c r="R2656" s="13"/>
      <c r="S2656" s="13"/>
      <c r="T2656" s="13"/>
      <c r="U2656" s="13"/>
      <c r="V2656" s="13"/>
      <c r="W2656" s="13"/>
    </row>
    <row r="2657" spans="1:23" x14ac:dyDescent="0.2">
      <c r="A2657"/>
      <c r="B2657"/>
      <c r="C2657"/>
      <c r="D2657"/>
      <c r="E2657"/>
      <c r="F2657"/>
      <c r="G2657"/>
      <c r="H2657"/>
      <c r="I2657"/>
      <c r="J2657"/>
      <c r="K2657" s="13" t="s">
        <v>586</v>
      </c>
      <c r="L2657" s="13" t="s">
        <v>401</v>
      </c>
      <c r="M2657" s="13" t="s">
        <v>360</v>
      </c>
      <c r="N2657" s="15">
        <v>0</v>
      </c>
      <c r="O2657" s="16">
        <v>0</v>
      </c>
      <c r="P2657" s="17">
        <v>238.21750001605889</v>
      </c>
      <c r="Q2657" s="17">
        <v>0</v>
      </c>
      <c r="R2657" s="13"/>
      <c r="S2657" s="13"/>
      <c r="T2657" s="13"/>
      <c r="U2657" s="13"/>
      <c r="V2657" s="13"/>
      <c r="W2657" s="13"/>
    </row>
    <row r="2658" spans="1:23" x14ac:dyDescent="0.2">
      <c r="A2658"/>
      <c r="B2658"/>
      <c r="C2658"/>
      <c r="D2658"/>
      <c r="E2658"/>
      <c r="F2658"/>
      <c r="G2658"/>
      <c r="H2658"/>
      <c r="I2658"/>
      <c r="J2658"/>
      <c r="K2658" s="13" t="s">
        <v>586</v>
      </c>
      <c r="L2658" s="13" t="s">
        <v>402</v>
      </c>
      <c r="M2658" s="13" t="s">
        <v>403</v>
      </c>
      <c r="N2658" s="15">
        <v>0</v>
      </c>
      <c r="O2658" s="16">
        <v>0</v>
      </c>
      <c r="P2658" s="17">
        <v>5940.5589073240853</v>
      </c>
      <c r="Q2658" s="17">
        <v>0</v>
      </c>
      <c r="R2658" s="13"/>
      <c r="S2658" s="13"/>
      <c r="T2658" s="13"/>
      <c r="U2658" s="13"/>
      <c r="V2658" s="13"/>
      <c r="W2658" s="13"/>
    </row>
    <row r="2659" spans="1:23" x14ac:dyDescent="0.2">
      <c r="A2659"/>
      <c r="B2659"/>
      <c r="C2659"/>
      <c r="D2659"/>
      <c r="E2659"/>
      <c r="F2659"/>
      <c r="G2659"/>
      <c r="H2659"/>
      <c r="I2659"/>
      <c r="J2659"/>
      <c r="K2659" s="13" t="s">
        <v>586</v>
      </c>
      <c r="L2659" s="13" t="s">
        <v>448</v>
      </c>
      <c r="M2659" s="13" t="s">
        <v>366</v>
      </c>
      <c r="N2659" s="15">
        <v>0</v>
      </c>
      <c r="O2659" s="16">
        <v>0</v>
      </c>
      <c r="P2659" s="17">
        <v>907.21555005251867</v>
      </c>
      <c r="Q2659" s="17">
        <v>0</v>
      </c>
      <c r="R2659" s="13"/>
      <c r="S2659" s="13"/>
      <c r="T2659" s="13"/>
      <c r="U2659" s="13"/>
      <c r="V2659" s="13"/>
      <c r="W2659" s="13"/>
    </row>
    <row r="2660" spans="1:23" x14ac:dyDescent="0.2">
      <c r="A2660"/>
      <c r="B2660"/>
      <c r="C2660"/>
      <c r="D2660"/>
      <c r="E2660"/>
      <c r="F2660"/>
      <c r="G2660"/>
      <c r="H2660"/>
      <c r="I2660"/>
      <c r="J2660"/>
      <c r="K2660" s="13" t="s">
        <v>586</v>
      </c>
      <c r="L2660" s="13" t="s">
        <v>404</v>
      </c>
      <c r="M2660" s="13" t="s">
        <v>405</v>
      </c>
      <c r="N2660" s="15">
        <v>0</v>
      </c>
      <c r="O2660" s="16">
        <v>0</v>
      </c>
      <c r="P2660" s="17">
        <v>400.63272226159512</v>
      </c>
      <c r="Q2660" s="17">
        <v>1962.5568892583003</v>
      </c>
      <c r="R2660" s="13"/>
      <c r="S2660" s="13"/>
      <c r="T2660" s="13"/>
      <c r="U2660" s="13"/>
      <c r="V2660" s="13"/>
      <c r="W2660" s="13"/>
    </row>
    <row r="2661" spans="1:23" x14ac:dyDescent="0.2">
      <c r="A2661"/>
      <c r="B2661"/>
      <c r="C2661"/>
      <c r="D2661"/>
      <c r="E2661"/>
      <c r="F2661"/>
      <c r="G2661"/>
      <c r="H2661"/>
      <c r="I2661"/>
      <c r="J2661"/>
      <c r="K2661" s="13" t="s">
        <v>586</v>
      </c>
      <c r="L2661" s="13" t="s">
        <v>381</v>
      </c>
      <c r="M2661" s="13" t="s">
        <v>382</v>
      </c>
      <c r="N2661" s="15">
        <v>9</v>
      </c>
      <c r="O2661" s="16">
        <v>0</v>
      </c>
      <c r="P2661" s="17">
        <v>0</v>
      </c>
      <c r="Q2661" s="17">
        <v>0</v>
      </c>
      <c r="R2661" s="13"/>
      <c r="S2661" s="13"/>
      <c r="T2661" s="13"/>
      <c r="U2661" s="13"/>
      <c r="V2661" s="13"/>
      <c r="W2661" s="13"/>
    </row>
    <row r="2662" spans="1:23" x14ac:dyDescent="0.2">
      <c r="A2662"/>
      <c r="B2662"/>
      <c r="C2662"/>
      <c r="D2662"/>
      <c r="E2662"/>
      <c r="F2662"/>
      <c r="G2662"/>
      <c r="H2662"/>
      <c r="I2662"/>
      <c r="J2662"/>
      <c r="K2662" s="13" t="s">
        <v>586</v>
      </c>
      <c r="L2662" s="13" t="s">
        <v>411</v>
      </c>
      <c r="M2662" s="13" t="s">
        <v>362</v>
      </c>
      <c r="N2662" s="15">
        <v>0</v>
      </c>
      <c r="O2662" s="16">
        <v>0</v>
      </c>
      <c r="P2662" s="17">
        <v>36.703999996473669</v>
      </c>
      <c r="Q2662" s="17">
        <v>0</v>
      </c>
      <c r="R2662" s="13"/>
      <c r="S2662" s="13"/>
      <c r="T2662" s="13"/>
      <c r="U2662" s="13"/>
      <c r="V2662" s="13"/>
      <c r="W2662" s="13"/>
    </row>
    <row r="2663" spans="1:23" x14ac:dyDescent="0.2">
      <c r="A2663"/>
      <c r="B2663"/>
      <c r="C2663"/>
      <c r="D2663"/>
      <c r="E2663"/>
      <c r="F2663"/>
      <c r="G2663"/>
      <c r="H2663"/>
      <c r="I2663"/>
      <c r="J2663"/>
      <c r="K2663" s="13" t="s">
        <v>586</v>
      </c>
      <c r="L2663" s="13" t="s">
        <v>411</v>
      </c>
      <c r="M2663" s="13" t="s">
        <v>362</v>
      </c>
      <c r="N2663" s="15">
        <v>0</v>
      </c>
      <c r="O2663" s="16">
        <v>67.093170598216716</v>
      </c>
      <c r="P2663" s="17">
        <v>0</v>
      </c>
      <c r="Q2663" s="17">
        <v>0</v>
      </c>
      <c r="R2663" s="13"/>
      <c r="S2663" s="13"/>
      <c r="T2663" s="13"/>
      <c r="U2663" s="13"/>
      <c r="V2663" s="13"/>
      <c r="W2663" s="13"/>
    </row>
    <row r="2664" spans="1:23" x14ac:dyDescent="0.2">
      <c r="A2664"/>
      <c r="B2664"/>
      <c r="C2664"/>
      <c r="D2664"/>
      <c r="E2664"/>
      <c r="F2664"/>
      <c r="G2664"/>
      <c r="H2664"/>
      <c r="I2664"/>
      <c r="J2664"/>
      <c r="K2664" s="13" t="s">
        <v>586</v>
      </c>
      <c r="L2664" s="13" t="s">
        <v>411</v>
      </c>
      <c r="M2664" s="13" t="s">
        <v>362</v>
      </c>
      <c r="N2664" s="15">
        <v>1</v>
      </c>
      <c r="O2664" s="16">
        <v>0</v>
      </c>
      <c r="P2664" s="17">
        <v>0</v>
      </c>
      <c r="Q2664" s="17">
        <v>0</v>
      </c>
      <c r="R2664" s="13"/>
      <c r="S2664" s="13"/>
      <c r="T2664" s="13"/>
      <c r="U2664" s="13"/>
      <c r="V2664" s="13"/>
      <c r="W2664" s="13"/>
    </row>
    <row r="2665" spans="1:23" x14ac:dyDescent="0.2">
      <c r="A2665"/>
      <c r="B2665"/>
      <c r="C2665"/>
      <c r="D2665"/>
      <c r="E2665"/>
      <c r="F2665"/>
      <c r="G2665"/>
      <c r="H2665"/>
      <c r="I2665"/>
      <c r="J2665"/>
      <c r="K2665" s="13" t="s">
        <v>586</v>
      </c>
      <c r="L2665" s="13" t="s">
        <v>413</v>
      </c>
      <c r="M2665" s="13" t="s">
        <v>428</v>
      </c>
      <c r="N2665" s="15">
        <v>3</v>
      </c>
      <c r="O2665" s="16">
        <v>0</v>
      </c>
      <c r="P2665" s="17">
        <v>0</v>
      </c>
      <c r="Q2665" s="17">
        <v>0</v>
      </c>
      <c r="R2665" s="13"/>
      <c r="S2665" s="13"/>
      <c r="T2665" s="13"/>
      <c r="U2665" s="13"/>
      <c r="V2665" s="13"/>
      <c r="W2665" s="13"/>
    </row>
    <row r="2666" spans="1:23" x14ac:dyDescent="0.2">
      <c r="A2666"/>
      <c r="B2666"/>
      <c r="C2666"/>
      <c r="D2666"/>
      <c r="E2666"/>
      <c r="F2666"/>
      <c r="G2666"/>
      <c r="H2666"/>
      <c r="I2666"/>
      <c r="J2666"/>
      <c r="K2666" s="13" t="s">
        <v>586</v>
      </c>
      <c r="L2666" s="13" t="s">
        <v>475</v>
      </c>
      <c r="M2666" s="13" t="s">
        <v>470</v>
      </c>
      <c r="N2666" s="15">
        <v>1</v>
      </c>
      <c r="O2666" s="16">
        <v>0</v>
      </c>
      <c r="P2666" s="17">
        <v>0</v>
      </c>
      <c r="Q2666" s="17">
        <v>0</v>
      </c>
      <c r="R2666" s="13"/>
      <c r="S2666" s="13"/>
      <c r="T2666" s="13"/>
      <c r="U2666" s="13"/>
      <c r="V2666" s="13"/>
      <c r="W2666" s="13"/>
    </row>
    <row r="2667" spans="1:23" x14ac:dyDescent="0.2">
      <c r="A2667"/>
      <c r="B2667"/>
      <c r="C2667"/>
      <c r="D2667"/>
      <c r="E2667"/>
      <c r="F2667"/>
      <c r="G2667"/>
      <c r="H2667"/>
      <c r="I2667"/>
      <c r="J2667"/>
      <c r="K2667" s="13" t="s">
        <v>586</v>
      </c>
      <c r="L2667" s="13" t="s">
        <v>605</v>
      </c>
      <c r="M2667" s="13" t="s">
        <v>429</v>
      </c>
      <c r="N2667" s="15">
        <v>0</v>
      </c>
      <c r="O2667" s="16">
        <v>3.0907118919213072</v>
      </c>
      <c r="P2667" s="17">
        <v>0</v>
      </c>
      <c r="Q2667" s="17">
        <v>0</v>
      </c>
      <c r="R2667" s="13"/>
      <c r="S2667" s="13"/>
      <c r="T2667" s="13"/>
      <c r="U2667" s="13"/>
      <c r="V2667" s="13"/>
      <c r="W2667" s="13"/>
    </row>
    <row r="2668" spans="1:23" x14ac:dyDescent="0.2">
      <c r="A2668"/>
      <c r="B2668"/>
      <c r="C2668"/>
      <c r="D2668"/>
      <c r="E2668"/>
      <c r="F2668"/>
      <c r="G2668"/>
      <c r="H2668"/>
      <c r="I2668"/>
      <c r="J2668"/>
      <c r="K2668" s="13" t="s">
        <v>586</v>
      </c>
      <c r="L2668" s="13" t="s">
        <v>606</v>
      </c>
      <c r="M2668" s="13" t="s">
        <v>430</v>
      </c>
      <c r="N2668" s="15">
        <v>21</v>
      </c>
      <c r="O2668" s="16">
        <v>0</v>
      </c>
      <c r="P2668" s="17">
        <v>0</v>
      </c>
      <c r="Q2668" s="17">
        <v>0</v>
      </c>
      <c r="R2668" s="13"/>
      <c r="S2668" s="13"/>
      <c r="T2668" s="13"/>
      <c r="U2668" s="13"/>
      <c r="V2668" s="13"/>
      <c r="W2668" s="13"/>
    </row>
    <row r="2669" spans="1:23" x14ac:dyDescent="0.2">
      <c r="A2669"/>
      <c r="B2669"/>
      <c r="C2669"/>
      <c r="D2669"/>
      <c r="E2669"/>
      <c r="F2669"/>
      <c r="G2669"/>
      <c r="H2669"/>
      <c r="I2669"/>
      <c r="J2669"/>
      <c r="K2669" s="13" t="s">
        <v>586</v>
      </c>
      <c r="L2669" s="13" t="s">
        <v>623</v>
      </c>
      <c r="M2669" s="13" t="s">
        <v>530</v>
      </c>
      <c r="N2669" s="15">
        <v>0</v>
      </c>
      <c r="O2669" s="16">
        <v>206.76420351053369</v>
      </c>
      <c r="P2669" s="17">
        <v>0</v>
      </c>
      <c r="Q2669" s="17">
        <v>0</v>
      </c>
      <c r="R2669" s="13"/>
      <c r="S2669" s="13"/>
      <c r="T2669" s="13"/>
      <c r="U2669" s="13"/>
      <c r="V2669" s="13"/>
      <c r="W2669" s="13"/>
    </row>
    <row r="2670" spans="1:23" x14ac:dyDescent="0.2">
      <c r="A2670"/>
      <c r="B2670"/>
      <c r="C2670"/>
      <c r="D2670"/>
      <c r="E2670"/>
      <c r="F2670"/>
      <c r="G2670"/>
      <c r="H2670"/>
      <c r="I2670"/>
      <c r="J2670"/>
      <c r="K2670" s="13" t="s">
        <v>586</v>
      </c>
      <c r="L2670" s="13" t="s">
        <v>607</v>
      </c>
      <c r="M2670" s="13" t="s">
        <v>431</v>
      </c>
      <c r="N2670" s="15">
        <v>3</v>
      </c>
      <c r="O2670" s="16">
        <v>0</v>
      </c>
      <c r="P2670" s="17">
        <v>0</v>
      </c>
      <c r="Q2670" s="17">
        <v>0</v>
      </c>
      <c r="R2670" s="13"/>
      <c r="S2670" s="13"/>
      <c r="T2670" s="13"/>
      <c r="U2670" s="13"/>
      <c r="V2670" s="13"/>
      <c r="W2670" s="13"/>
    </row>
    <row r="2671" spans="1:23" x14ac:dyDescent="0.2">
      <c r="A2671"/>
      <c r="B2671"/>
      <c r="C2671"/>
      <c r="D2671"/>
      <c r="E2671"/>
      <c r="F2671"/>
      <c r="G2671"/>
      <c r="H2671"/>
      <c r="I2671"/>
      <c r="J2671"/>
      <c r="K2671" s="13" t="s">
        <v>586</v>
      </c>
      <c r="L2671" s="13" t="s">
        <v>608</v>
      </c>
      <c r="M2671" s="13" t="s">
        <v>432</v>
      </c>
      <c r="N2671" s="15">
        <v>22</v>
      </c>
      <c r="O2671" s="16">
        <v>0</v>
      </c>
      <c r="P2671" s="17">
        <v>0</v>
      </c>
      <c r="Q2671" s="17">
        <v>0</v>
      </c>
      <c r="R2671" s="13"/>
      <c r="S2671" s="13"/>
      <c r="T2671" s="13"/>
      <c r="U2671" s="13"/>
      <c r="V2671" s="13"/>
      <c r="W2671" s="13"/>
    </row>
    <row r="2672" spans="1:23" x14ac:dyDescent="0.2">
      <c r="A2672"/>
      <c r="B2672"/>
      <c r="C2672"/>
      <c r="D2672"/>
      <c r="E2672"/>
      <c r="F2672"/>
      <c r="G2672"/>
      <c r="H2672"/>
      <c r="I2672"/>
      <c r="J2672"/>
      <c r="K2672" s="13" t="s">
        <v>586</v>
      </c>
      <c r="L2672" s="13" t="s">
        <v>615</v>
      </c>
      <c r="M2672" s="13" t="s">
        <v>449</v>
      </c>
      <c r="N2672" s="15">
        <v>1</v>
      </c>
      <c r="O2672" s="16">
        <v>0</v>
      </c>
      <c r="P2672" s="17">
        <v>0</v>
      </c>
      <c r="Q2672" s="17">
        <v>0</v>
      </c>
      <c r="R2672" s="13"/>
      <c r="S2672" s="13"/>
      <c r="T2672" s="13"/>
      <c r="U2672" s="13"/>
      <c r="V2672" s="13"/>
      <c r="W2672" s="13"/>
    </row>
    <row r="2673" spans="1:23" x14ac:dyDescent="0.2">
      <c r="A2673"/>
      <c r="B2673"/>
      <c r="C2673"/>
      <c r="D2673"/>
      <c r="E2673"/>
      <c r="F2673"/>
      <c r="G2673"/>
      <c r="H2673"/>
      <c r="I2673"/>
      <c r="J2673"/>
      <c r="K2673" s="13" t="s">
        <v>586</v>
      </c>
      <c r="L2673" s="13" t="s">
        <v>610</v>
      </c>
      <c r="M2673" s="13" t="s">
        <v>418</v>
      </c>
      <c r="N2673" s="15">
        <v>0</v>
      </c>
      <c r="O2673" s="16">
        <v>37.318269856966161</v>
      </c>
      <c r="P2673" s="17">
        <v>0</v>
      </c>
      <c r="Q2673" s="17">
        <v>0</v>
      </c>
      <c r="R2673" s="13"/>
      <c r="S2673" s="13"/>
      <c r="T2673" s="13"/>
      <c r="U2673" s="13"/>
      <c r="V2673" s="13"/>
      <c r="W2673" s="13"/>
    </row>
    <row r="2674" spans="1:23" x14ac:dyDescent="0.2">
      <c r="A2674"/>
      <c r="B2674"/>
      <c r="C2674"/>
      <c r="D2674"/>
      <c r="E2674"/>
      <c r="F2674"/>
      <c r="G2674"/>
      <c r="H2674"/>
      <c r="I2674"/>
      <c r="J2674"/>
      <c r="K2674" s="13" t="s">
        <v>586</v>
      </c>
      <c r="L2674" s="13" t="s">
        <v>421</v>
      </c>
      <c r="M2674" s="13" t="s">
        <v>443</v>
      </c>
      <c r="N2674" s="15">
        <v>5</v>
      </c>
      <c r="O2674" s="16">
        <v>0</v>
      </c>
      <c r="P2674" s="17">
        <v>0</v>
      </c>
      <c r="Q2674" s="17">
        <v>0</v>
      </c>
      <c r="R2674" s="13"/>
      <c r="S2674" s="13"/>
      <c r="T2674" s="13"/>
      <c r="U2674" s="13"/>
      <c r="V2674" s="13"/>
      <c r="W2674" s="13"/>
    </row>
    <row r="2675" spans="1:23" x14ac:dyDescent="0.2">
      <c r="A2675"/>
      <c r="B2675"/>
      <c r="C2675"/>
      <c r="D2675"/>
      <c r="E2675"/>
      <c r="F2675"/>
      <c r="G2675"/>
      <c r="H2675"/>
      <c r="I2675"/>
      <c r="J2675"/>
      <c r="K2675" s="13" t="s">
        <v>586</v>
      </c>
      <c r="L2675" s="13" t="s">
        <v>383</v>
      </c>
      <c r="M2675" s="13" t="s">
        <v>420</v>
      </c>
      <c r="N2675" s="15">
        <v>12</v>
      </c>
      <c r="O2675" s="16">
        <v>0</v>
      </c>
      <c r="P2675" s="17">
        <v>0</v>
      </c>
      <c r="Q2675" s="17">
        <v>0</v>
      </c>
      <c r="R2675" s="13"/>
      <c r="S2675" s="13"/>
      <c r="T2675" s="13"/>
      <c r="U2675" s="13"/>
      <c r="V2675" s="13"/>
      <c r="W2675" s="13"/>
    </row>
    <row r="2676" spans="1:23" x14ac:dyDescent="0.2">
      <c r="A2676"/>
      <c r="B2676"/>
      <c r="C2676"/>
      <c r="D2676"/>
      <c r="E2676"/>
      <c r="F2676"/>
      <c r="G2676"/>
      <c r="H2676"/>
      <c r="I2676"/>
      <c r="J2676"/>
      <c r="K2676" s="13" t="s">
        <v>586</v>
      </c>
      <c r="L2676" s="13" t="s">
        <v>528</v>
      </c>
      <c r="M2676" s="13" t="s">
        <v>384</v>
      </c>
      <c r="N2676" s="15">
        <v>0</v>
      </c>
      <c r="O2676" s="16">
        <v>313.06764606072812</v>
      </c>
      <c r="P2676" s="17">
        <v>0</v>
      </c>
      <c r="Q2676" s="17">
        <v>0</v>
      </c>
      <c r="R2676" s="13"/>
      <c r="S2676" s="13"/>
      <c r="T2676" s="13"/>
      <c r="U2676" s="13"/>
      <c r="V2676" s="13"/>
      <c r="W2676" s="13"/>
    </row>
    <row r="2677" spans="1:23" x14ac:dyDescent="0.2">
      <c r="A2677"/>
      <c r="B2677"/>
      <c r="C2677"/>
      <c r="D2677"/>
      <c r="E2677"/>
      <c r="F2677"/>
      <c r="G2677"/>
      <c r="H2677"/>
      <c r="I2677"/>
      <c r="J2677"/>
      <c r="K2677" s="13" t="s">
        <v>586</v>
      </c>
      <c r="L2677" s="13" t="s">
        <v>613</v>
      </c>
      <c r="M2677" s="13" t="s">
        <v>444</v>
      </c>
      <c r="N2677" s="15">
        <v>0</v>
      </c>
      <c r="O2677" s="16">
        <v>80.804790673141312</v>
      </c>
      <c r="P2677" s="17">
        <v>0</v>
      </c>
      <c r="Q2677" s="17">
        <v>0</v>
      </c>
      <c r="R2677" s="13"/>
      <c r="S2677" s="13"/>
      <c r="T2677" s="13"/>
      <c r="U2677" s="13"/>
      <c r="V2677" s="13"/>
      <c r="W2677" s="13"/>
    </row>
    <row r="2678" spans="1:23" x14ac:dyDescent="0.2">
      <c r="A2678"/>
      <c r="B2678"/>
      <c r="C2678"/>
      <c r="D2678"/>
      <c r="E2678"/>
      <c r="F2678"/>
      <c r="G2678"/>
      <c r="H2678"/>
      <c r="I2678"/>
      <c r="J2678"/>
      <c r="K2678" s="13" t="s">
        <v>586</v>
      </c>
      <c r="L2678" s="13" t="s">
        <v>446</v>
      </c>
      <c r="M2678" s="13" t="s">
        <v>371</v>
      </c>
      <c r="N2678" s="15">
        <v>10</v>
      </c>
      <c r="O2678" s="16">
        <v>0</v>
      </c>
      <c r="P2678" s="17">
        <v>0</v>
      </c>
      <c r="Q2678" s="17">
        <v>0</v>
      </c>
      <c r="R2678" s="13"/>
      <c r="S2678" s="13"/>
      <c r="T2678" s="13"/>
      <c r="U2678" s="13"/>
      <c r="V2678" s="13"/>
      <c r="W2678" s="13"/>
    </row>
    <row r="2679" spans="1:23" x14ac:dyDescent="0.2">
      <c r="A2679"/>
      <c r="B2679"/>
      <c r="C2679"/>
      <c r="D2679"/>
      <c r="E2679"/>
      <c r="F2679"/>
      <c r="G2679"/>
      <c r="H2679"/>
      <c r="I2679"/>
      <c r="J2679"/>
      <c r="K2679" s="13" t="s">
        <v>586</v>
      </c>
      <c r="L2679" s="13" t="s">
        <v>424</v>
      </c>
      <c r="M2679" s="13" t="s">
        <v>468</v>
      </c>
      <c r="N2679" s="15">
        <v>0</v>
      </c>
      <c r="O2679" s="16">
        <v>0</v>
      </c>
      <c r="P2679" s="17">
        <v>9.2285500002615617</v>
      </c>
      <c r="Q2679" s="17">
        <v>0</v>
      </c>
      <c r="R2679" s="13"/>
      <c r="S2679" s="13"/>
      <c r="T2679" s="13"/>
      <c r="U2679" s="13"/>
      <c r="V2679" s="13"/>
      <c r="W2679" s="13"/>
    </row>
    <row r="2680" spans="1:23" x14ac:dyDescent="0.2">
      <c r="A2680"/>
      <c r="B2680"/>
      <c r="C2680"/>
      <c r="D2680"/>
      <c r="E2680"/>
      <c r="F2680"/>
      <c r="G2680"/>
      <c r="H2680"/>
      <c r="I2680"/>
      <c r="J2680"/>
      <c r="K2680" s="13" t="s">
        <v>586</v>
      </c>
      <c r="L2680" s="13" t="s">
        <v>484</v>
      </c>
      <c r="M2680" s="13" t="s">
        <v>529</v>
      </c>
      <c r="N2680" s="15">
        <v>0</v>
      </c>
      <c r="O2680" s="16">
        <v>54.024875685850695</v>
      </c>
      <c r="P2680" s="17">
        <v>0</v>
      </c>
      <c r="Q2680" s="17">
        <v>0</v>
      </c>
      <c r="R2680" s="13"/>
      <c r="S2680" s="13"/>
      <c r="T2680" s="13"/>
      <c r="U2680" s="13"/>
      <c r="V2680" s="13"/>
      <c r="W2680" s="13"/>
    </row>
    <row r="2681" spans="1:23" x14ac:dyDescent="0.2">
      <c r="A2681"/>
      <c r="B2681"/>
      <c r="C2681"/>
      <c r="D2681"/>
      <c r="E2681"/>
      <c r="F2681"/>
      <c r="G2681"/>
      <c r="H2681"/>
      <c r="I2681"/>
      <c r="J2681"/>
      <c r="K2681" s="13" t="s">
        <v>586</v>
      </c>
      <c r="L2681" s="13" t="s">
        <v>469</v>
      </c>
      <c r="M2681" s="13" t="s">
        <v>426</v>
      </c>
      <c r="N2681" s="15">
        <v>4</v>
      </c>
      <c r="O2681" s="16">
        <v>0</v>
      </c>
      <c r="P2681" s="17">
        <v>0</v>
      </c>
      <c r="Q2681" s="17">
        <v>0</v>
      </c>
      <c r="R2681" s="13"/>
      <c r="S2681" s="13"/>
      <c r="T2681" s="13"/>
      <c r="U2681" s="13"/>
      <c r="V2681" s="13"/>
      <c r="W2681" s="13"/>
    </row>
    <row r="2682" spans="1:23" x14ac:dyDescent="0.2">
      <c r="A2682"/>
      <c r="B2682"/>
      <c r="C2682"/>
      <c r="D2682"/>
      <c r="E2682"/>
      <c r="F2682"/>
      <c r="G2682"/>
      <c r="H2682"/>
      <c r="I2682"/>
      <c r="J2682"/>
      <c r="K2682" s="13" t="s">
        <v>214</v>
      </c>
      <c r="L2682" s="13" t="s">
        <v>435</v>
      </c>
      <c r="M2682" s="13" t="s">
        <v>364</v>
      </c>
      <c r="N2682" s="15">
        <v>0</v>
      </c>
      <c r="O2682" s="16">
        <v>22.167221434138963</v>
      </c>
      <c r="P2682" s="17">
        <v>0</v>
      </c>
      <c r="Q2682" s="17">
        <v>0</v>
      </c>
      <c r="R2682" s="13"/>
      <c r="S2682" s="13"/>
      <c r="T2682" s="13"/>
      <c r="U2682" s="13"/>
      <c r="V2682" s="13"/>
      <c r="W2682" s="13"/>
    </row>
    <row r="2683" spans="1:23" x14ac:dyDescent="0.2">
      <c r="A2683"/>
      <c r="B2683"/>
      <c r="C2683"/>
      <c r="D2683"/>
      <c r="E2683"/>
      <c r="F2683"/>
      <c r="G2683"/>
      <c r="H2683"/>
      <c r="I2683"/>
      <c r="J2683"/>
      <c r="K2683" s="13" t="s">
        <v>214</v>
      </c>
      <c r="L2683" s="13" t="s">
        <v>387</v>
      </c>
      <c r="M2683" s="13" t="s">
        <v>386</v>
      </c>
      <c r="N2683" s="15">
        <v>0</v>
      </c>
      <c r="O2683" s="16">
        <v>0</v>
      </c>
      <c r="P2683" s="17">
        <v>46.420999998278333</v>
      </c>
      <c r="Q2683" s="17">
        <v>0</v>
      </c>
      <c r="R2683" s="13"/>
      <c r="S2683" s="13"/>
      <c r="T2683" s="13"/>
      <c r="U2683" s="13"/>
      <c r="V2683" s="13"/>
      <c r="W2683" s="13"/>
    </row>
    <row r="2684" spans="1:23" x14ac:dyDescent="0.2">
      <c r="A2684"/>
      <c r="B2684"/>
      <c r="C2684"/>
      <c r="D2684"/>
      <c r="E2684"/>
      <c r="F2684"/>
      <c r="G2684"/>
      <c r="H2684"/>
      <c r="I2684"/>
      <c r="J2684"/>
      <c r="K2684" s="13" t="s">
        <v>214</v>
      </c>
      <c r="L2684" s="13" t="s">
        <v>389</v>
      </c>
      <c r="M2684" s="13" t="s">
        <v>388</v>
      </c>
      <c r="N2684" s="15">
        <v>0</v>
      </c>
      <c r="O2684" s="16">
        <v>0</v>
      </c>
      <c r="P2684" s="17">
        <v>213.69039998806636</v>
      </c>
      <c r="Q2684" s="17">
        <v>0</v>
      </c>
      <c r="R2684" s="13"/>
      <c r="S2684" s="13"/>
      <c r="T2684" s="13"/>
      <c r="U2684" s="13"/>
      <c r="V2684" s="13"/>
      <c r="W2684" s="13"/>
    </row>
    <row r="2685" spans="1:23" x14ac:dyDescent="0.2">
      <c r="A2685"/>
      <c r="B2685"/>
      <c r="C2685"/>
      <c r="D2685"/>
      <c r="E2685"/>
      <c r="F2685"/>
      <c r="G2685"/>
      <c r="H2685"/>
      <c r="I2685"/>
      <c r="J2685"/>
      <c r="K2685" s="13" t="s">
        <v>214</v>
      </c>
      <c r="L2685" s="13" t="s">
        <v>512</v>
      </c>
      <c r="M2685" s="13" t="s">
        <v>466</v>
      </c>
      <c r="N2685" s="15">
        <v>0</v>
      </c>
      <c r="O2685" s="16">
        <v>0</v>
      </c>
      <c r="P2685" s="17">
        <v>138.47480000882857</v>
      </c>
      <c r="Q2685" s="17">
        <v>0</v>
      </c>
      <c r="R2685" s="13"/>
      <c r="S2685" s="13"/>
      <c r="T2685" s="13"/>
      <c r="U2685" s="13"/>
      <c r="V2685" s="13"/>
      <c r="W2685" s="13"/>
    </row>
    <row r="2686" spans="1:23" x14ac:dyDescent="0.2">
      <c r="A2686"/>
      <c r="B2686"/>
      <c r="C2686"/>
      <c r="D2686"/>
      <c r="E2686"/>
      <c r="F2686"/>
      <c r="G2686"/>
      <c r="H2686"/>
      <c r="I2686"/>
      <c r="J2686"/>
      <c r="K2686" s="13" t="s">
        <v>214</v>
      </c>
      <c r="L2686" s="13" t="s">
        <v>395</v>
      </c>
      <c r="M2686" s="13" t="s">
        <v>602</v>
      </c>
      <c r="N2686" s="15">
        <v>3</v>
      </c>
      <c r="O2686" s="16">
        <v>0</v>
      </c>
      <c r="P2686" s="17">
        <v>0</v>
      </c>
      <c r="Q2686" s="17">
        <v>0</v>
      </c>
      <c r="R2686" s="13"/>
      <c r="S2686" s="13"/>
      <c r="T2686" s="13"/>
      <c r="U2686" s="13"/>
      <c r="V2686" s="13"/>
      <c r="W2686" s="13"/>
    </row>
    <row r="2687" spans="1:23" x14ac:dyDescent="0.2">
      <c r="A2687"/>
      <c r="B2687"/>
      <c r="C2687"/>
      <c r="D2687"/>
      <c r="E2687"/>
      <c r="F2687"/>
      <c r="G2687"/>
      <c r="H2687"/>
      <c r="I2687"/>
      <c r="J2687"/>
      <c r="K2687" s="13" t="s">
        <v>214</v>
      </c>
      <c r="L2687" s="13" t="s">
        <v>402</v>
      </c>
      <c r="M2687" s="13" t="s">
        <v>403</v>
      </c>
      <c r="N2687" s="15">
        <v>0</v>
      </c>
      <c r="O2687" s="16">
        <v>0</v>
      </c>
      <c r="P2687" s="17">
        <v>400.46543646120278</v>
      </c>
      <c r="Q2687" s="17">
        <v>0</v>
      </c>
      <c r="R2687" s="13"/>
      <c r="S2687" s="13"/>
      <c r="T2687" s="13"/>
      <c r="U2687" s="13"/>
      <c r="V2687" s="13"/>
      <c r="W2687" s="13"/>
    </row>
    <row r="2688" spans="1:23" x14ac:dyDescent="0.2">
      <c r="A2688"/>
      <c r="B2688"/>
      <c r="C2688"/>
      <c r="D2688"/>
      <c r="E2688"/>
      <c r="F2688"/>
      <c r="G2688"/>
      <c r="H2688"/>
      <c r="I2688"/>
      <c r="J2688"/>
      <c r="K2688" s="13" t="s">
        <v>214</v>
      </c>
      <c r="L2688" s="13" t="s">
        <v>623</v>
      </c>
      <c r="M2688" s="13" t="s">
        <v>530</v>
      </c>
      <c r="N2688" s="15">
        <v>0</v>
      </c>
      <c r="O2688" s="16">
        <v>6.8462614437161555</v>
      </c>
      <c r="P2688" s="17">
        <v>0</v>
      </c>
      <c r="Q2688" s="17">
        <v>0</v>
      </c>
      <c r="R2688" s="13"/>
      <c r="S2688" s="13"/>
      <c r="T2688" s="13"/>
      <c r="U2688" s="13"/>
      <c r="V2688" s="13"/>
      <c r="W2688" s="13"/>
    </row>
    <row r="2689" spans="1:23" x14ac:dyDescent="0.2">
      <c r="A2689"/>
      <c r="B2689"/>
      <c r="C2689"/>
      <c r="D2689"/>
      <c r="E2689"/>
      <c r="F2689"/>
      <c r="G2689"/>
      <c r="H2689"/>
      <c r="I2689"/>
      <c r="J2689"/>
      <c r="K2689" s="13" t="s">
        <v>214</v>
      </c>
      <c r="L2689" s="13" t="s">
        <v>615</v>
      </c>
      <c r="M2689" s="13" t="s">
        <v>449</v>
      </c>
      <c r="N2689" s="15">
        <v>1</v>
      </c>
      <c r="O2689" s="16">
        <v>0</v>
      </c>
      <c r="P2689" s="17">
        <v>0</v>
      </c>
      <c r="Q2689" s="17">
        <v>0</v>
      </c>
      <c r="R2689" s="13"/>
      <c r="S2689" s="13"/>
      <c r="T2689" s="13"/>
      <c r="U2689" s="13"/>
      <c r="V2689" s="13"/>
      <c r="W2689" s="13"/>
    </row>
    <row r="2690" spans="1:23" x14ac:dyDescent="0.2">
      <c r="A2690"/>
      <c r="B2690"/>
      <c r="C2690"/>
      <c r="D2690"/>
      <c r="E2690"/>
      <c r="F2690"/>
      <c r="G2690"/>
      <c r="H2690"/>
      <c r="I2690"/>
      <c r="J2690"/>
      <c r="K2690" s="13" t="s">
        <v>214</v>
      </c>
      <c r="L2690" s="13" t="s">
        <v>383</v>
      </c>
      <c r="M2690" s="13" t="s">
        <v>420</v>
      </c>
      <c r="N2690" s="15">
        <v>2</v>
      </c>
      <c r="O2690" s="16">
        <v>0</v>
      </c>
      <c r="P2690" s="17">
        <v>0</v>
      </c>
      <c r="Q2690" s="17">
        <v>0</v>
      </c>
      <c r="R2690" s="13"/>
      <c r="S2690" s="13"/>
      <c r="T2690" s="13"/>
      <c r="U2690" s="13"/>
      <c r="V2690" s="13"/>
      <c r="W2690" s="13"/>
    </row>
    <row r="2691" spans="1:23" x14ac:dyDescent="0.2">
      <c r="A2691"/>
      <c r="B2691"/>
      <c r="C2691"/>
      <c r="D2691"/>
      <c r="E2691"/>
      <c r="F2691"/>
      <c r="G2691"/>
      <c r="H2691"/>
      <c r="I2691"/>
      <c r="J2691"/>
      <c r="K2691" s="13" t="s">
        <v>214</v>
      </c>
      <c r="L2691" s="13" t="s">
        <v>528</v>
      </c>
      <c r="M2691" s="13" t="s">
        <v>384</v>
      </c>
      <c r="N2691" s="15">
        <v>0</v>
      </c>
      <c r="O2691" s="16">
        <v>46.477486083932227</v>
      </c>
      <c r="P2691" s="17">
        <v>0</v>
      </c>
      <c r="Q2691" s="17">
        <v>0</v>
      </c>
      <c r="R2691" s="13"/>
      <c r="S2691" s="13"/>
      <c r="T2691" s="13"/>
      <c r="U2691" s="13"/>
      <c r="V2691" s="13"/>
      <c r="W2691" s="13"/>
    </row>
    <row r="2692" spans="1:23" x14ac:dyDescent="0.2">
      <c r="A2692"/>
      <c r="B2692"/>
      <c r="C2692"/>
      <c r="D2692"/>
      <c r="E2692"/>
      <c r="F2692"/>
      <c r="G2692"/>
      <c r="H2692"/>
      <c r="I2692"/>
      <c r="J2692"/>
      <c r="K2692" s="13" t="s">
        <v>214</v>
      </c>
      <c r="L2692" s="13" t="s">
        <v>613</v>
      </c>
      <c r="M2692" s="13" t="s">
        <v>444</v>
      </c>
      <c r="N2692" s="15">
        <v>0</v>
      </c>
      <c r="O2692" s="16">
        <v>8.1498466239431391</v>
      </c>
      <c r="P2692" s="17">
        <v>0</v>
      </c>
      <c r="Q2692" s="17">
        <v>0</v>
      </c>
      <c r="R2692" s="13"/>
      <c r="S2692" s="13"/>
      <c r="T2692" s="13"/>
      <c r="U2692" s="13"/>
      <c r="V2692" s="13"/>
      <c r="W2692" s="13"/>
    </row>
    <row r="2693" spans="1:23" x14ac:dyDescent="0.2">
      <c r="A2693"/>
      <c r="B2693"/>
      <c r="C2693"/>
      <c r="D2693"/>
      <c r="E2693"/>
      <c r="F2693"/>
      <c r="G2693"/>
      <c r="H2693"/>
      <c r="I2693"/>
      <c r="J2693"/>
      <c r="K2693" s="13" t="s">
        <v>214</v>
      </c>
      <c r="L2693" s="13" t="s">
        <v>446</v>
      </c>
      <c r="M2693" s="13" t="s">
        <v>371</v>
      </c>
      <c r="N2693" s="15">
        <v>2</v>
      </c>
      <c r="O2693" s="16">
        <v>0</v>
      </c>
      <c r="P2693" s="17">
        <v>0</v>
      </c>
      <c r="Q2693" s="17">
        <v>0</v>
      </c>
      <c r="R2693" s="13"/>
      <c r="S2693" s="13"/>
      <c r="T2693" s="13"/>
      <c r="U2693" s="13"/>
      <c r="V2693" s="13"/>
      <c r="W2693" s="13"/>
    </row>
    <row r="2694" spans="1:23" x14ac:dyDescent="0.2">
      <c r="A2694"/>
      <c r="B2694"/>
      <c r="C2694"/>
      <c r="D2694"/>
      <c r="E2694"/>
      <c r="F2694"/>
      <c r="G2694"/>
      <c r="H2694"/>
      <c r="I2694"/>
      <c r="J2694"/>
      <c r="K2694" s="13" t="s">
        <v>214</v>
      </c>
      <c r="L2694" s="13" t="s">
        <v>484</v>
      </c>
      <c r="M2694" s="13" t="s">
        <v>529</v>
      </c>
      <c r="N2694" s="15">
        <v>0</v>
      </c>
      <c r="O2694" s="16">
        <v>53.654372608488281</v>
      </c>
      <c r="P2694" s="17">
        <v>0</v>
      </c>
      <c r="Q2694" s="17">
        <v>0</v>
      </c>
      <c r="R2694" s="13"/>
      <c r="S2694" s="13"/>
      <c r="T2694" s="13"/>
      <c r="U2694" s="13"/>
      <c r="V2694" s="13"/>
      <c r="W2694" s="13"/>
    </row>
    <row r="2695" spans="1:23" x14ac:dyDescent="0.2">
      <c r="A2695"/>
      <c r="B2695"/>
      <c r="C2695"/>
      <c r="D2695"/>
      <c r="E2695"/>
      <c r="F2695"/>
      <c r="G2695"/>
      <c r="H2695"/>
      <c r="I2695"/>
      <c r="J2695"/>
      <c r="K2695" s="13" t="s">
        <v>214</v>
      </c>
      <c r="L2695" s="13" t="s">
        <v>469</v>
      </c>
      <c r="M2695" s="13" t="s">
        <v>426</v>
      </c>
      <c r="N2695" s="15">
        <v>5</v>
      </c>
      <c r="O2695" s="16">
        <v>0</v>
      </c>
      <c r="P2695" s="17">
        <v>0</v>
      </c>
      <c r="Q2695" s="17">
        <v>0</v>
      </c>
      <c r="R2695" s="13"/>
      <c r="S2695" s="13"/>
      <c r="T2695" s="13"/>
      <c r="U2695" s="13"/>
      <c r="V2695" s="13"/>
      <c r="W2695" s="13"/>
    </row>
    <row r="2696" spans="1:23" x14ac:dyDescent="0.2">
      <c r="A2696"/>
      <c r="B2696"/>
      <c r="C2696"/>
      <c r="D2696"/>
      <c r="E2696"/>
      <c r="F2696"/>
      <c r="G2696"/>
      <c r="H2696"/>
      <c r="I2696"/>
      <c r="J2696"/>
      <c r="K2696" s="13" t="s">
        <v>216</v>
      </c>
      <c r="L2696" s="13" t="s">
        <v>635</v>
      </c>
      <c r="M2696" s="13" t="s">
        <v>507</v>
      </c>
      <c r="N2696" s="15">
        <v>0</v>
      </c>
      <c r="O2696" s="16">
        <v>0</v>
      </c>
      <c r="P2696" s="17">
        <v>9.6926499985992223</v>
      </c>
      <c r="Q2696" s="17">
        <v>0</v>
      </c>
      <c r="R2696" s="13"/>
      <c r="S2696" s="13"/>
      <c r="T2696" s="13"/>
      <c r="U2696" s="13"/>
      <c r="V2696" s="13"/>
      <c r="W2696" s="13"/>
    </row>
    <row r="2697" spans="1:23" x14ac:dyDescent="0.2">
      <c r="A2697"/>
      <c r="B2697"/>
      <c r="C2697"/>
      <c r="D2697"/>
      <c r="E2697"/>
      <c r="F2697"/>
      <c r="G2697"/>
      <c r="H2697"/>
      <c r="I2697"/>
      <c r="J2697"/>
      <c r="K2697" s="13" t="s">
        <v>216</v>
      </c>
      <c r="L2697" s="13" t="s">
        <v>387</v>
      </c>
      <c r="M2697" s="13" t="s">
        <v>386</v>
      </c>
      <c r="N2697" s="15">
        <v>0</v>
      </c>
      <c r="O2697" s="16">
        <v>0</v>
      </c>
      <c r="P2697" s="17">
        <v>1044.919200015006</v>
      </c>
      <c r="Q2697" s="17">
        <v>0</v>
      </c>
      <c r="R2697" s="13"/>
      <c r="S2697" s="13"/>
      <c r="T2697" s="13"/>
      <c r="U2697" s="13"/>
      <c r="V2697" s="13"/>
      <c r="W2697" s="13"/>
    </row>
    <row r="2698" spans="1:23" x14ac:dyDescent="0.2">
      <c r="A2698"/>
      <c r="B2698"/>
      <c r="C2698"/>
      <c r="D2698"/>
      <c r="E2698"/>
      <c r="F2698"/>
      <c r="G2698"/>
      <c r="H2698"/>
      <c r="I2698"/>
      <c r="J2698"/>
      <c r="K2698" s="13" t="s">
        <v>216</v>
      </c>
      <c r="L2698" s="13" t="s">
        <v>389</v>
      </c>
      <c r="M2698" s="13" t="s">
        <v>388</v>
      </c>
      <c r="N2698" s="15">
        <v>0</v>
      </c>
      <c r="O2698" s="16">
        <v>0</v>
      </c>
      <c r="P2698" s="17">
        <v>1184.954778752038</v>
      </c>
      <c r="Q2698" s="17">
        <v>0</v>
      </c>
      <c r="R2698" s="13"/>
      <c r="S2698" s="13"/>
      <c r="T2698" s="13"/>
      <c r="U2698" s="13"/>
      <c r="V2698" s="13"/>
      <c r="W2698" s="13"/>
    </row>
    <row r="2699" spans="1:23" x14ac:dyDescent="0.2">
      <c r="A2699"/>
      <c r="B2699"/>
      <c r="C2699"/>
      <c r="D2699"/>
      <c r="E2699"/>
      <c r="F2699"/>
      <c r="G2699"/>
      <c r="H2699"/>
      <c r="I2699"/>
      <c r="J2699"/>
      <c r="K2699" s="13" t="s">
        <v>216</v>
      </c>
      <c r="L2699" s="13" t="s">
        <v>542</v>
      </c>
      <c r="M2699" s="13" t="s">
        <v>390</v>
      </c>
      <c r="N2699" s="15">
        <v>0</v>
      </c>
      <c r="O2699" s="16">
        <v>0</v>
      </c>
      <c r="P2699" s="17">
        <v>12.651349998493773</v>
      </c>
      <c r="Q2699" s="17">
        <v>0</v>
      </c>
      <c r="R2699" s="13"/>
      <c r="S2699" s="13"/>
      <c r="T2699" s="13"/>
      <c r="U2699" s="13"/>
      <c r="V2699" s="13"/>
      <c r="W2699" s="13"/>
    </row>
    <row r="2700" spans="1:23" x14ac:dyDescent="0.2">
      <c r="A2700"/>
      <c r="B2700"/>
      <c r="C2700"/>
      <c r="D2700"/>
      <c r="E2700"/>
      <c r="F2700"/>
      <c r="G2700"/>
      <c r="H2700"/>
      <c r="I2700"/>
      <c r="J2700"/>
      <c r="K2700" s="13" t="s">
        <v>216</v>
      </c>
      <c r="L2700" s="13" t="s">
        <v>391</v>
      </c>
      <c r="M2700" s="13" t="s">
        <v>358</v>
      </c>
      <c r="N2700" s="15">
        <v>0</v>
      </c>
      <c r="O2700" s="16">
        <v>0</v>
      </c>
      <c r="P2700" s="17">
        <v>31.644899995152862</v>
      </c>
      <c r="Q2700" s="17">
        <v>0</v>
      </c>
      <c r="R2700" s="13"/>
      <c r="S2700" s="13"/>
      <c r="T2700" s="13"/>
      <c r="U2700" s="13"/>
      <c r="V2700" s="13"/>
      <c r="W2700" s="13"/>
    </row>
    <row r="2701" spans="1:23" x14ac:dyDescent="0.2">
      <c r="A2701"/>
      <c r="B2701"/>
      <c r="C2701"/>
      <c r="D2701"/>
      <c r="E2701"/>
      <c r="F2701"/>
      <c r="G2701"/>
      <c r="H2701"/>
      <c r="I2701"/>
      <c r="J2701"/>
      <c r="K2701" s="13" t="s">
        <v>216</v>
      </c>
      <c r="L2701" s="13" t="s">
        <v>392</v>
      </c>
      <c r="M2701" s="13" t="s">
        <v>437</v>
      </c>
      <c r="N2701" s="15">
        <v>0</v>
      </c>
      <c r="O2701" s="16">
        <v>0</v>
      </c>
      <c r="P2701" s="17">
        <v>41.148400012585597</v>
      </c>
      <c r="Q2701" s="17">
        <v>0</v>
      </c>
      <c r="R2701" s="13"/>
      <c r="S2701" s="13"/>
      <c r="T2701" s="13"/>
      <c r="U2701" s="13"/>
      <c r="V2701" s="13"/>
      <c r="W2701" s="13"/>
    </row>
    <row r="2702" spans="1:23" x14ac:dyDescent="0.2">
      <c r="A2702"/>
      <c r="B2702"/>
      <c r="C2702"/>
      <c r="D2702"/>
      <c r="E2702"/>
      <c r="F2702"/>
      <c r="G2702"/>
      <c r="H2702"/>
      <c r="I2702"/>
      <c r="J2702"/>
      <c r="K2702" s="13" t="s">
        <v>216</v>
      </c>
      <c r="L2702" s="13" t="s">
        <v>486</v>
      </c>
      <c r="M2702" s="13" t="s">
        <v>439</v>
      </c>
      <c r="N2702" s="15">
        <v>0</v>
      </c>
      <c r="O2702" s="16">
        <v>0</v>
      </c>
      <c r="P2702" s="17">
        <v>158.59030916264743</v>
      </c>
      <c r="Q2702" s="17">
        <v>0</v>
      </c>
      <c r="R2702" s="13"/>
      <c r="S2702" s="13"/>
      <c r="T2702" s="13"/>
      <c r="U2702" s="13"/>
      <c r="V2702" s="13"/>
      <c r="W2702" s="13"/>
    </row>
    <row r="2703" spans="1:23" x14ac:dyDescent="0.2">
      <c r="A2703"/>
      <c r="B2703"/>
      <c r="C2703"/>
      <c r="D2703"/>
      <c r="E2703"/>
      <c r="F2703"/>
      <c r="G2703"/>
      <c r="H2703"/>
      <c r="I2703"/>
      <c r="J2703"/>
      <c r="K2703" s="13" t="s">
        <v>216</v>
      </c>
      <c r="L2703" s="13" t="s">
        <v>512</v>
      </c>
      <c r="M2703" s="13" t="s">
        <v>466</v>
      </c>
      <c r="N2703" s="15">
        <v>0</v>
      </c>
      <c r="O2703" s="16">
        <v>0</v>
      </c>
      <c r="P2703" s="17">
        <v>100.36829999438271</v>
      </c>
      <c r="Q2703" s="17">
        <v>0</v>
      </c>
      <c r="R2703" s="13"/>
      <c r="S2703" s="13"/>
      <c r="T2703" s="13"/>
      <c r="U2703" s="13"/>
      <c r="V2703" s="13"/>
      <c r="W2703" s="13"/>
    </row>
    <row r="2704" spans="1:23" x14ac:dyDescent="0.2">
      <c r="A2704"/>
      <c r="B2704"/>
      <c r="C2704"/>
      <c r="D2704"/>
      <c r="E2704"/>
      <c r="F2704"/>
      <c r="G2704"/>
      <c r="H2704"/>
      <c r="I2704"/>
      <c r="J2704"/>
      <c r="K2704" s="13" t="s">
        <v>216</v>
      </c>
      <c r="L2704" s="13" t="s">
        <v>532</v>
      </c>
      <c r="M2704" s="13" t="s">
        <v>620</v>
      </c>
      <c r="N2704" s="15">
        <v>0</v>
      </c>
      <c r="O2704" s="16">
        <v>0</v>
      </c>
      <c r="P2704" s="17">
        <v>37.071149990704058</v>
      </c>
      <c r="Q2704" s="17">
        <v>0</v>
      </c>
      <c r="R2704" s="13"/>
      <c r="S2704" s="13"/>
      <c r="T2704" s="13"/>
      <c r="U2704" s="13"/>
      <c r="V2704" s="13"/>
      <c r="W2704" s="13"/>
    </row>
    <row r="2705" spans="1:23" x14ac:dyDescent="0.2">
      <c r="A2705"/>
      <c r="B2705"/>
      <c r="C2705"/>
      <c r="D2705"/>
      <c r="E2705"/>
      <c r="F2705"/>
      <c r="G2705"/>
      <c r="H2705"/>
      <c r="I2705"/>
      <c r="J2705"/>
      <c r="K2705" s="13" t="s">
        <v>216</v>
      </c>
      <c r="L2705" s="13" t="s">
        <v>513</v>
      </c>
      <c r="M2705" s="13" t="s">
        <v>533</v>
      </c>
      <c r="N2705" s="15">
        <v>0</v>
      </c>
      <c r="O2705" s="16">
        <v>0</v>
      </c>
      <c r="P2705" s="17">
        <v>28.538699997756588</v>
      </c>
      <c r="Q2705" s="17">
        <v>0</v>
      </c>
      <c r="R2705" s="13"/>
      <c r="S2705" s="13"/>
      <c r="T2705" s="13"/>
      <c r="U2705" s="13"/>
      <c r="V2705" s="13"/>
      <c r="W2705" s="13"/>
    </row>
    <row r="2706" spans="1:23" x14ac:dyDescent="0.2">
      <c r="A2706"/>
      <c r="B2706"/>
      <c r="C2706"/>
      <c r="D2706"/>
      <c r="E2706"/>
      <c r="F2706"/>
      <c r="G2706"/>
      <c r="H2706"/>
      <c r="I2706"/>
      <c r="J2706"/>
      <c r="K2706" s="13" t="s">
        <v>216</v>
      </c>
      <c r="L2706" s="13" t="s">
        <v>440</v>
      </c>
      <c r="M2706" s="13" t="s">
        <v>441</v>
      </c>
      <c r="N2706" s="15">
        <v>4</v>
      </c>
      <c r="O2706" s="16">
        <v>0</v>
      </c>
      <c r="P2706" s="17">
        <v>0</v>
      </c>
      <c r="Q2706" s="17">
        <v>0</v>
      </c>
      <c r="R2706" s="13"/>
      <c r="S2706" s="13"/>
      <c r="T2706" s="13"/>
      <c r="U2706" s="13"/>
      <c r="V2706" s="13"/>
      <c r="W2706" s="13"/>
    </row>
    <row r="2707" spans="1:23" x14ac:dyDescent="0.2">
      <c r="A2707"/>
      <c r="B2707"/>
      <c r="C2707"/>
      <c r="D2707"/>
      <c r="E2707"/>
      <c r="F2707"/>
      <c r="G2707"/>
      <c r="H2707"/>
      <c r="I2707"/>
      <c r="J2707"/>
      <c r="K2707" s="13" t="s">
        <v>216</v>
      </c>
      <c r="L2707" s="13" t="s">
        <v>394</v>
      </c>
      <c r="M2707" s="13" t="s">
        <v>359</v>
      </c>
      <c r="N2707" s="15">
        <v>0</v>
      </c>
      <c r="O2707" s="16">
        <v>0</v>
      </c>
      <c r="P2707" s="17">
        <v>17.621250002938904</v>
      </c>
      <c r="Q2707" s="17">
        <v>0</v>
      </c>
      <c r="R2707" s="13"/>
      <c r="S2707" s="13"/>
      <c r="T2707" s="13"/>
      <c r="U2707" s="13"/>
      <c r="V2707" s="13"/>
      <c r="W2707" s="13"/>
    </row>
    <row r="2708" spans="1:23" x14ac:dyDescent="0.2">
      <c r="A2708"/>
      <c r="B2708"/>
      <c r="C2708"/>
      <c r="D2708"/>
      <c r="E2708"/>
      <c r="F2708"/>
      <c r="G2708"/>
      <c r="H2708"/>
      <c r="I2708"/>
      <c r="J2708"/>
      <c r="K2708" s="13" t="s">
        <v>216</v>
      </c>
      <c r="L2708" s="13" t="s">
        <v>395</v>
      </c>
      <c r="M2708" s="13" t="s">
        <v>602</v>
      </c>
      <c r="N2708" s="15">
        <v>6</v>
      </c>
      <c r="O2708" s="16">
        <v>0</v>
      </c>
      <c r="P2708" s="17">
        <v>0</v>
      </c>
      <c r="Q2708" s="17">
        <v>0</v>
      </c>
      <c r="R2708" s="13"/>
      <c r="S2708" s="13"/>
      <c r="T2708" s="13"/>
      <c r="U2708" s="13"/>
      <c r="V2708" s="13"/>
      <c r="W2708" s="13"/>
    </row>
    <row r="2709" spans="1:23" x14ac:dyDescent="0.2">
      <c r="A2709"/>
      <c r="B2709"/>
      <c r="C2709"/>
      <c r="D2709"/>
      <c r="E2709"/>
      <c r="F2709"/>
      <c r="G2709"/>
      <c r="H2709"/>
      <c r="I2709"/>
      <c r="J2709"/>
      <c r="K2709" s="13" t="s">
        <v>216</v>
      </c>
      <c r="L2709" s="13" t="s">
        <v>399</v>
      </c>
      <c r="M2709" s="13" t="s">
        <v>400</v>
      </c>
      <c r="N2709" s="15">
        <v>0</v>
      </c>
      <c r="O2709" s="16">
        <v>0</v>
      </c>
      <c r="P2709" s="17">
        <v>27.693452357028129</v>
      </c>
      <c r="Q2709" s="17">
        <v>0</v>
      </c>
      <c r="R2709" s="13"/>
      <c r="S2709" s="13"/>
      <c r="T2709" s="13"/>
      <c r="U2709" s="13"/>
      <c r="V2709" s="13"/>
      <c r="W2709" s="13"/>
    </row>
    <row r="2710" spans="1:23" x14ac:dyDescent="0.2">
      <c r="A2710"/>
      <c r="B2710"/>
      <c r="C2710"/>
      <c r="D2710"/>
      <c r="E2710"/>
      <c r="F2710"/>
      <c r="G2710"/>
      <c r="H2710"/>
      <c r="I2710"/>
      <c r="J2710"/>
      <c r="K2710" s="13" t="s">
        <v>216</v>
      </c>
      <c r="L2710" s="13" t="s">
        <v>402</v>
      </c>
      <c r="M2710" s="13" t="s">
        <v>403</v>
      </c>
      <c r="N2710" s="15">
        <v>0</v>
      </c>
      <c r="O2710" s="16">
        <v>0</v>
      </c>
      <c r="P2710" s="17">
        <v>1437.5101397692497</v>
      </c>
      <c r="Q2710" s="17">
        <v>0</v>
      </c>
      <c r="R2710" s="13"/>
      <c r="S2710" s="13"/>
      <c r="T2710" s="13"/>
      <c r="U2710" s="13"/>
      <c r="V2710" s="13"/>
      <c r="W2710" s="13"/>
    </row>
    <row r="2711" spans="1:23" x14ac:dyDescent="0.2">
      <c r="A2711"/>
      <c r="B2711"/>
      <c r="C2711"/>
      <c r="D2711"/>
      <c r="E2711"/>
      <c r="F2711"/>
      <c r="G2711"/>
      <c r="H2711"/>
      <c r="I2711"/>
      <c r="J2711"/>
      <c r="K2711" s="13" t="s">
        <v>216</v>
      </c>
      <c r="L2711" s="13" t="s">
        <v>448</v>
      </c>
      <c r="M2711" s="13" t="s">
        <v>366</v>
      </c>
      <c r="N2711" s="15">
        <v>0</v>
      </c>
      <c r="O2711" s="16">
        <v>0</v>
      </c>
      <c r="P2711" s="17">
        <v>295.0221454584094</v>
      </c>
      <c r="Q2711" s="17">
        <v>0</v>
      </c>
      <c r="R2711" s="13"/>
      <c r="S2711" s="13"/>
      <c r="T2711" s="13"/>
      <c r="U2711" s="13"/>
      <c r="V2711" s="13"/>
      <c r="W2711" s="13"/>
    </row>
    <row r="2712" spans="1:23" x14ac:dyDescent="0.2">
      <c r="A2712"/>
      <c r="B2712"/>
      <c r="C2712"/>
      <c r="D2712"/>
      <c r="E2712"/>
      <c r="F2712"/>
      <c r="G2712"/>
      <c r="H2712"/>
      <c r="I2712"/>
      <c r="J2712"/>
      <c r="K2712" s="13" t="s">
        <v>216</v>
      </c>
      <c r="L2712" s="13" t="s">
        <v>404</v>
      </c>
      <c r="M2712" s="13" t="s">
        <v>405</v>
      </c>
      <c r="N2712" s="15">
        <v>0</v>
      </c>
      <c r="O2712" s="16">
        <v>0</v>
      </c>
      <c r="P2712" s="17">
        <v>423.44390450279025</v>
      </c>
      <c r="Q2712" s="17">
        <v>1550.6037211075529</v>
      </c>
      <c r="R2712" s="13"/>
      <c r="S2712" s="13"/>
      <c r="T2712" s="13"/>
      <c r="U2712" s="13"/>
      <c r="V2712" s="13"/>
      <c r="W2712" s="13"/>
    </row>
    <row r="2713" spans="1:23" x14ac:dyDescent="0.2">
      <c r="A2713"/>
      <c r="B2713"/>
      <c r="C2713"/>
      <c r="D2713"/>
      <c r="E2713"/>
      <c r="F2713"/>
      <c r="G2713"/>
      <c r="H2713"/>
      <c r="I2713"/>
      <c r="J2713"/>
      <c r="K2713" s="13" t="s">
        <v>216</v>
      </c>
      <c r="L2713" s="13" t="s">
        <v>381</v>
      </c>
      <c r="M2713" s="13" t="s">
        <v>382</v>
      </c>
      <c r="N2713" s="15">
        <v>6</v>
      </c>
      <c r="O2713" s="16">
        <v>0</v>
      </c>
      <c r="P2713" s="17">
        <v>0</v>
      </c>
      <c r="Q2713" s="17">
        <v>0</v>
      </c>
      <c r="R2713" s="13"/>
      <c r="S2713" s="13"/>
      <c r="T2713" s="13"/>
      <c r="U2713" s="13"/>
      <c r="V2713" s="13"/>
      <c r="W2713" s="13"/>
    </row>
    <row r="2714" spans="1:23" x14ac:dyDescent="0.2">
      <c r="A2714"/>
      <c r="B2714"/>
      <c r="C2714"/>
      <c r="D2714"/>
      <c r="E2714"/>
      <c r="F2714"/>
      <c r="G2714"/>
      <c r="H2714"/>
      <c r="I2714"/>
      <c r="J2714"/>
      <c r="K2714" s="13" t="s">
        <v>216</v>
      </c>
      <c r="L2714" s="13" t="s">
        <v>505</v>
      </c>
      <c r="M2714" s="13" t="s">
        <v>506</v>
      </c>
      <c r="N2714" s="15">
        <v>17</v>
      </c>
      <c r="O2714" s="16">
        <v>0</v>
      </c>
      <c r="P2714" s="17">
        <v>0</v>
      </c>
      <c r="Q2714" s="17">
        <v>0</v>
      </c>
      <c r="R2714" s="13"/>
      <c r="S2714" s="13"/>
      <c r="T2714" s="13"/>
      <c r="U2714" s="13"/>
      <c r="V2714" s="13"/>
      <c r="W2714" s="13"/>
    </row>
    <row r="2715" spans="1:23" x14ac:dyDescent="0.2">
      <c r="A2715"/>
      <c r="B2715"/>
      <c r="C2715"/>
      <c r="D2715"/>
      <c r="E2715"/>
      <c r="F2715"/>
      <c r="G2715"/>
      <c r="H2715"/>
      <c r="I2715"/>
      <c r="J2715"/>
      <c r="K2715" s="13" t="s">
        <v>216</v>
      </c>
      <c r="L2715" s="13" t="s">
        <v>409</v>
      </c>
      <c r="M2715" s="13" t="s">
        <v>410</v>
      </c>
      <c r="N2715" s="15">
        <v>19</v>
      </c>
      <c r="O2715" s="16">
        <v>0</v>
      </c>
      <c r="P2715" s="17">
        <v>0</v>
      </c>
      <c r="Q2715" s="17">
        <v>0</v>
      </c>
      <c r="R2715" s="13"/>
      <c r="S2715" s="13"/>
      <c r="T2715" s="13"/>
      <c r="U2715" s="13"/>
      <c r="V2715" s="13"/>
      <c r="W2715" s="13"/>
    </row>
    <row r="2716" spans="1:23" x14ac:dyDescent="0.2">
      <c r="A2716"/>
      <c r="B2716"/>
      <c r="C2716"/>
      <c r="D2716"/>
      <c r="E2716"/>
      <c r="F2716"/>
      <c r="G2716"/>
      <c r="H2716"/>
      <c r="I2716"/>
      <c r="J2716"/>
      <c r="K2716" s="13" t="s">
        <v>216</v>
      </c>
      <c r="L2716" s="13" t="s">
        <v>471</v>
      </c>
      <c r="M2716" s="13" t="s">
        <v>472</v>
      </c>
      <c r="N2716" s="15">
        <v>0</v>
      </c>
      <c r="O2716" s="16">
        <v>0</v>
      </c>
      <c r="P2716" s="17">
        <v>1247.3790699049925</v>
      </c>
      <c r="Q2716" s="17">
        <v>0</v>
      </c>
      <c r="R2716" s="13"/>
      <c r="S2716" s="13"/>
      <c r="T2716" s="13"/>
      <c r="U2716" s="13"/>
      <c r="V2716" s="13"/>
      <c r="W2716" s="13"/>
    </row>
    <row r="2717" spans="1:23" x14ac:dyDescent="0.2">
      <c r="A2717"/>
      <c r="B2717"/>
      <c r="C2717"/>
      <c r="D2717"/>
      <c r="E2717"/>
      <c r="F2717"/>
      <c r="G2717"/>
      <c r="H2717"/>
      <c r="I2717"/>
      <c r="J2717"/>
      <c r="K2717" s="13" t="s">
        <v>216</v>
      </c>
      <c r="L2717" s="13" t="s">
        <v>411</v>
      </c>
      <c r="M2717" s="13" t="s">
        <v>362</v>
      </c>
      <c r="N2717" s="15">
        <v>0</v>
      </c>
      <c r="O2717" s="16">
        <v>0</v>
      </c>
      <c r="P2717" s="17">
        <v>47.718350001568538</v>
      </c>
      <c r="Q2717" s="17">
        <v>0</v>
      </c>
      <c r="R2717" s="13"/>
      <c r="S2717" s="13"/>
      <c r="T2717" s="13"/>
      <c r="U2717" s="13"/>
      <c r="V2717" s="13"/>
      <c r="W2717" s="13"/>
    </row>
    <row r="2718" spans="1:23" x14ac:dyDescent="0.2">
      <c r="A2718"/>
      <c r="B2718"/>
      <c r="C2718"/>
      <c r="D2718"/>
      <c r="E2718"/>
      <c r="F2718"/>
      <c r="G2718"/>
      <c r="H2718"/>
      <c r="I2718"/>
      <c r="J2718"/>
      <c r="K2718" s="13" t="s">
        <v>216</v>
      </c>
      <c r="L2718" s="13" t="s">
        <v>411</v>
      </c>
      <c r="M2718" s="13" t="s">
        <v>362</v>
      </c>
      <c r="N2718" s="15">
        <v>0</v>
      </c>
      <c r="O2718" s="16">
        <v>102.05270292018596</v>
      </c>
      <c r="P2718" s="17">
        <v>0</v>
      </c>
      <c r="Q2718" s="17">
        <v>0</v>
      </c>
      <c r="R2718" s="13"/>
      <c r="S2718" s="13"/>
      <c r="T2718" s="13"/>
      <c r="U2718" s="13"/>
      <c r="V2718" s="13"/>
      <c r="W2718" s="13"/>
    </row>
    <row r="2719" spans="1:23" x14ac:dyDescent="0.2">
      <c r="A2719"/>
      <c r="B2719"/>
      <c r="C2719"/>
      <c r="D2719"/>
      <c r="E2719"/>
      <c r="F2719"/>
      <c r="G2719"/>
      <c r="H2719"/>
      <c r="I2719"/>
      <c r="J2719"/>
      <c r="K2719" s="13" t="s">
        <v>216</v>
      </c>
      <c r="L2719" s="13" t="s">
        <v>411</v>
      </c>
      <c r="M2719" s="13" t="s">
        <v>362</v>
      </c>
      <c r="N2719" s="15">
        <v>1</v>
      </c>
      <c r="O2719" s="16">
        <v>0</v>
      </c>
      <c r="P2719" s="17">
        <v>0</v>
      </c>
      <c r="Q2719" s="17">
        <v>0</v>
      </c>
      <c r="R2719" s="13"/>
      <c r="S2719" s="13"/>
      <c r="T2719" s="13"/>
      <c r="U2719" s="13"/>
      <c r="V2719" s="13"/>
      <c r="W2719" s="13"/>
    </row>
    <row r="2720" spans="1:23" x14ac:dyDescent="0.2">
      <c r="A2720"/>
      <c r="B2720"/>
      <c r="C2720"/>
      <c r="D2720"/>
      <c r="E2720"/>
      <c r="F2720"/>
      <c r="G2720"/>
      <c r="H2720"/>
      <c r="I2720"/>
      <c r="J2720"/>
      <c r="K2720" s="13" t="s">
        <v>216</v>
      </c>
      <c r="L2720" s="13" t="s">
        <v>605</v>
      </c>
      <c r="M2720" s="13" t="s">
        <v>429</v>
      </c>
      <c r="N2720" s="15">
        <v>0</v>
      </c>
      <c r="O2720" s="16">
        <v>3.1923032438040653</v>
      </c>
      <c r="P2720" s="17">
        <v>0</v>
      </c>
      <c r="Q2720" s="17">
        <v>0</v>
      </c>
      <c r="R2720" s="13"/>
      <c r="S2720" s="13"/>
      <c r="T2720" s="13"/>
      <c r="U2720" s="13"/>
      <c r="V2720" s="13"/>
      <c r="W2720" s="13"/>
    </row>
    <row r="2721" spans="1:23" x14ac:dyDescent="0.2">
      <c r="A2721"/>
      <c r="B2721"/>
      <c r="C2721"/>
      <c r="D2721"/>
      <c r="E2721"/>
      <c r="F2721"/>
      <c r="G2721"/>
      <c r="H2721"/>
      <c r="I2721"/>
      <c r="J2721"/>
      <c r="K2721" s="13" t="s">
        <v>216</v>
      </c>
      <c r="L2721" s="13" t="s">
        <v>606</v>
      </c>
      <c r="M2721" s="13" t="s">
        <v>430</v>
      </c>
      <c r="N2721" s="15">
        <v>4</v>
      </c>
      <c r="O2721" s="16">
        <v>0</v>
      </c>
      <c r="P2721" s="17">
        <v>0</v>
      </c>
      <c r="Q2721" s="17">
        <v>0</v>
      </c>
      <c r="R2721" s="13"/>
      <c r="S2721" s="13"/>
      <c r="T2721" s="13"/>
      <c r="U2721" s="13"/>
      <c r="V2721" s="13"/>
      <c r="W2721" s="13"/>
    </row>
    <row r="2722" spans="1:23" x14ac:dyDescent="0.2">
      <c r="A2722"/>
      <c r="B2722"/>
      <c r="C2722"/>
      <c r="D2722"/>
      <c r="E2722"/>
      <c r="F2722"/>
      <c r="G2722"/>
      <c r="H2722"/>
      <c r="I2722"/>
      <c r="J2722"/>
      <c r="K2722" s="13" t="s">
        <v>216</v>
      </c>
      <c r="L2722" s="13" t="s">
        <v>623</v>
      </c>
      <c r="M2722" s="13" t="s">
        <v>530</v>
      </c>
      <c r="N2722" s="15">
        <v>0</v>
      </c>
      <c r="O2722" s="16">
        <v>252.60175783371582</v>
      </c>
      <c r="P2722" s="17">
        <v>0</v>
      </c>
      <c r="Q2722" s="17">
        <v>0</v>
      </c>
      <c r="R2722" s="13"/>
      <c r="S2722" s="13"/>
      <c r="T2722" s="13"/>
      <c r="U2722" s="13"/>
      <c r="V2722" s="13"/>
      <c r="W2722" s="13"/>
    </row>
    <row r="2723" spans="1:23" x14ac:dyDescent="0.2">
      <c r="A2723"/>
      <c r="B2723"/>
      <c r="C2723"/>
      <c r="D2723"/>
      <c r="E2723"/>
      <c r="F2723"/>
      <c r="G2723"/>
      <c r="H2723"/>
      <c r="I2723"/>
      <c r="J2723"/>
      <c r="K2723" s="13" t="s">
        <v>216</v>
      </c>
      <c r="L2723" s="13" t="s">
        <v>607</v>
      </c>
      <c r="M2723" s="13" t="s">
        <v>431</v>
      </c>
      <c r="N2723" s="15">
        <v>5</v>
      </c>
      <c r="O2723" s="16">
        <v>0</v>
      </c>
      <c r="P2723" s="17">
        <v>0</v>
      </c>
      <c r="Q2723" s="17">
        <v>0</v>
      </c>
      <c r="R2723" s="13"/>
      <c r="S2723" s="13"/>
      <c r="T2723" s="13"/>
      <c r="U2723" s="13"/>
      <c r="V2723" s="13"/>
      <c r="W2723" s="13"/>
    </row>
    <row r="2724" spans="1:23" x14ac:dyDescent="0.2">
      <c r="A2724"/>
      <c r="B2724"/>
      <c r="C2724"/>
      <c r="D2724"/>
      <c r="E2724"/>
      <c r="F2724"/>
      <c r="G2724"/>
      <c r="H2724"/>
      <c r="I2724"/>
      <c r="J2724"/>
      <c r="K2724" s="13" t="s">
        <v>216</v>
      </c>
      <c r="L2724" s="13" t="s">
        <v>608</v>
      </c>
      <c r="M2724" s="13" t="s">
        <v>432</v>
      </c>
      <c r="N2724" s="15">
        <v>4</v>
      </c>
      <c r="O2724" s="16">
        <v>0</v>
      </c>
      <c r="P2724" s="17">
        <v>0</v>
      </c>
      <c r="Q2724" s="17">
        <v>0</v>
      </c>
      <c r="R2724" s="13"/>
      <c r="S2724" s="13"/>
      <c r="T2724" s="13"/>
      <c r="U2724" s="13"/>
      <c r="V2724" s="13"/>
      <c r="W2724" s="13"/>
    </row>
    <row r="2725" spans="1:23" x14ac:dyDescent="0.2">
      <c r="A2725"/>
      <c r="B2725"/>
      <c r="C2725"/>
      <c r="D2725"/>
      <c r="E2725"/>
      <c r="F2725"/>
      <c r="G2725"/>
      <c r="H2725"/>
      <c r="I2725"/>
      <c r="J2725"/>
      <c r="K2725" s="13" t="s">
        <v>216</v>
      </c>
      <c r="L2725" s="13" t="s">
        <v>615</v>
      </c>
      <c r="M2725" s="13" t="s">
        <v>449</v>
      </c>
      <c r="N2725" s="15">
        <v>1</v>
      </c>
      <c r="O2725" s="16">
        <v>0</v>
      </c>
      <c r="P2725" s="17">
        <v>0</v>
      </c>
      <c r="Q2725" s="17">
        <v>0</v>
      </c>
      <c r="R2725" s="13"/>
      <c r="S2725" s="13"/>
      <c r="T2725" s="13"/>
      <c r="U2725" s="13"/>
      <c r="V2725" s="13"/>
      <c r="W2725" s="13"/>
    </row>
    <row r="2726" spans="1:23" x14ac:dyDescent="0.2">
      <c r="A2726"/>
      <c r="B2726"/>
      <c r="C2726"/>
      <c r="D2726"/>
      <c r="E2726"/>
      <c r="F2726"/>
      <c r="G2726"/>
      <c r="H2726"/>
      <c r="I2726"/>
      <c r="J2726"/>
      <c r="K2726" s="13" t="s">
        <v>216</v>
      </c>
      <c r="L2726" s="13" t="s">
        <v>609</v>
      </c>
      <c r="M2726" s="13" t="s">
        <v>416</v>
      </c>
      <c r="N2726" s="15">
        <v>0</v>
      </c>
      <c r="O2726" s="16">
        <v>7.0259874759887815</v>
      </c>
      <c r="P2726" s="17">
        <v>0</v>
      </c>
      <c r="Q2726" s="17">
        <v>0</v>
      </c>
      <c r="R2726" s="13"/>
      <c r="S2726" s="13"/>
      <c r="T2726" s="13"/>
      <c r="U2726" s="13"/>
      <c r="V2726" s="13"/>
      <c r="W2726" s="13"/>
    </row>
    <row r="2727" spans="1:23" x14ac:dyDescent="0.2">
      <c r="A2727"/>
      <c r="B2727"/>
      <c r="C2727"/>
      <c r="D2727"/>
      <c r="E2727"/>
      <c r="F2727"/>
      <c r="G2727"/>
      <c r="H2727"/>
      <c r="I2727"/>
      <c r="J2727"/>
      <c r="K2727" s="13" t="s">
        <v>216</v>
      </c>
      <c r="L2727" s="13" t="s">
        <v>421</v>
      </c>
      <c r="M2727" s="13" t="s">
        <v>443</v>
      </c>
      <c r="N2727" s="15">
        <v>7</v>
      </c>
      <c r="O2727" s="16">
        <v>0</v>
      </c>
      <c r="P2727" s="17">
        <v>0</v>
      </c>
      <c r="Q2727" s="17">
        <v>0</v>
      </c>
      <c r="R2727" s="13"/>
      <c r="S2727" s="13"/>
      <c r="T2727" s="13"/>
      <c r="U2727" s="13"/>
      <c r="V2727" s="13"/>
      <c r="W2727" s="13"/>
    </row>
    <row r="2728" spans="1:23" x14ac:dyDescent="0.2">
      <c r="A2728"/>
      <c r="B2728"/>
      <c r="C2728"/>
      <c r="D2728"/>
      <c r="E2728"/>
      <c r="F2728"/>
      <c r="G2728"/>
      <c r="H2728"/>
      <c r="I2728"/>
      <c r="J2728"/>
      <c r="K2728" s="13" t="s">
        <v>216</v>
      </c>
      <c r="L2728" s="13" t="s">
        <v>383</v>
      </c>
      <c r="M2728" s="13" t="s">
        <v>420</v>
      </c>
      <c r="N2728" s="15">
        <v>9</v>
      </c>
      <c r="O2728" s="16">
        <v>0</v>
      </c>
      <c r="P2728" s="17">
        <v>0</v>
      </c>
      <c r="Q2728" s="17">
        <v>0</v>
      </c>
      <c r="R2728" s="13"/>
      <c r="S2728" s="13"/>
      <c r="T2728" s="13"/>
      <c r="U2728" s="13"/>
      <c r="V2728" s="13"/>
      <c r="W2728" s="13"/>
    </row>
    <row r="2729" spans="1:23" x14ac:dyDescent="0.2">
      <c r="A2729"/>
      <c r="B2729"/>
      <c r="C2729"/>
      <c r="D2729"/>
      <c r="E2729"/>
      <c r="F2729"/>
      <c r="G2729"/>
      <c r="H2729"/>
      <c r="I2729"/>
      <c r="J2729"/>
      <c r="K2729" s="13" t="s">
        <v>216</v>
      </c>
      <c r="L2729" s="13" t="s">
        <v>528</v>
      </c>
      <c r="M2729" s="13" t="s">
        <v>384</v>
      </c>
      <c r="N2729" s="15">
        <v>0</v>
      </c>
      <c r="O2729" s="16">
        <v>287.83704358601869</v>
      </c>
      <c r="P2729" s="17">
        <v>0</v>
      </c>
      <c r="Q2729" s="17">
        <v>0</v>
      </c>
      <c r="R2729" s="13"/>
      <c r="S2729" s="13"/>
      <c r="T2729" s="13"/>
      <c r="U2729" s="13"/>
      <c r="V2729" s="13"/>
      <c r="W2729" s="13"/>
    </row>
    <row r="2730" spans="1:23" x14ac:dyDescent="0.2">
      <c r="A2730"/>
      <c r="B2730"/>
      <c r="C2730"/>
      <c r="D2730"/>
      <c r="E2730"/>
      <c r="F2730"/>
      <c r="G2730"/>
      <c r="H2730"/>
      <c r="I2730"/>
      <c r="J2730"/>
      <c r="K2730" s="13" t="s">
        <v>216</v>
      </c>
      <c r="L2730" s="13" t="s">
        <v>613</v>
      </c>
      <c r="M2730" s="13" t="s">
        <v>444</v>
      </c>
      <c r="N2730" s="15">
        <v>0</v>
      </c>
      <c r="O2730" s="16">
        <v>33.598373989733069</v>
      </c>
      <c r="P2730" s="17">
        <v>0</v>
      </c>
      <c r="Q2730" s="17">
        <v>0</v>
      </c>
      <c r="R2730" s="13"/>
      <c r="S2730" s="13"/>
      <c r="T2730" s="13"/>
      <c r="U2730" s="13"/>
      <c r="V2730" s="13"/>
      <c r="W2730" s="13"/>
    </row>
    <row r="2731" spans="1:23" x14ac:dyDescent="0.2">
      <c r="A2731"/>
      <c r="B2731"/>
      <c r="C2731"/>
      <c r="D2731"/>
      <c r="E2731"/>
      <c r="F2731"/>
      <c r="G2731"/>
      <c r="H2731"/>
      <c r="I2731"/>
      <c r="J2731"/>
      <c r="K2731" s="13" t="s">
        <v>216</v>
      </c>
      <c r="L2731" s="13" t="s">
        <v>611</v>
      </c>
      <c r="M2731" s="13" t="s">
        <v>423</v>
      </c>
      <c r="N2731" s="15">
        <v>0</v>
      </c>
      <c r="O2731" s="16">
        <v>49.227876243213728</v>
      </c>
      <c r="P2731" s="17">
        <v>0</v>
      </c>
      <c r="Q2731" s="17">
        <v>0</v>
      </c>
      <c r="R2731" s="13"/>
      <c r="S2731" s="13"/>
      <c r="T2731" s="13"/>
      <c r="U2731" s="13"/>
      <c r="V2731" s="13"/>
      <c r="W2731" s="13"/>
    </row>
    <row r="2732" spans="1:23" x14ac:dyDescent="0.2">
      <c r="A2732"/>
      <c r="B2732"/>
      <c r="C2732"/>
      <c r="D2732"/>
      <c r="E2732"/>
      <c r="F2732"/>
      <c r="G2732"/>
      <c r="H2732"/>
      <c r="I2732"/>
      <c r="J2732"/>
      <c r="K2732" s="13" t="s">
        <v>216</v>
      </c>
      <c r="L2732" s="13" t="s">
        <v>446</v>
      </c>
      <c r="M2732" s="13" t="s">
        <v>371</v>
      </c>
      <c r="N2732" s="15">
        <v>9</v>
      </c>
      <c r="O2732" s="16">
        <v>0</v>
      </c>
      <c r="P2732" s="17">
        <v>0</v>
      </c>
      <c r="Q2732" s="17">
        <v>0</v>
      </c>
      <c r="R2732" s="13"/>
      <c r="S2732" s="13"/>
      <c r="T2732" s="13"/>
      <c r="U2732" s="13"/>
      <c r="V2732" s="13"/>
      <c r="W2732" s="13"/>
    </row>
    <row r="2733" spans="1:23" x14ac:dyDescent="0.2">
      <c r="A2733"/>
      <c r="B2733"/>
      <c r="C2733"/>
      <c r="D2733"/>
      <c r="E2733"/>
      <c r="F2733"/>
      <c r="G2733"/>
      <c r="H2733"/>
      <c r="I2733"/>
      <c r="J2733"/>
      <c r="K2733" s="13" t="s">
        <v>216</v>
      </c>
      <c r="L2733" s="13" t="s">
        <v>614</v>
      </c>
      <c r="M2733" s="13" t="s">
        <v>447</v>
      </c>
      <c r="N2733" s="15">
        <v>1</v>
      </c>
      <c r="O2733" s="16">
        <v>0</v>
      </c>
      <c r="P2733" s="17">
        <v>0</v>
      </c>
      <c r="Q2733" s="17">
        <v>0</v>
      </c>
      <c r="R2733" s="13"/>
      <c r="S2733" s="13"/>
      <c r="T2733" s="13"/>
      <c r="U2733" s="13"/>
      <c r="V2733" s="13"/>
      <c r="W2733" s="13"/>
    </row>
    <row r="2734" spans="1:23" x14ac:dyDescent="0.2">
      <c r="A2734"/>
      <c r="B2734"/>
      <c r="C2734"/>
      <c r="D2734"/>
      <c r="E2734"/>
      <c r="F2734"/>
      <c r="G2734"/>
      <c r="H2734"/>
      <c r="I2734"/>
      <c r="J2734"/>
      <c r="K2734" s="13" t="s">
        <v>216</v>
      </c>
      <c r="L2734" s="13" t="s">
        <v>469</v>
      </c>
      <c r="M2734" s="13" t="s">
        <v>426</v>
      </c>
      <c r="N2734" s="15">
        <v>3</v>
      </c>
      <c r="O2734" s="16">
        <v>0</v>
      </c>
      <c r="P2734" s="17">
        <v>0</v>
      </c>
      <c r="Q2734" s="17">
        <v>0</v>
      </c>
      <c r="R2734" s="13"/>
      <c r="S2734" s="13"/>
      <c r="T2734" s="13"/>
      <c r="U2734" s="13"/>
      <c r="V2734" s="13"/>
      <c r="W2734" s="13"/>
    </row>
    <row r="2735" spans="1:23" x14ac:dyDescent="0.2">
      <c r="A2735"/>
      <c r="B2735"/>
      <c r="C2735"/>
      <c r="D2735"/>
      <c r="E2735"/>
      <c r="F2735"/>
      <c r="G2735"/>
      <c r="H2735"/>
      <c r="I2735"/>
      <c r="J2735"/>
      <c r="K2735" s="13" t="s">
        <v>218</v>
      </c>
      <c r="L2735" s="13" t="s">
        <v>387</v>
      </c>
      <c r="M2735" s="13" t="s">
        <v>386</v>
      </c>
      <c r="N2735" s="15">
        <v>0</v>
      </c>
      <c r="O2735" s="16">
        <v>0</v>
      </c>
      <c r="P2735" s="17">
        <v>116.33680000493584</v>
      </c>
      <c r="Q2735" s="17">
        <v>0</v>
      </c>
      <c r="R2735" s="13"/>
      <c r="S2735" s="13"/>
      <c r="T2735" s="13"/>
      <c r="U2735" s="13"/>
      <c r="V2735" s="13"/>
      <c r="W2735" s="13"/>
    </row>
    <row r="2736" spans="1:23" x14ac:dyDescent="0.2">
      <c r="A2736"/>
      <c r="B2736"/>
      <c r="C2736"/>
      <c r="D2736"/>
      <c r="E2736"/>
      <c r="F2736"/>
      <c r="G2736"/>
      <c r="H2736"/>
      <c r="I2736"/>
      <c r="J2736"/>
      <c r="K2736" s="13" t="s">
        <v>218</v>
      </c>
      <c r="L2736" s="13" t="s">
        <v>389</v>
      </c>
      <c r="M2736" s="13" t="s">
        <v>388</v>
      </c>
      <c r="N2736" s="15">
        <v>0</v>
      </c>
      <c r="O2736" s="16">
        <v>0</v>
      </c>
      <c r="P2736" s="17">
        <v>199.3706944860468</v>
      </c>
      <c r="Q2736" s="17">
        <v>0</v>
      </c>
      <c r="R2736" s="13"/>
      <c r="S2736" s="13"/>
      <c r="T2736" s="13"/>
      <c r="U2736" s="13"/>
      <c r="V2736" s="13"/>
      <c r="W2736" s="13"/>
    </row>
    <row r="2737" spans="1:23" x14ac:dyDescent="0.2">
      <c r="A2737"/>
      <c r="B2737"/>
      <c r="C2737"/>
      <c r="D2737"/>
      <c r="E2737"/>
      <c r="F2737"/>
      <c r="G2737"/>
      <c r="H2737"/>
      <c r="I2737"/>
      <c r="J2737"/>
      <c r="K2737" s="13" t="s">
        <v>218</v>
      </c>
      <c r="L2737" s="13" t="s">
        <v>542</v>
      </c>
      <c r="M2737" s="13" t="s">
        <v>390</v>
      </c>
      <c r="N2737" s="15">
        <v>0</v>
      </c>
      <c r="O2737" s="16">
        <v>0</v>
      </c>
      <c r="P2737" s="17">
        <v>24.426389619674183</v>
      </c>
      <c r="Q2737" s="17">
        <v>0</v>
      </c>
      <c r="R2737" s="13"/>
      <c r="S2737" s="13"/>
      <c r="T2737" s="13"/>
      <c r="U2737" s="13"/>
      <c r="V2737" s="13"/>
      <c r="W2737" s="13"/>
    </row>
    <row r="2738" spans="1:23" x14ac:dyDescent="0.2">
      <c r="A2738"/>
      <c r="B2738"/>
      <c r="C2738"/>
      <c r="D2738"/>
      <c r="E2738"/>
      <c r="F2738"/>
      <c r="G2738"/>
      <c r="H2738"/>
      <c r="I2738"/>
      <c r="J2738"/>
      <c r="K2738" s="13" t="s">
        <v>218</v>
      </c>
      <c r="L2738" s="13" t="s">
        <v>391</v>
      </c>
      <c r="M2738" s="13" t="s">
        <v>358</v>
      </c>
      <c r="N2738" s="15">
        <v>0</v>
      </c>
      <c r="O2738" s="16">
        <v>0</v>
      </c>
      <c r="P2738" s="17">
        <v>889.88025002119855</v>
      </c>
      <c r="Q2738" s="17">
        <v>0</v>
      </c>
      <c r="R2738" s="13"/>
      <c r="S2738" s="13"/>
      <c r="T2738" s="13"/>
      <c r="U2738" s="13"/>
      <c r="V2738" s="13"/>
      <c r="W2738" s="13"/>
    </row>
    <row r="2739" spans="1:23" x14ac:dyDescent="0.2">
      <c r="A2739"/>
      <c r="B2739"/>
      <c r="C2739"/>
      <c r="D2739"/>
      <c r="E2739"/>
      <c r="F2739"/>
      <c r="G2739"/>
      <c r="H2739"/>
      <c r="I2739"/>
      <c r="J2739"/>
      <c r="K2739" s="13" t="s">
        <v>218</v>
      </c>
      <c r="L2739" s="13" t="s">
        <v>486</v>
      </c>
      <c r="M2739" s="13" t="s">
        <v>439</v>
      </c>
      <c r="N2739" s="15">
        <v>0</v>
      </c>
      <c r="O2739" s="16">
        <v>0</v>
      </c>
      <c r="P2739" s="17">
        <v>5.4410500000019555</v>
      </c>
      <c r="Q2739" s="17">
        <v>0</v>
      </c>
      <c r="R2739" s="13"/>
      <c r="S2739" s="13"/>
      <c r="T2739" s="13"/>
      <c r="U2739" s="13"/>
      <c r="V2739" s="13"/>
      <c r="W2739" s="13"/>
    </row>
    <row r="2740" spans="1:23" x14ac:dyDescent="0.2">
      <c r="A2740"/>
      <c r="B2740"/>
      <c r="C2740"/>
      <c r="D2740"/>
      <c r="E2740"/>
      <c r="F2740"/>
      <c r="G2740"/>
      <c r="H2740"/>
      <c r="I2740"/>
      <c r="J2740"/>
      <c r="K2740" s="13" t="s">
        <v>218</v>
      </c>
      <c r="L2740" s="13" t="s">
        <v>512</v>
      </c>
      <c r="M2740" s="13" t="s">
        <v>466</v>
      </c>
      <c r="N2740" s="15">
        <v>0</v>
      </c>
      <c r="O2740" s="16">
        <v>0</v>
      </c>
      <c r="P2740" s="17">
        <v>142.349750010279</v>
      </c>
      <c r="Q2740" s="17">
        <v>0</v>
      </c>
      <c r="R2740" s="13"/>
      <c r="S2740" s="13"/>
      <c r="T2740" s="13"/>
      <c r="U2740" s="13"/>
      <c r="V2740" s="13"/>
      <c r="W2740" s="13"/>
    </row>
    <row r="2741" spans="1:23" x14ac:dyDescent="0.2">
      <c r="A2741"/>
      <c r="B2741"/>
      <c r="C2741"/>
      <c r="D2741"/>
      <c r="E2741"/>
      <c r="F2741"/>
      <c r="G2741"/>
      <c r="H2741"/>
      <c r="I2741"/>
      <c r="J2741"/>
      <c r="K2741" s="13" t="s">
        <v>218</v>
      </c>
      <c r="L2741" s="13" t="s">
        <v>399</v>
      </c>
      <c r="M2741" s="13" t="s">
        <v>400</v>
      </c>
      <c r="N2741" s="15">
        <v>0</v>
      </c>
      <c r="O2741" s="16">
        <v>0</v>
      </c>
      <c r="P2741" s="17">
        <v>233.04554999807667</v>
      </c>
      <c r="Q2741" s="17">
        <v>0</v>
      </c>
      <c r="R2741" s="13"/>
      <c r="S2741" s="13"/>
      <c r="T2741" s="13"/>
      <c r="U2741" s="13"/>
      <c r="V2741" s="13"/>
      <c r="W2741" s="13"/>
    </row>
    <row r="2742" spans="1:23" x14ac:dyDescent="0.2">
      <c r="A2742"/>
      <c r="B2742"/>
      <c r="C2742"/>
      <c r="D2742"/>
      <c r="E2742"/>
      <c r="F2742"/>
      <c r="G2742"/>
      <c r="H2742"/>
      <c r="I2742"/>
      <c r="J2742"/>
      <c r="K2742" s="13" t="s">
        <v>218</v>
      </c>
      <c r="L2742" s="13" t="s">
        <v>401</v>
      </c>
      <c r="M2742" s="13" t="s">
        <v>360</v>
      </c>
      <c r="N2742" s="15">
        <v>0</v>
      </c>
      <c r="O2742" s="16">
        <v>0</v>
      </c>
      <c r="P2742" s="17">
        <v>592.24669997404249</v>
      </c>
      <c r="Q2742" s="17">
        <v>0</v>
      </c>
      <c r="R2742" s="13"/>
      <c r="S2742" s="13"/>
      <c r="T2742" s="13"/>
      <c r="U2742" s="13"/>
      <c r="V2742" s="13"/>
      <c r="W2742" s="13"/>
    </row>
    <row r="2743" spans="1:23" x14ac:dyDescent="0.2">
      <c r="A2743"/>
      <c r="B2743"/>
      <c r="C2743"/>
      <c r="D2743"/>
      <c r="E2743"/>
      <c r="F2743"/>
      <c r="G2743"/>
      <c r="H2743"/>
      <c r="I2743"/>
      <c r="J2743"/>
      <c r="K2743" s="13" t="s">
        <v>218</v>
      </c>
      <c r="L2743" s="13" t="s">
        <v>402</v>
      </c>
      <c r="M2743" s="13" t="s">
        <v>403</v>
      </c>
      <c r="N2743" s="15">
        <v>0</v>
      </c>
      <c r="O2743" s="16">
        <v>0</v>
      </c>
      <c r="P2743" s="17">
        <v>4007.5488040457476</v>
      </c>
      <c r="Q2743" s="17">
        <v>0</v>
      </c>
      <c r="R2743" s="13"/>
      <c r="S2743" s="13"/>
      <c r="T2743" s="13"/>
      <c r="U2743" s="13"/>
      <c r="V2743" s="13"/>
      <c r="W2743" s="13"/>
    </row>
    <row r="2744" spans="1:23" x14ac:dyDescent="0.2">
      <c r="A2744"/>
      <c r="B2744"/>
      <c r="C2744"/>
      <c r="D2744"/>
      <c r="E2744"/>
      <c r="F2744"/>
      <c r="G2744"/>
      <c r="H2744"/>
      <c r="I2744"/>
      <c r="J2744"/>
      <c r="K2744" s="13" t="s">
        <v>218</v>
      </c>
      <c r="L2744" s="13" t="s">
        <v>462</v>
      </c>
      <c r="M2744" s="13" t="s">
        <v>370</v>
      </c>
      <c r="N2744" s="15">
        <v>0</v>
      </c>
      <c r="O2744" s="16">
        <v>0</v>
      </c>
      <c r="P2744" s="17">
        <v>147.23420003176824</v>
      </c>
      <c r="Q2744" s="17">
        <v>0</v>
      </c>
      <c r="R2744" s="13"/>
      <c r="S2744" s="13"/>
      <c r="T2744" s="13"/>
      <c r="U2744" s="13"/>
      <c r="V2744" s="13"/>
      <c r="W2744" s="13"/>
    </row>
    <row r="2745" spans="1:23" x14ac:dyDescent="0.2">
      <c r="A2745"/>
      <c r="B2745"/>
      <c r="C2745"/>
      <c r="D2745"/>
      <c r="E2745"/>
      <c r="F2745"/>
      <c r="G2745"/>
      <c r="H2745"/>
      <c r="I2745"/>
      <c r="J2745"/>
      <c r="K2745" s="13" t="s">
        <v>218</v>
      </c>
      <c r="L2745" s="13" t="s">
        <v>404</v>
      </c>
      <c r="M2745" s="13" t="s">
        <v>405</v>
      </c>
      <c r="N2745" s="15">
        <v>0</v>
      </c>
      <c r="O2745" s="16">
        <v>0</v>
      </c>
      <c r="P2745" s="17">
        <v>123.87869999327287</v>
      </c>
      <c r="Q2745" s="17">
        <v>303.8164768364328</v>
      </c>
      <c r="R2745" s="13"/>
      <c r="S2745" s="13"/>
      <c r="T2745" s="13"/>
      <c r="U2745" s="13"/>
      <c r="V2745" s="13"/>
      <c r="W2745" s="13"/>
    </row>
    <row r="2746" spans="1:23" x14ac:dyDescent="0.2">
      <c r="A2746"/>
      <c r="B2746"/>
      <c r="C2746"/>
      <c r="D2746"/>
      <c r="E2746"/>
      <c r="F2746"/>
      <c r="G2746"/>
      <c r="H2746"/>
      <c r="I2746"/>
      <c r="J2746"/>
      <c r="K2746" s="13" t="s">
        <v>218</v>
      </c>
      <c r="L2746" s="13" t="s">
        <v>381</v>
      </c>
      <c r="M2746" s="13" t="s">
        <v>382</v>
      </c>
      <c r="N2746" s="15">
        <v>14</v>
      </c>
      <c r="O2746" s="16">
        <v>0</v>
      </c>
      <c r="P2746" s="17">
        <v>0</v>
      </c>
      <c r="Q2746" s="17">
        <v>0</v>
      </c>
      <c r="R2746" s="13"/>
      <c r="S2746" s="13"/>
      <c r="T2746" s="13"/>
      <c r="U2746" s="13"/>
      <c r="V2746" s="13"/>
      <c r="W2746" s="13"/>
    </row>
    <row r="2747" spans="1:23" x14ac:dyDescent="0.2">
      <c r="A2747"/>
      <c r="B2747"/>
      <c r="C2747"/>
      <c r="D2747"/>
      <c r="E2747"/>
      <c r="F2747"/>
      <c r="G2747"/>
      <c r="H2747"/>
      <c r="I2747"/>
      <c r="J2747"/>
      <c r="K2747" s="13" t="s">
        <v>218</v>
      </c>
      <c r="L2747" s="13" t="s">
        <v>471</v>
      </c>
      <c r="M2747" s="13" t="s">
        <v>472</v>
      </c>
      <c r="N2747" s="15">
        <v>0</v>
      </c>
      <c r="O2747" s="16">
        <v>0</v>
      </c>
      <c r="P2747" s="17">
        <v>1406.499499972869</v>
      </c>
      <c r="Q2747" s="17">
        <v>0</v>
      </c>
      <c r="R2747" s="13"/>
      <c r="S2747" s="13"/>
      <c r="T2747" s="13"/>
      <c r="U2747" s="13"/>
      <c r="V2747" s="13"/>
      <c r="W2747" s="13"/>
    </row>
    <row r="2748" spans="1:23" x14ac:dyDescent="0.2">
      <c r="A2748"/>
      <c r="B2748"/>
      <c r="C2748"/>
      <c r="D2748"/>
      <c r="E2748"/>
      <c r="F2748"/>
      <c r="G2748"/>
      <c r="H2748"/>
      <c r="I2748"/>
      <c r="J2748"/>
      <c r="K2748" s="13" t="s">
        <v>218</v>
      </c>
      <c r="L2748" s="13" t="s">
        <v>411</v>
      </c>
      <c r="M2748" s="13" t="s">
        <v>362</v>
      </c>
      <c r="N2748" s="15">
        <v>0</v>
      </c>
      <c r="O2748" s="16">
        <v>0</v>
      </c>
      <c r="P2748" s="17">
        <v>90.590149999287235</v>
      </c>
      <c r="Q2748" s="17">
        <v>0</v>
      </c>
      <c r="R2748" s="13"/>
      <c r="S2748" s="13"/>
      <c r="T2748" s="13"/>
      <c r="U2748" s="13"/>
      <c r="V2748" s="13"/>
      <c r="W2748" s="13"/>
    </row>
    <row r="2749" spans="1:23" x14ac:dyDescent="0.2">
      <c r="A2749"/>
      <c r="B2749"/>
      <c r="C2749"/>
      <c r="D2749"/>
      <c r="E2749"/>
      <c r="F2749"/>
      <c r="G2749"/>
      <c r="H2749"/>
      <c r="I2749"/>
      <c r="J2749"/>
      <c r="K2749" s="13" t="s">
        <v>218</v>
      </c>
      <c r="L2749" s="13" t="s">
        <v>411</v>
      </c>
      <c r="M2749" s="13" t="s">
        <v>362</v>
      </c>
      <c r="N2749" s="15">
        <v>1</v>
      </c>
      <c r="O2749" s="16">
        <v>0</v>
      </c>
      <c r="P2749" s="17">
        <v>0</v>
      </c>
      <c r="Q2749" s="17">
        <v>0</v>
      </c>
      <c r="R2749" s="13"/>
      <c r="S2749" s="13"/>
      <c r="T2749" s="13"/>
      <c r="U2749" s="13"/>
      <c r="V2749" s="13"/>
      <c r="W2749" s="13"/>
    </row>
    <row r="2750" spans="1:23" x14ac:dyDescent="0.2">
      <c r="A2750"/>
      <c r="B2750"/>
      <c r="C2750"/>
      <c r="D2750"/>
      <c r="E2750"/>
      <c r="F2750"/>
      <c r="G2750"/>
      <c r="H2750"/>
      <c r="I2750"/>
      <c r="J2750"/>
      <c r="K2750" s="13" t="s">
        <v>218</v>
      </c>
      <c r="L2750" s="13" t="s">
        <v>623</v>
      </c>
      <c r="M2750" s="13" t="s">
        <v>530</v>
      </c>
      <c r="N2750" s="15">
        <v>0</v>
      </c>
      <c r="O2750" s="16">
        <v>65.441495472142918</v>
      </c>
      <c r="P2750" s="17">
        <v>0</v>
      </c>
      <c r="Q2750" s="17">
        <v>0</v>
      </c>
      <c r="R2750" s="13"/>
      <c r="S2750" s="13"/>
      <c r="T2750" s="13"/>
      <c r="U2750" s="13"/>
      <c r="V2750" s="13"/>
      <c r="W2750" s="13"/>
    </row>
    <row r="2751" spans="1:23" x14ac:dyDescent="0.2">
      <c r="A2751"/>
      <c r="B2751"/>
      <c r="C2751"/>
      <c r="D2751"/>
      <c r="E2751"/>
      <c r="F2751"/>
      <c r="G2751"/>
      <c r="H2751"/>
      <c r="I2751"/>
      <c r="J2751"/>
      <c r="K2751" s="13" t="s">
        <v>218</v>
      </c>
      <c r="L2751" s="13" t="s">
        <v>607</v>
      </c>
      <c r="M2751" s="13" t="s">
        <v>431</v>
      </c>
      <c r="N2751" s="15">
        <v>4</v>
      </c>
      <c r="O2751" s="16">
        <v>0</v>
      </c>
      <c r="P2751" s="17">
        <v>0</v>
      </c>
      <c r="Q2751" s="17">
        <v>0</v>
      </c>
      <c r="R2751" s="13"/>
      <c r="S2751" s="13"/>
      <c r="T2751" s="13"/>
      <c r="U2751" s="13"/>
      <c r="V2751" s="13"/>
      <c r="W2751" s="13"/>
    </row>
    <row r="2752" spans="1:23" x14ac:dyDescent="0.2">
      <c r="A2752"/>
      <c r="B2752"/>
      <c r="C2752"/>
      <c r="D2752"/>
      <c r="E2752"/>
      <c r="F2752"/>
      <c r="G2752"/>
      <c r="H2752"/>
      <c r="I2752"/>
      <c r="J2752"/>
      <c r="K2752" s="13" t="s">
        <v>218</v>
      </c>
      <c r="L2752" s="13" t="s">
        <v>415</v>
      </c>
      <c r="M2752" s="13" t="s">
        <v>412</v>
      </c>
      <c r="N2752" s="15">
        <v>0</v>
      </c>
      <c r="O2752" s="16">
        <v>0</v>
      </c>
      <c r="P2752" s="17">
        <v>5.1733499994916841</v>
      </c>
      <c r="Q2752" s="17">
        <v>0</v>
      </c>
      <c r="R2752" s="13"/>
      <c r="S2752" s="13"/>
      <c r="T2752" s="13"/>
      <c r="U2752" s="13"/>
      <c r="V2752" s="13"/>
      <c r="W2752" s="13"/>
    </row>
    <row r="2753" spans="1:23" x14ac:dyDescent="0.2">
      <c r="A2753"/>
      <c r="B2753"/>
      <c r="C2753"/>
      <c r="D2753"/>
      <c r="E2753"/>
      <c r="F2753"/>
      <c r="G2753"/>
      <c r="H2753"/>
      <c r="I2753"/>
      <c r="J2753"/>
      <c r="K2753" s="13" t="s">
        <v>218</v>
      </c>
      <c r="L2753" s="13" t="s">
        <v>417</v>
      </c>
      <c r="M2753" s="13" t="s">
        <v>414</v>
      </c>
      <c r="N2753" s="15">
        <v>0</v>
      </c>
      <c r="O2753" s="16">
        <v>0</v>
      </c>
      <c r="P2753" s="17">
        <v>2.5917000008355364</v>
      </c>
      <c r="Q2753" s="17">
        <v>0</v>
      </c>
      <c r="R2753" s="13"/>
      <c r="S2753" s="13"/>
      <c r="T2753" s="13"/>
      <c r="U2753" s="13"/>
      <c r="V2753" s="13"/>
      <c r="W2753" s="13"/>
    </row>
    <row r="2754" spans="1:23" x14ac:dyDescent="0.2">
      <c r="A2754"/>
      <c r="B2754"/>
      <c r="C2754"/>
      <c r="D2754"/>
      <c r="E2754"/>
      <c r="F2754"/>
      <c r="G2754"/>
      <c r="H2754"/>
      <c r="I2754"/>
      <c r="J2754"/>
      <c r="K2754" s="13" t="s">
        <v>218</v>
      </c>
      <c r="L2754" s="13" t="s">
        <v>609</v>
      </c>
      <c r="M2754" s="13" t="s">
        <v>416</v>
      </c>
      <c r="N2754" s="15">
        <v>0</v>
      </c>
      <c r="O2754" s="16">
        <v>4.4702055365142463</v>
      </c>
      <c r="P2754" s="17">
        <v>0</v>
      </c>
      <c r="Q2754" s="17">
        <v>0</v>
      </c>
      <c r="R2754" s="13"/>
      <c r="S2754" s="13"/>
      <c r="T2754" s="13"/>
      <c r="U2754" s="13"/>
      <c r="V2754" s="13"/>
      <c r="W2754" s="13"/>
    </row>
    <row r="2755" spans="1:23" x14ac:dyDescent="0.2">
      <c r="A2755"/>
      <c r="B2755"/>
      <c r="C2755"/>
      <c r="D2755"/>
      <c r="E2755"/>
      <c r="F2755"/>
      <c r="G2755"/>
      <c r="H2755"/>
      <c r="I2755"/>
      <c r="J2755"/>
      <c r="K2755" s="13" t="s">
        <v>218</v>
      </c>
      <c r="L2755" s="13" t="s">
        <v>383</v>
      </c>
      <c r="M2755" s="13" t="s">
        <v>420</v>
      </c>
      <c r="N2755" s="15">
        <v>3</v>
      </c>
      <c r="O2755" s="16">
        <v>0</v>
      </c>
      <c r="P2755" s="17">
        <v>0</v>
      </c>
      <c r="Q2755" s="17">
        <v>0</v>
      </c>
      <c r="R2755" s="13"/>
      <c r="S2755" s="13"/>
      <c r="T2755" s="13"/>
      <c r="U2755" s="13"/>
      <c r="V2755" s="13"/>
      <c r="W2755" s="13"/>
    </row>
    <row r="2756" spans="1:23" x14ac:dyDescent="0.2">
      <c r="A2756"/>
      <c r="B2756"/>
      <c r="C2756"/>
      <c r="D2756"/>
      <c r="E2756"/>
      <c r="F2756"/>
      <c r="G2756"/>
      <c r="H2756"/>
      <c r="I2756"/>
      <c r="J2756"/>
      <c r="K2756" s="13" t="s">
        <v>218</v>
      </c>
      <c r="L2756" s="13" t="s">
        <v>613</v>
      </c>
      <c r="M2756" s="13" t="s">
        <v>444</v>
      </c>
      <c r="N2756" s="15">
        <v>0</v>
      </c>
      <c r="O2756" s="16">
        <v>81.983675465384238</v>
      </c>
      <c r="P2756" s="17">
        <v>0</v>
      </c>
      <c r="Q2756" s="17">
        <v>0</v>
      </c>
      <c r="R2756" s="13"/>
      <c r="S2756" s="13"/>
      <c r="T2756" s="13"/>
      <c r="U2756" s="13"/>
      <c r="V2756" s="13"/>
      <c r="W2756" s="13"/>
    </row>
    <row r="2757" spans="1:23" x14ac:dyDescent="0.2">
      <c r="A2757"/>
      <c r="B2757"/>
      <c r="C2757"/>
      <c r="D2757"/>
      <c r="E2757"/>
      <c r="F2757"/>
      <c r="G2757"/>
      <c r="H2757"/>
      <c r="I2757"/>
      <c r="J2757"/>
      <c r="K2757" s="13" t="s">
        <v>218</v>
      </c>
      <c r="L2757" s="13" t="s">
        <v>446</v>
      </c>
      <c r="M2757" s="13" t="s">
        <v>371</v>
      </c>
      <c r="N2757" s="15">
        <v>4</v>
      </c>
      <c r="O2757" s="16">
        <v>0</v>
      </c>
      <c r="P2757" s="17">
        <v>0</v>
      </c>
      <c r="Q2757" s="17">
        <v>0</v>
      </c>
      <c r="R2757" s="13"/>
      <c r="S2757" s="13"/>
      <c r="T2757" s="13"/>
      <c r="U2757" s="13"/>
      <c r="V2757" s="13"/>
      <c r="W2757" s="13"/>
    </row>
    <row r="2758" spans="1:23" x14ac:dyDescent="0.2">
      <c r="A2758"/>
      <c r="B2758"/>
      <c r="C2758"/>
      <c r="D2758"/>
      <c r="E2758"/>
      <c r="F2758"/>
      <c r="G2758"/>
      <c r="H2758"/>
      <c r="I2758"/>
      <c r="J2758"/>
      <c r="K2758" s="13" t="s">
        <v>218</v>
      </c>
      <c r="L2758" s="13" t="s">
        <v>424</v>
      </c>
      <c r="M2758" s="13" t="s">
        <v>468</v>
      </c>
      <c r="N2758" s="15">
        <v>0</v>
      </c>
      <c r="O2758" s="16">
        <v>0</v>
      </c>
      <c r="P2758" s="17">
        <v>8.0045999981942355</v>
      </c>
      <c r="Q2758" s="17">
        <v>0</v>
      </c>
      <c r="R2758" s="13"/>
      <c r="S2758" s="13"/>
      <c r="T2758" s="13"/>
      <c r="U2758" s="13"/>
      <c r="V2758" s="13"/>
      <c r="W2758" s="13"/>
    </row>
    <row r="2759" spans="1:23" x14ac:dyDescent="0.2">
      <c r="A2759"/>
      <c r="B2759"/>
      <c r="C2759"/>
      <c r="D2759"/>
      <c r="E2759"/>
      <c r="F2759"/>
      <c r="G2759"/>
      <c r="H2759"/>
      <c r="I2759"/>
      <c r="J2759"/>
      <c r="K2759" s="13" t="s">
        <v>218</v>
      </c>
      <c r="L2759" s="13" t="s">
        <v>484</v>
      </c>
      <c r="M2759" s="13" t="s">
        <v>529</v>
      </c>
      <c r="N2759" s="15">
        <v>0</v>
      </c>
      <c r="O2759" s="16">
        <v>62.214940237660898</v>
      </c>
      <c r="P2759" s="17">
        <v>0</v>
      </c>
      <c r="Q2759" s="17">
        <v>0</v>
      </c>
      <c r="R2759" s="13"/>
      <c r="S2759" s="13"/>
      <c r="T2759" s="13"/>
      <c r="U2759" s="13"/>
      <c r="V2759" s="13"/>
      <c r="W2759" s="13"/>
    </row>
    <row r="2760" spans="1:23" x14ac:dyDescent="0.2">
      <c r="A2760"/>
      <c r="B2760"/>
      <c r="C2760"/>
      <c r="D2760"/>
      <c r="E2760"/>
      <c r="F2760"/>
      <c r="G2760"/>
      <c r="H2760"/>
      <c r="I2760"/>
      <c r="J2760"/>
      <c r="K2760" s="13" t="s">
        <v>218</v>
      </c>
      <c r="L2760" s="13" t="s">
        <v>469</v>
      </c>
      <c r="M2760" s="13" t="s">
        <v>426</v>
      </c>
      <c r="N2760" s="15">
        <v>2</v>
      </c>
      <c r="O2760" s="16">
        <v>0</v>
      </c>
      <c r="P2760" s="17">
        <v>0</v>
      </c>
      <c r="Q2760" s="17">
        <v>0</v>
      </c>
      <c r="R2760" s="13"/>
      <c r="S2760" s="13"/>
      <c r="T2760" s="13"/>
      <c r="U2760" s="13"/>
      <c r="V2760" s="13"/>
      <c r="W2760" s="13"/>
    </row>
    <row r="2761" spans="1:23" x14ac:dyDescent="0.2">
      <c r="A2761"/>
      <c r="B2761"/>
      <c r="C2761"/>
      <c r="D2761"/>
      <c r="E2761"/>
      <c r="F2761"/>
      <c r="G2761"/>
      <c r="H2761"/>
      <c r="I2761"/>
      <c r="J2761"/>
      <c r="K2761" s="13" t="s">
        <v>220</v>
      </c>
      <c r="L2761" s="13" t="s">
        <v>389</v>
      </c>
      <c r="M2761" s="13" t="s">
        <v>388</v>
      </c>
      <c r="N2761" s="15">
        <v>0</v>
      </c>
      <c r="O2761" s="16">
        <v>0</v>
      </c>
      <c r="P2761" s="17">
        <v>648.02480001239621</v>
      </c>
      <c r="Q2761" s="17">
        <v>0</v>
      </c>
      <c r="R2761" s="13"/>
      <c r="S2761" s="13"/>
      <c r="T2761" s="13"/>
      <c r="U2761" s="13"/>
      <c r="V2761" s="13"/>
      <c r="W2761" s="13"/>
    </row>
    <row r="2762" spans="1:23" x14ac:dyDescent="0.2">
      <c r="A2762"/>
      <c r="B2762"/>
      <c r="C2762"/>
      <c r="D2762"/>
      <c r="E2762"/>
      <c r="F2762"/>
      <c r="G2762"/>
      <c r="H2762"/>
      <c r="I2762"/>
      <c r="J2762"/>
      <c r="K2762" s="13" t="s">
        <v>220</v>
      </c>
      <c r="L2762" s="13" t="s">
        <v>486</v>
      </c>
      <c r="M2762" s="13" t="s">
        <v>439</v>
      </c>
      <c r="N2762" s="15">
        <v>0</v>
      </c>
      <c r="O2762" s="16">
        <v>0</v>
      </c>
      <c r="P2762" s="17">
        <v>86.437150008284036</v>
      </c>
      <c r="Q2762" s="17">
        <v>0</v>
      </c>
      <c r="R2762" s="13"/>
      <c r="S2762" s="13"/>
      <c r="T2762" s="13"/>
      <c r="U2762" s="13"/>
      <c r="V2762" s="13"/>
      <c r="W2762" s="13"/>
    </row>
    <row r="2763" spans="1:23" x14ac:dyDescent="0.2">
      <c r="A2763"/>
      <c r="B2763"/>
      <c r="C2763"/>
      <c r="D2763"/>
      <c r="E2763"/>
      <c r="F2763"/>
      <c r="G2763"/>
      <c r="H2763"/>
      <c r="I2763"/>
      <c r="J2763"/>
      <c r="K2763" s="13" t="s">
        <v>220</v>
      </c>
      <c r="L2763" s="13" t="s">
        <v>621</v>
      </c>
      <c r="M2763" s="13" t="s">
        <v>520</v>
      </c>
      <c r="N2763" s="15">
        <v>0</v>
      </c>
      <c r="O2763" s="16">
        <v>0</v>
      </c>
      <c r="P2763" s="17">
        <v>187.98770001424379</v>
      </c>
      <c r="Q2763" s="17">
        <v>0</v>
      </c>
      <c r="R2763" s="13"/>
      <c r="S2763" s="13"/>
      <c r="T2763" s="13"/>
      <c r="U2763" s="13"/>
      <c r="V2763" s="13"/>
      <c r="W2763" s="13"/>
    </row>
    <row r="2764" spans="1:23" x14ac:dyDescent="0.2">
      <c r="A2764"/>
      <c r="B2764"/>
      <c r="C2764"/>
      <c r="D2764"/>
      <c r="E2764"/>
      <c r="F2764"/>
      <c r="G2764"/>
      <c r="H2764"/>
      <c r="I2764"/>
      <c r="J2764"/>
      <c r="K2764" s="13" t="s">
        <v>220</v>
      </c>
      <c r="L2764" s="13" t="s">
        <v>397</v>
      </c>
      <c r="M2764" s="13" t="s">
        <v>398</v>
      </c>
      <c r="N2764" s="15">
        <v>0</v>
      </c>
      <c r="O2764" s="16">
        <v>0</v>
      </c>
      <c r="P2764" s="17">
        <v>2.4663499999734109</v>
      </c>
      <c r="Q2764" s="17">
        <v>0</v>
      </c>
      <c r="R2764" s="13"/>
      <c r="S2764" s="13"/>
      <c r="T2764" s="13"/>
      <c r="U2764" s="13"/>
      <c r="V2764" s="13"/>
      <c r="W2764" s="13"/>
    </row>
    <row r="2765" spans="1:23" x14ac:dyDescent="0.2">
      <c r="A2765"/>
      <c r="B2765"/>
      <c r="C2765"/>
      <c r="D2765"/>
      <c r="E2765"/>
      <c r="F2765"/>
      <c r="G2765"/>
      <c r="H2765"/>
      <c r="I2765"/>
      <c r="J2765"/>
      <c r="K2765" s="13" t="s">
        <v>220</v>
      </c>
      <c r="L2765" s="13" t="s">
        <v>401</v>
      </c>
      <c r="M2765" s="13" t="s">
        <v>360</v>
      </c>
      <c r="N2765" s="15">
        <v>0</v>
      </c>
      <c r="O2765" s="16">
        <v>0</v>
      </c>
      <c r="P2765" s="17">
        <v>212.98079996731266</v>
      </c>
      <c r="Q2765" s="17">
        <v>0</v>
      </c>
      <c r="R2765" s="13"/>
      <c r="S2765" s="13"/>
      <c r="T2765" s="13"/>
      <c r="U2765" s="13"/>
      <c r="V2765" s="13"/>
      <c r="W2765" s="13"/>
    </row>
    <row r="2766" spans="1:23" x14ac:dyDescent="0.2">
      <c r="A2766"/>
      <c r="B2766"/>
      <c r="C2766"/>
      <c r="D2766"/>
      <c r="E2766"/>
      <c r="F2766"/>
      <c r="G2766"/>
      <c r="H2766"/>
      <c r="I2766"/>
      <c r="J2766"/>
      <c r="K2766" s="13" t="s">
        <v>220</v>
      </c>
      <c r="L2766" s="13" t="s">
        <v>402</v>
      </c>
      <c r="M2766" s="13" t="s">
        <v>403</v>
      </c>
      <c r="N2766" s="15">
        <v>0</v>
      </c>
      <c r="O2766" s="16">
        <v>0</v>
      </c>
      <c r="P2766" s="17">
        <v>1025.8903000008261</v>
      </c>
      <c r="Q2766" s="17">
        <v>0</v>
      </c>
      <c r="R2766" s="13"/>
      <c r="S2766" s="13"/>
      <c r="T2766" s="13"/>
      <c r="U2766" s="13"/>
      <c r="V2766" s="13"/>
      <c r="W2766" s="13"/>
    </row>
    <row r="2767" spans="1:23" x14ac:dyDescent="0.2">
      <c r="A2767"/>
      <c r="B2767"/>
      <c r="C2767"/>
      <c r="D2767"/>
      <c r="E2767"/>
      <c r="F2767"/>
      <c r="G2767"/>
      <c r="H2767"/>
      <c r="I2767"/>
      <c r="J2767"/>
      <c r="K2767" s="13" t="s">
        <v>220</v>
      </c>
      <c r="L2767" s="13" t="s">
        <v>381</v>
      </c>
      <c r="M2767" s="13" t="s">
        <v>382</v>
      </c>
      <c r="N2767" s="15">
        <v>8</v>
      </c>
      <c r="O2767" s="16">
        <v>0</v>
      </c>
      <c r="P2767" s="17">
        <v>0</v>
      </c>
      <c r="Q2767" s="17">
        <v>0</v>
      </c>
      <c r="R2767" s="13"/>
      <c r="S2767" s="13"/>
      <c r="T2767" s="13"/>
      <c r="U2767" s="13"/>
      <c r="V2767" s="13"/>
      <c r="W2767" s="13"/>
    </row>
    <row r="2768" spans="1:23" x14ac:dyDescent="0.2">
      <c r="A2768"/>
      <c r="B2768"/>
      <c r="C2768"/>
      <c r="D2768"/>
      <c r="E2768"/>
      <c r="F2768"/>
      <c r="G2768"/>
      <c r="H2768"/>
      <c r="I2768"/>
      <c r="J2768"/>
      <c r="K2768" s="13" t="s">
        <v>220</v>
      </c>
      <c r="L2768" s="13" t="s">
        <v>411</v>
      </c>
      <c r="M2768" s="13" t="s">
        <v>362</v>
      </c>
      <c r="N2768" s="15">
        <v>0</v>
      </c>
      <c r="O2768" s="16">
        <v>0</v>
      </c>
      <c r="P2768" s="17">
        <v>35.994000000418396</v>
      </c>
      <c r="Q2768" s="17">
        <v>0</v>
      </c>
      <c r="R2768" s="13"/>
      <c r="S2768" s="13"/>
      <c r="T2768" s="13"/>
      <c r="U2768" s="13"/>
      <c r="V2768" s="13"/>
      <c r="W2768" s="13"/>
    </row>
    <row r="2769" spans="1:23" x14ac:dyDescent="0.2">
      <c r="A2769"/>
      <c r="B2769"/>
      <c r="C2769"/>
      <c r="D2769"/>
      <c r="E2769"/>
      <c r="F2769"/>
      <c r="G2769"/>
      <c r="H2769"/>
      <c r="I2769"/>
      <c r="J2769"/>
      <c r="K2769" s="13" t="s">
        <v>220</v>
      </c>
      <c r="L2769" s="13" t="s">
        <v>411</v>
      </c>
      <c r="M2769" s="13" t="s">
        <v>362</v>
      </c>
      <c r="N2769" s="15">
        <v>0</v>
      </c>
      <c r="O2769" s="16">
        <v>40.03243025184485</v>
      </c>
      <c r="P2769" s="17">
        <v>0</v>
      </c>
      <c r="Q2769" s="17">
        <v>0</v>
      </c>
      <c r="R2769" s="13"/>
      <c r="S2769" s="13"/>
      <c r="T2769" s="13"/>
      <c r="U2769" s="13"/>
      <c r="V2769" s="13"/>
      <c r="W2769" s="13"/>
    </row>
    <row r="2770" spans="1:23" x14ac:dyDescent="0.2">
      <c r="A2770"/>
      <c r="B2770"/>
      <c r="C2770"/>
      <c r="D2770"/>
      <c r="E2770"/>
      <c r="F2770"/>
      <c r="G2770"/>
      <c r="H2770"/>
      <c r="I2770"/>
      <c r="J2770"/>
      <c r="K2770" s="13" t="s">
        <v>220</v>
      </c>
      <c r="L2770" s="13" t="s">
        <v>411</v>
      </c>
      <c r="M2770" s="13" t="s">
        <v>362</v>
      </c>
      <c r="N2770" s="15">
        <v>2</v>
      </c>
      <c r="O2770" s="16">
        <v>0</v>
      </c>
      <c r="P2770" s="17">
        <v>0</v>
      </c>
      <c r="Q2770" s="17">
        <v>0</v>
      </c>
      <c r="R2770" s="13"/>
      <c r="S2770" s="13"/>
      <c r="T2770" s="13"/>
      <c r="U2770" s="13"/>
      <c r="V2770" s="13"/>
      <c r="W2770" s="13"/>
    </row>
    <row r="2771" spans="1:23" x14ac:dyDescent="0.2">
      <c r="A2771"/>
      <c r="B2771"/>
      <c r="C2771"/>
      <c r="D2771"/>
      <c r="E2771"/>
      <c r="F2771"/>
      <c r="G2771"/>
      <c r="H2771"/>
      <c r="I2771"/>
      <c r="J2771"/>
      <c r="K2771" s="13" t="s">
        <v>220</v>
      </c>
      <c r="L2771" s="13" t="s">
        <v>605</v>
      </c>
      <c r="M2771" s="13" t="s">
        <v>429</v>
      </c>
      <c r="N2771" s="15">
        <v>0</v>
      </c>
      <c r="O2771" s="16">
        <v>6.2204903357679289</v>
      </c>
      <c r="P2771" s="17">
        <v>0</v>
      </c>
      <c r="Q2771" s="17">
        <v>0</v>
      </c>
      <c r="R2771" s="13"/>
      <c r="S2771" s="13"/>
      <c r="T2771" s="13"/>
      <c r="U2771" s="13"/>
      <c r="V2771" s="13"/>
      <c r="W2771" s="13"/>
    </row>
    <row r="2772" spans="1:23" x14ac:dyDescent="0.2">
      <c r="A2772"/>
      <c r="B2772"/>
      <c r="C2772"/>
      <c r="D2772"/>
      <c r="E2772"/>
      <c r="F2772"/>
      <c r="G2772"/>
      <c r="H2772"/>
      <c r="I2772"/>
      <c r="J2772"/>
      <c r="K2772" s="13" t="s">
        <v>220</v>
      </c>
      <c r="L2772" s="13" t="s">
        <v>623</v>
      </c>
      <c r="M2772" s="13" t="s">
        <v>530</v>
      </c>
      <c r="N2772" s="15">
        <v>0</v>
      </c>
      <c r="O2772" s="16">
        <v>91.382870259285866</v>
      </c>
      <c r="P2772" s="17">
        <v>0</v>
      </c>
      <c r="Q2772" s="17">
        <v>0</v>
      </c>
      <c r="R2772" s="13"/>
      <c r="S2772" s="13"/>
      <c r="T2772" s="13"/>
      <c r="U2772" s="13"/>
      <c r="V2772" s="13"/>
      <c r="W2772" s="13"/>
    </row>
    <row r="2773" spans="1:23" x14ac:dyDescent="0.2">
      <c r="A2773"/>
      <c r="B2773"/>
      <c r="C2773"/>
      <c r="D2773"/>
      <c r="E2773"/>
      <c r="F2773"/>
      <c r="G2773"/>
      <c r="H2773"/>
      <c r="I2773"/>
      <c r="J2773"/>
      <c r="K2773" s="13" t="s">
        <v>220</v>
      </c>
      <c r="L2773" s="13" t="s">
        <v>608</v>
      </c>
      <c r="M2773" s="13" t="s">
        <v>432</v>
      </c>
      <c r="N2773" s="15">
        <v>6</v>
      </c>
      <c r="O2773" s="16">
        <v>0</v>
      </c>
      <c r="P2773" s="17">
        <v>0</v>
      </c>
      <c r="Q2773" s="17">
        <v>0</v>
      </c>
      <c r="R2773" s="13"/>
      <c r="S2773" s="13"/>
      <c r="T2773" s="13"/>
      <c r="U2773" s="13"/>
      <c r="V2773" s="13"/>
      <c r="W2773" s="13"/>
    </row>
    <row r="2774" spans="1:23" x14ac:dyDescent="0.2">
      <c r="A2774"/>
      <c r="B2774"/>
      <c r="C2774"/>
      <c r="D2774"/>
      <c r="E2774"/>
      <c r="F2774"/>
      <c r="G2774"/>
      <c r="H2774"/>
      <c r="I2774"/>
      <c r="J2774"/>
      <c r="K2774" s="13" t="s">
        <v>220</v>
      </c>
      <c r="L2774" s="13" t="s">
        <v>615</v>
      </c>
      <c r="M2774" s="13" t="s">
        <v>449</v>
      </c>
      <c r="N2774" s="15">
        <v>1</v>
      </c>
      <c r="O2774" s="16">
        <v>0</v>
      </c>
      <c r="P2774" s="17">
        <v>0</v>
      </c>
      <c r="Q2774" s="17">
        <v>0</v>
      </c>
      <c r="R2774" s="13"/>
      <c r="S2774" s="13"/>
      <c r="T2774" s="13"/>
      <c r="U2774" s="13"/>
      <c r="V2774" s="13"/>
      <c r="W2774" s="13"/>
    </row>
    <row r="2775" spans="1:23" x14ac:dyDescent="0.2">
      <c r="A2775"/>
      <c r="B2775"/>
      <c r="C2775"/>
      <c r="D2775"/>
      <c r="E2775"/>
      <c r="F2775"/>
      <c r="G2775"/>
      <c r="H2775"/>
      <c r="I2775"/>
      <c r="J2775"/>
      <c r="K2775" s="13" t="s">
        <v>220</v>
      </c>
      <c r="L2775" s="13" t="s">
        <v>415</v>
      </c>
      <c r="M2775" s="13" t="s">
        <v>412</v>
      </c>
      <c r="N2775" s="15">
        <v>0</v>
      </c>
      <c r="O2775" s="16">
        <v>0</v>
      </c>
      <c r="P2775" s="17">
        <v>2.3915000010668299</v>
      </c>
      <c r="Q2775" s="17">
        <v>0</v>
      </c>
      <c r="R2775" s="13"/>
      <c r="S2775" s="13"/>
      <c r="T2775" s="13"/>
      <c r="U2775" s="13"/>
      <c r="V2775" s="13"/>
      <c r="W2775" s="13"/>
    </row>
    <row r="2776" spans="1:23" x14ac:dyDescent="0.2">
      <c r="A2776"/>
      <c r="B2776"/>
      <c r="C2776"/>
      <c r="D2776"/>
      <c r="E2776"/>
      <c r="F2776"/>
      <c r="G2776"/>
      <c r="H2776"/>
      <c r="I2776"/>
      <c r="J2776"/>
      <c r="K2776" s="13" t="s">
        <v>220</v>
      </c>
      <c r="L2776" s="13" t="s">
        <v>523</v>
      </c>
      <c r="M2776" s="13" t="s">
        <v>476</v>
      </c>
      <c r="N2776" s="15">
        <v>0</v>
      </c>
      <c r="O2776" s="16">
        <v>0</v>
      </c>
      <c r="P2776" s="17">
        <v>3.7165000015103722</v>
      </c>
      <c r="Q2776" s="17">
        <v>0</v>
      </c>
      <c r="R2776" s="13"/>
      <c r="S2776" s="13"/>
      <c r="T2776" s="13"/>
      <c r="U2776" s="13"/>
      <c r="V2776" s="13"/>
      <c r="W2776" s="13"/>
    </row>
    <row r="2777" spans="1:23" x14ac:dyDescent="0.2">
      <c r="A2777"/>
      <c r="B2777"/>
      <c r="C2777"/>
      <c r="D2777"/>
      <c r="E2777"/>
      <c r="F2777"/>
      <c r="G2777"/>
      <c r="H2777"/>
      <c r="I2777"/>
      <c r="J2777"/>
      <c r="K2777" s="13" t="s">
        <v>220</v>
      </c>
      <c r="L2777" s="13" t="s">
        <v>609</v>
      </c>
      <c r="M2777" s="13" t="s">
        <v>416</v>
      </c>
      <c r="N2777" s="15">
        <v>0</v>
      </c>
      <c r="O2777" s="16">
        <v>5.3547156743478377</v>
      </c>
      <c r="P2777" s="17">
        <v>0</v>
      </c>
      <c r="Q2777" s="17">
        <v>0</v>
      </c>
      <c r="R2777" s="13"/>
      <c r="S2777" s="13"/>
      <c r="T2777" s="13"/>
      <c r="U2777" s="13"/>
      <c r="V2777" s="13"/>
      <c r="W2777" s="13"/>
    </row>
    <row r="2778" spans="1:23" x14ac:dyDescent="0.2">
      <c r="A2778"/>
      <c r="B2778"/>
      <c r="C2778"/>
      <c r="D2778"/>
      <c r="E2778"/>
      <c r="F2778"/>
      <c r="G2778"/>
      <c r="H2778"/>
      <c r="I2778"/>
      <c r="J2778"/>
      <c r="K2778" s="13" t="s">
        <v>220</v>
      </c>
      <c r="L2778" s="13" t="s">
        <v>383</v>
      </c>
      <c r="M2778" s="13" t="s">
        <v>420</v>
      </c>
      <c r="N2778" s="15">
        <v>8</v>
      </c>
      <c r="O2778" s="16">
        <v>0</v>
      </c>
      <c r="P2778" s="17">
        <v>0</v>
      </c>
      <c r="Q2778" s="17">
        <v>0</v>
      </c>
      <c r="R2778" s="13"/>
      <c r="S2778" s="13"/>
      <c r="T2778" s="13"/>
      <c r="U2778" s="13"/>
      <c r="V2778" s="13"/>
      <c r="W2778" s="13"/>
    </row>
    <row r="2779" spans="1:23" x14ac:dyDescent="0.2">
      <c r="A2779"/>
      <c r="B2779"/>
      <c r="C2779"/>
      <c r="D2779"/>
      <c r="E2779"/>
      <c r="F2779"/>
      <c r="G2779"/>
      <c r="H2779"/>
      <c r="I2779"/>
      <c r="J2779"/>
      <c r="K2779" s="13" t="s">
        <v>220</v>
      </c>
      <c r="L2779" s="13" t="s">
        <v>528</v>
      </c>
      <c r="M2779" s="13" t="s">
        <v>384</v>
      </c>
      <c r="N2779" s="15">
        <v>0</v>
      </c>
      <c r="O2779" s="16">
        <v>224.74439664063385</v>
      </c>
      <c r="P2779" s="17">
        <v>0</v>
      </c>
      <c r="Q2779" s="17">
        <v>0</v>
      </c>
      <c r="R2779" s="13"/>
      <c r="S2779" s="13"/>
      <c r="T2779" s="13"/>
      <c r="U2779" s="13"/>
      <c r="V2779" s="13"/>
      <c r="W2779" s="13"/>
    </row>
    <row r="2780" spans="1:23" x14ac:dyDescent="0.2">
      <c r="A2780"/>
      <c r="B2780"/>
      <c r="C2780"/>
      <c r="D2780"/>
      <c r="E2780"/>
      <c r="F2780"/>
      <c r="G2780"/>
      <c r="H2780"/>
      <c r="I2780"/>
      <c r="J2780"/>
      <c r="K2780" s="13" t="s">
        <v>220</v>
      </c>
      <c r="L2780" s="13" t="s">
        <v>613</v>
      </c>
      <c r="M2780" s="13" t="s">
        <v>444</v>
      </c>
      <c r="N2780" s="15">
        <v>0</v>
      </c>
      <c r="O2780" s="16">
        <v>39.342142497628046</v>
      </c>
      <c r="P2780" s="17">
        <v>0</v>
      </c>
      <c r="Q2780" s="17">
        <v>0</v>
      </c>
      <c r="R2780" s="13"/>
      <c r="S2780" s="13"/>
      <c r="T2780" s="13"/>
      <c r="U2780" s="13"/>
      <c r="V2780" s="13"/>
      <c r="W2780" s="13"/>
    </row>
    <row r="2781" spans="1:23" x14ac:dyDescent="0.2">
      <c r="A2781"/>
      <c r="B2781"/>
      <c r="C2781"/>
      <c r="D2781"/>
      <c r="E2781"/>
      <c r="F2781"/>
      <c r="G2781"/>
      <c r="H2781"/>
      <c r="I2781"/>
      <c r="J2781"/>
      <c r="K2781" s="13" t="s">
        <v>220</v>
      </c>
      <c r="L2781" s="13" t="s">
        <v>611</v>
      </c>
      <c r="M2781" s="13" t="s">
        <v>423</v>
      </c>
      <c r="N2781" s="15">
        <v>0</v>
      </c>
      <c r="O2781" s="16">
        <v>10.839905152475405</v>
      </c>
      <c r="P2781" s="17">
        <v>0</v>
      </c>
      <c r="Q2781" s="17">
        <v>0</v>
      </c>
      <c r="R2781" s="13"/>
      <c r="S2781" s="13"/>
      <c r="T2781" s="13"/>
      <c r="U2781" s="13"/>
      <c r="V2781" s="13"/>
      <c r="W2781" s="13"/>
    </row>
    <row r="2782" spans="1:23" x14ac:dyDescent="0.2">
      <c r="A2782"/>
      <c r="B2782"/>
      <c r="C2782"/>
      <c r="D2782"/>
      <c r="E2782"/>
      <c r="F2782"/>
      <c r="G2782"/>
      <c r="H2782"/>
      <c r="I2782"/>
      <c r="J2782"/>
      <c r="K2782" s="13" t="s">
        <v>220</v>
      </c>
      <c r="L2782" s="13" t="s">
        <v>614</v>
      </c>
      <c r="M2782" s="13" t="s">
        <v>447</v>
      </c>
      <c r="N2782" s="15">
        <v>2</v>
      </c>
      <c r="O2782" s="16">
        <v>0</v>
      </c>
      <c r="P2782" s="17">
        <v>0</v>
      </c>
      <c r="Q2782" s="17">
        <v>0</v>
      </c>
      <c r="R2782" s="13"/>
      <c r="S2782" s="13"/>
      <c r="T2782" s="13"/>
      <c r="U2782" s="13"/>
      <c r="V2782" s="13"/>
      <c r="W2782" s="13"/>
    </row>
    <row r="2783" spans="1:23" x14ac:dyDescent="0.2">
      <c r="A2783"/>
      <c r="B2783"/>
      <c r="C2783"/>
      <c r="D2783"/>
      <c r="E2783"/>
      <c r="F2783"/>
      <c r="G2783"/>
      <c r="H2783"/>
      <c r="I2783"/>
      <c r="J2783"/>
      <c r="K2783" s="13" t="s">
        <v>220</v>
      </c>
      <c r="L2783" s="13" t="s">
        <v>469</v>
      </c>
      <c r="M2783" s="13" t="s">
        <v>426</v>
      </c>
      <c r="N2783" s="15">
        <v>2</v>
      </c>
      <c r="O2783" s="16">
        <v>0</v>
      </c>
      <c r="P2783" s="17">
        <v>0</v>
      </c>
      <c r="Q2783" s="17">
        <v>0</v>
      </c>
      <c r="R2783" s="13"/>
      <c r="S2783" s="13"/>
      <c r="T2783" s="13"/>
      <c r="U2783" s="13"/>
      <c r="V2783" s="13"/>
      <c r="W2783" s="13"/>
    </row>
    <row r="2784" spans="1:23" x14ac:dyDescent="0.2">
      <c r="A2784"/>
      <c r="B2784"/>
      <c r="C2784"/>
      <c r="D2784"/>
      <c r="E2784"/>
      <c r="F2784"/>
      <c r="G2784"/>
      <c r="H2784"/>
      <c r="I2784"/>
      <c r="J2784"/>
      <c r="K2784" s="13" t="s">
        <v>222</v>
      </c>
      <c r="L2784" s="13" t="s">
        <v>435</v>
      </c>
      <c r="M2784" s="13" t="s">
        <v>364</v>
      </c>
      <c r="N2784" s="15">
        <v>0</v>
      </c>
      <c r="O2784" s="16">
        <v>0</v>
      </c>
      <c r="P2784" s="17">
        <v>21.725149997748225</v>
      </c>
      <c r="Q2784" s="17">
        <v>0</v>
      </c>
      <c r="R2784" s="13"/>
      <c r="S2784" s="13"/>
      <c r="T2784" s="13"/>
      <c r="U2784" s="13"/>
      <c r="V2784" s="13"/>
      <c r="W2784" s="13"/>
    </row>
    <row r="2785" spans="1:23" x14ac:dyDescent="0.2">
      <c r="A2785"/>
      <c r="B2785"/>
      <c r="C2785"/>
      <c r="D2785"/>
      <c r="E2785"/>
      <c r="F2785"/>
      <c r="G2785"/>
      <c r="H2785"/>
      <c r="I2785"/>
      <c r="J2785"/>
      <c r="K2785" s="13" t="s">
        <v>222</v>
      </c>
      <c r="L2785" s="13" t="s">
        <v>389</v>
      </c>
      <c r="M2785" s="13" t="s">
        <v>388</v>
      </c>
      <c r="N2785" s="15">
        <v>0</v>
      </c>
      <c r="O2785" s="16">
        <v>0</v>
      </c>
      <c r="P2785" s="17">
        <v>687.59075957693267</v>
      </c>
      <c r="Q2785" s="17">
        <v>0</v>
      </c>
      <c r="R2785" s="13"/>
      <c r="S2785" s="13"/>
      <c r="T2785" s="13"/>
      <c r="U2785" s="13"/>
      <c r="V2785" s="13"/>
      <c r="W2785" s="13"/>
    </row>
    <row r="2786" spans="1:23" x14ac:dyDescent="0.2">
      <c r="A2786"/>
      <c r="B2786"/>
      <c r="C2786"/>
      <c r="D2786"/>
      <c r="E2786"/>
      <c r="F2786"/>
      <c r="G2786"/>
      <c r="H2786"/>
      <c r="I2786"/>
      <c r="J2786"/>
      <c r="K2786" s="13" t="s">
        <v>222</v>
      </c>
      <c r="L2786" s="13" t="s">
        <v>460</v>
      </c>
      <c r="M2786" s="13" t="s">
        <v>393</v>
      </c>
      <c r="N2786" s="15">
        <v>0</v>
      </c>
      <c r="O2786" s="16">
        <v>0</v>
      </c>
      <c r="P2786" s="17">
        <v>21.032416459639521</v>
      </c>
      <c r="Q2786" s="17">
        <v>0</v>
      </c>
      <c r="R2786" s="13"/>
      <c r="S2786" s="13"/>
      <c r="T2786" s="13"/>
      <c r="U2786" s="13"/>
      <c r="V2786" s="13"/>
      <c r="W2786" s="13"/>
    </row>
    <row r="2787" spans="1:23" x14ac:dyDescent="0.2">
      <c r="A2787"/>
      <c r="B2787"/>
      <c r="C2787"/>
      <c r="D2787"/>
      <c r="E2787"/>
      <c r="F2787"/>
      <c r="G2787"/>
      <c r="H2787"/>
      <c r="I2787"/>
      <c r="J2787"/>
      <c r="K2787" s="13" t="s">
        <v>222</v>
      </c>
      <c r="L2787" s="13" t="s">
        <v>401</v>
      </c>
      <c r="M2787" s="13" t="s">
        <v>360</v>
      </c>
      <c r="N2787" s="15">
        <v>0</v>
      </c>
      <c r="O2787" s="16">
        <v>0</v>
      </c>
      <c r="P2787" s="17">
        <v>209.04974999729467</v>
      </c>
      <c r="Q2787" s="17">
        <v>0</v>
      </c>
      <c r="R2787" s="13"/>
      <c r="S2787" s="13"/>
      <c r="T2787" s="13"/>
      <c r="U2787" s="13"/>
      <c r="V2787" s="13"/>
      <c r="W2787" s="13"/>
    </row>
    <row r="2788" spans="1:23" x14ac:dyDescent="0.2">
      <c r="A2788"/>
      <c r="B2788"/>
      <c r="C2788"/>
      <c r="D2788"/>
      <c r="E2788"/>
      <c r="F2788"/>
      <c r="G2788"/>
      <c r="H2788"/>
      <c r="I2788"/>
      <c r="J2788"/>
      <c r="K2788" s="13" t="s">
        <v>222</v>
      </c>
      <c r="L2788" s="13" t="s">
        <v>402</v>
      </c>
      <c r="M2788" s="13" t="s">
        <v>403</v>
      </c>
      <c r="N2788" s="15">
        <v>0</v>
      </c>
      <c r="O2788" s="16">
        <v>0</v>
      </c>
      <c r="P2788" s="17">
        <v>1022.5391826419885</v>
      </c>
      <c r="Q2788" s="17">
        <v>0</v>
      </c>
      <c r="R2788" s="13"/>
      <c r="S2788" s="13"/>
      <c r="T2788" s="13"/>
      <c r="U2788" s="13"/>
      <c r="V2788" s="13"/>
      <c r="W2788" s="13"/>
    </row>
    <row r="2789" spans="1:23" x14ac:dyDescent="0.2">
      <c r="A2789"/>
      <c r="B2789"/>
      <c r="C2789"/>
      <c r="D2789"/>
      <c r="E2789"/>
      <c r="F2789"/>
      <c r="G2789"/>
      <c r="H2789"/>
      <c r="I2789"/>
      <c r="J2789"/>
      <c r="K2789" s="13" t="s">
        <v>222</v>
      </c>
      <c r="L2789" s="13" t="s">
        <v>456</v>
      </c>
      <c r="M2789" s="13" t="s">
        <v>457</v>
      </c>
      <c r="N2789" s="15">
        <v>0</v>
      </c>
      <c r="O2789" s="16">
        <v>0</v>
      </c>
      <c r="P2789" s="17">
        <v>343.79785004946177</v>
      </c>
      <c r="Q2789" s="17">
        <v>0</v>
      </c>
      <c r="R2789" s="13"/>
      <c r="S2789" s="13"/>
      <c r="T2789" s="13"/>
      <c r="U2789" s="13"/>
      <c r="V2789" s="13"/>
      <c r="W2789" s="13"/>
    </row>
    <row r="2790" spans="1:23" x14ac:dyDescent="0.2">
      <c r="A2790"/>
      <c r="B2790"/>
      <c r="C2790"/>
      <c r="D2790"/>
      <c r="E2790"/>
      <c r="F2790"/>
      <c r="G2790"/>
      <c r="H2790"/>
      <c r="I2790"/>
      <c r="J2790"/>
      <c r="K2790" s="13" t="s">
        <v>222</v>
      </c>
      <c r="L2790" s="13" t="s">
        <v>381</v>
      </c>
      <c r="M2790" s="13" t="s">
        <v>382</v>
      </c>
      <c r="N2790" s="15">
        <v>6</v>
      </c>
      <c r="O2790" s="16">
        <v>0</v>
      </c>
      <c r="P2790" s="17">
        <v>0</v>
      </c>
      <c r="Q2790" s="17">
        <v>0</v>
      </c>
      <c r="R2790" s="13"/>
      <c r="S2790" s="13"/>
      <c r="T2790" s="13"/>
      <c r="U2790" s="13"/>
      <c r="V2790" s="13"/>
      <c r="W2790" s="13"/>
    </row>
    <row r="2791" spans="1:23" x14ac:dyDescent="0.2">
      <c r="A2791"/>
      <c r="B2791"/>
      <c r="C2791"/>
      <c r="D2791"/>
      <c r="E2791"/>
      <c r="F2791"/>
      <c r="G2791"/>
      <c r="H2791"/>
      <c r="I2791"/>
      <c r="J2791"/>
      <c r="K2791" s="13" t="s">
        <v>222</v>
      </c>
      <c r="L2791" s="13" t="s">
        <v>411</v>
      </c>
      <c r="M2791" s="13" t="s">
        <v>362</v>
      </c>
      <c r="N2791" s="15">
        <v>0</v>
      </c>
      <c r="O2791" s="16">
        <v>0</v>
      </c>
      <c r="P2791" s="17">
        <v>56.810500006967231</v>
      </c>
      <c r="Q2791" s="17">
        <v>0</v>
      </c>
      <c r="R2791" s="13"/>
      <c r="S2791" s="13"/>
      <c r="T2791" s="13"/>
      <c r="U2791" s="13"/>
      <c r="V2791" s="13"/>
      <c r="W2791" s="13"/>
    </row>
    <row r="2792" spans="1:23" x14ac:dyDescent="0.2">
      <c r="A2792"/>
      <c r="B2792"/>
      <c r="C2792"/>
      <c r="D2792"/>
      <c r="E2792"/>
      <c r="F2792"/>
      <c r="G2792"/>
      <c r="H2792"/>
      <c r="I2792"/>
      <c r="J2792"/>
      <c r="K2792" s="13" t="s">
        <v>222</v>
      </c>
      <c r="L2792" s="13" t="s">
        <v>411</v>
      </c>
      <c r="M2792" s="13" t="s">
        <v>362</v>
      </c>
      <c r="N2792" s="15">
        <v>0</v>
      </c>
      <c r="O2792" s="16">
        <v>19.785361063652658</v>
      </c>
      <c r="P2792" s="17">
        <v>0</v>
      </c>
      <c r="Q2792" s="17">
        <v>0</v>
      </c>
      <c r="R2792" s="13"/>
      <c r="S2792" s="13"/>
      <c r="T2792" s="13"/>
      <c r="U2792" s="13"/>
      <c r="V2792" s="13"/>
      <c r="W2792" s="13"/>
    </row>
    <row r="2793" spans="1:23" x14ac:dyDescent="0.2">
      <c r="A2793"/>
      <c r="B2793"/>
      <c r="C2793"/>
      <c r="D2793"/>
      <c r="E2793"/>
      <c r="F2793"/>
      <c r="G2793"/>
      <c r="H2793"/>
      <c r="I2793"/>
      <c r="J2793"/>
      <c r="K2793" s="13" t="s">
        <v>222</v>
      </c>
      <c r="L2793" s="13" t="s">
        <v>411</v>
      </c>
      <c r="M2793" s="13" t="s">
        <v>362</v>
      </c>
      <c r="N2793" s="15">
        <v>1</v>
      </c>
      <c r="O2793" s="16">
        <v>0</v>
      </c>
      <c r="P2793" s="17">
        <v>0</v>
      </c>
      <c r="Q2793" s="17">
        <v>0</v>
      </c>
      <c r="R2793" s="13"/>
      <c r="S2793" s="13"/>
      <c r="T2793" s="13"/>
      <c r="U2793" s="13"/>
      <c r="V2793" s="13"/>
      <c r="W2793" s="13"/>
    </row>
    <row r="2794" spans="1:23" x14ac:dyDescent="0.2">
      <c r="A2794"/>
      <c r="B2794"/>
      <c r="C2794"/>
      <c r="D2794"/>
      <c r="E2794"/>
      <c r="F2794"/>
      <c r="G2794"/>
      <c r="H2794"/>
      <c r="I2794"/>
      <c r="J2794"/>
      <c r="K2794" s="13" t="s">
        <v>222</v>
      </c>
      <c r="L2794" s="13" t="s">
        <v>605</v>
      </c>
      <c r="M2794" s="13" t="s">
        <v>429</v>
      </c>
      <c r="N2794" s="15">
        <v>0</v>
      </c>
      <c r="O2794" s="16">
        <v>8.041989647916477</v>
      </c>
      <c r="P2794" s="17">
        <v>0</v>
      </c>
      <c r="Q2794" s="17">
        <v>0</v>
      </c>
      <c r="R2794" s="13"/>
      <c r="S2794" s="13"/>
      <c r="T2794" s="13"/>
      <c r="U2794" s="13"/>
      <c r="V2794" s="13"/>
      <c r="W2794" s="13"/>
    </row>
    <row r="2795" spans="1:23" x14ac:dyDescent="0.2">
      <c r="A2795"/>
      <c r="B2795"/>
      <c r="C2795"/>
      <c r="D2795"/>
      <c r="E2795"/>
      <c r="F2795"/>
      <c r="G2795"/>
      <c r="H2795"/>
      <c r="I2795"/>
      <c r="J2795"/>
      <c r="K2795" s="13" t="s">
        <v>222</v>
      </c>
      <c r="L2795" s="13" t="s">
        <v>606</v>
      </c>
      <c r="M2795" s="13" t="s">
        <v>430</v>
      </c>
      <c r="N2795" s="15">
        <v>1</v>
      </c>
      <c r="O2795" s="16">
        <v>0</v>
      </c>
      <c r="P2795" s="17">
        <v>0</v>
      </c>
      <c r="Q2795" s="17">
        <v>0</v>
      </c>
      <c r="R2795" s="13"/>
      <c r="S2795" s="13"/>
      <c r="T2795" s="13"/>
      <c r="U2795" s="13"/>
      <c r="V2795" s="13"/>
      <c r="W2795" s="13"/>
    </row>
    <row r="2796" spans="1:23" x14ac:dyDescent="0.2">
      <c r="A2796"/>
      <c r="B2796"/>
      <c r="C2796"/>
      <c r="D2796"/>
      <c r="E2796"/>
      <c r="F2796"/>
      <c r="G2796"/>
      <c r="H2796"/>
      <c r="I2796"/>
      <c r="J2796"/>
      <c r="K2796" s="13" t="s">
        <v>222</v>
      </c>
      <c r="L2796" s="13" t="s">
        <v>623</v>
      </c>
      <c r="M2796" s="13" t="s">
        <v>530</v>
      </c>
      <c r="N2796" s="15">
        <v>0</v>
      </c>
      <c r="O2796" s="16">
        <v>94.12278093608569</v>
      </c>
      <c r="P2796" s="17">
        <v>0</v>
      </c>
      <c r="Q2796" s="17">
        <v>0</v>
      </c>
      <c r="R2796" s="13"/>
      <c r="S2796" s="13"/>
      <c r="T2796" s="13"/>
      <c r="U2796" s="13"/>
      <c r="V2796" s="13"/>
      <c r="W2796" s="13"/>
    </row>
    <row r="2797" spans="1:23" x14ac:dyDescent="0.2">
      <c r="A2797"/>
      <c r="B2797"/>
      <c r="C2797"/>
      <c r="D2797"/>
      <c r="E2797"/>
      <c r="F2797"/>
      <c r="G2797"/>
      <c r="H2797"/>
      <c r="I2797"/>
      <c r="J2797"/>
      <c r="K2797" s="13" t="s">
        <v>222</v>
      </c>
      <c r="L2797" s="13" t="s">
        <v>609</v>
      </c>
      <c r="M2797" s="13" t="s">
        <v>416</v>
      </c>
      <c r="N2797" s="15">
        <v>0</v>
      </c>
      <c r="O2797" s="16">
        <v>25.024420315341651</v>
      </c>
      <c r="P2797" s="17">
        <v>0</v>
      </c>
      <c r="Q2797" s="17">
        <v>0</v>
      </c>
      <c r="R2797" s="13"/>
      <c r="S2797" s="13"/>
      <c r="T2797" s="13"/>
      <c r="U2797" s="13"/>
      <c r="V2797" s="13"/>
      <c r="W2797" s="13"/>
    </row>
    <row r="2798" spans="1:23" x14ac:dyDescent="0.2">
      <c r="A2798"/>
      <c r="B2798"/>
      <c r="C2798"/>
      <c r="D2798"/>
      <c r="E2798"/>
      <c r="F2798"/>
      <c r="G2798"/>
      <c r="H2798"/>
      <c r="I2798"/>
      <c r="J2798"/>
      <c r="K2798" s="13" t="s">
        <v>222</v>
      </c>
      <c r="L2798" s="13" t="s">
        <v>421</v>
      </c>
      <c r="M2798" s="13" t="s">
        <v>443</v>
      </c>
      <c r="N2798" s="15">
        <v>5</v>
      </c>
      <c r="O2798" s="16">
        <v>0</v>
      </c>
      <c r="P2798" s="17">
        <v>0</v>
      </c>
      <c r="Q2798" s="17">
        <v>0</v>
      </c>
      <c r="R2798" s="13"/>
      <c r="S2798" s="13"/>
      <c r="T2798" s="13"/>
      <c r="U2798" s="13"/>
      <c r="V2798" s="13"/>
      <c r="W2798" s="13"/>
    </row>
    <row r="2799" spans="1:23" x14ac:dyDescent="0.2">
      <c r="A2799"/>
      <c r="B2799"/>
      <c r="C2799"/>
      <c r="D2799"/>
      <c r="E2799"/>
      <c r="F2799"/>
      <c r="G2799"/>
      <c r="H2799"/>
      <c r="I2799"/>
      <c r="J2799"/>
      <c r="K2799" s="13" t="s">
        <v>222</v>
      </c>
      <c r="L2799" s="13" t="s">
        <v>383</v>
      </c>
      <c r="M2799" s="13" t="s">
        <v>420</v>
      </c>
      <c r="N2799" s="15">
        <v>4</v>
      </c>
      <c r="O2799" s="16">
        <v>0</v>
      </c>
      <c r="P2799" s="17">
        <v>0</v>
      </c>
      <c r="Q2799" s="17">
        <v>0</v>
      </c>
      <c r="R2799" s="13"/>
      <c r="S2799" s="13"/>
      <c r="T2799" s="13"/>
      <c r="U2799" s="13"/>
      <c r="V2799" s="13"/>
      <c r="W2799" s="13"/>
    </row>
    <row r="2800" spans="1:23" x14ac:dyDescent="0.2">
      <c r="A2800"/>
      <c r="B2800"/>
      <c r="C2800"/>
      <c r="D2800"/>
      <c r="E2800"/>
      <c r="F2800"/>
      <c r="G2800"/>
      <c r="H2800"/>
      <c r="I2800"/>
      <c r="J2800"/>
      <c r="K2800" s="13" t="s">
        <v>222</v>
      </c>
      <c r="L2800" s="13" t="s">
        <v>528</v>
      </c>
      <c r="M2800" s="13" t="s">
        <v>384</v>
      </c>
      <c r="N2800" s="15">
        <v>0</v>
      </c>
      <c r="O2800" s="16">
        <v>85.932429402000608</v>
      </c>
      <c r="P2800" s="17">
        <v>0</v>
      </c>
      <c r="Q2800" s="17">
        <v>0</v>
      </c>
      <c r="R2800" s="13"/>
      <c r="S2800" s="13"/>
      <c r="T2800" s="13"/>
      <c r="U2800" s="13"/>
      <c r="V2800" s="13"/>
      <c r="W2800" s="13"/>
    </row>
    <row r="2801" spans="1:23" x14ac:dyDescent="0.2">
      <c r="A2801"/>
      <c r="B2801"/>
      <c r="C2801"/>
      <c r="D2801"/>
      <c r="E2801"/>
      <c r="F2801"/>
      <c r="G2801"/>
      <c r="H2801"/>
      <c r="I2801"/>
      <c r="J2801"/>
      <c r="K2801" s="13" t="s">
        <v>222</v>
      </c>
      <c r="L2801" s="13" t="s">
        <v>613</v>
      </c>
      <c r="M2801" s="13" t="s">
        <v>444</v>
      </c>
      <c r="N2801" s="15">
        <v>0</v>
      </c>
      <c r="O2801" s="16">
        <v>19.379266914944996</v>
      </c>
      <c r="P2801" s="17">
        <v>0</v>
      </c>
      <c r="Q2801" s="17">
        <v>0</v>
      </c>
      <c r="R2801" s="13"/>
      <c r="S2801" s="13"/>
      <c r="T2801" s="13"/>
      <c r="U2801" s="13"/>
      <c r="V2801" s="13"/>
      <c r="W2801" s="13"/>
    </row>
    <row r="2802" spans="1:23" x14ac:dyDescent="0.2">
      <c r="A2802"/>
      <c r="B2802"/>
      <c r="C2802"/>
      <c r="D2802"/>
      <c r="E2802"/>
      <c r="F2802"/>
      <c r="G2802"/>
      <c r="H2802"/>
      <c r="I2802"/>
      <c r="J2802"/>
      <c r="K2802" s="13" t="s">
        <v>222</v>
      </c>
      <c r="L2802" s="13" t="s">
        <v>446</v>
      </c>
      <c r="M2802" s="13" t="s">
        <v>371</v>
      </c>
      <c r="N2802" s="15">
        <v>1</v>
      </c>
      <c r="O2802" s="16">
        <v>0</v>
      </c>
      <c r="P2802" s="17">
        <v>0</v>
      </c>
      <c r="Q2802" s="17">
        <v>0</v>
      </c>
      <c r="R2802" s="13"/>
      <c r="S2802" s="13"/>
      <c r="T2802" s="13"/>
      <c r="U2802" s="13"/>
      <c r="V2802" s="13"/>
      <c r="W2802" s="13"/>
    </row>
    <row r="2803" spans="1:23" x14ac:dyDescent="0.2">
      <c r="A2803"/>
      <c r="B2803"/>
      <c r="C2803"/>
      <c r="D2803"/>
      <c r="E2803"/>
      <c r="F2803"/>
      <c r="G2803"/>
      <c r="H2803"/>
      <c r="I2803"/>
      <c r="J2803"/>
      <c r="K2803" s="13" t="s">
        <v>222</v>
      </c>
      <c r="L2803" s="13" t="s">
        <v>614</v>
      </c>
      <c r="M2803" s="13" t="s">
        <v>447</v>
      </c>
      <c r="N2803" s="15">
        <v>2</v>
      </c>
      <c r="O2803" s="16">
        <v>0</v>
      </c>
      <c r="P2803" s="17">
        <v>0</v>
      </c>
      <c r="Q2803" s="17">
        <v>0</v>
      </c>
      <c r="R2803" s="13"/>
      <c r="S2803" s="13"/>
      <c r="T2803" s="13"/>
      <c r="U2803" s="13"/>
      <c r="V2803" s="13"/>
      <c r="W2803" s="13"/>
    </row>
    <row r="2804" spans="1:23" x14ac:dyDescent="0.2">
      <c r="A2804"/>
      <c r="B2804"/>
      <c r="C2804"/>
      <c r="D2804"/>
      <c r="E2804"/>
      <c r="F2804"/>
      <c r="G2804"/>
      <c r="H2804"/>
      <c r="I2804"/>
      <c r="J2804"/>
      <c r="K2804" s="13" t="s">
        <v>222</v>
      </c>
      <c r="L2804" s="13" t="s">
        <v>612</v>
      </c>
      <c r="M2804" s="13" t="s">
        <v>425</v>
      </c>
      <c r="N2804" s="15">
        <v>1</v>
      </c>
      <c r="O2804" s="16">
        <v>0</v>
      </c>
      <c r="P2804" s="17">
        <v>0</v>
      </c>
      <c r="Q2804" s="17">
        <v>0</v>
      </c>
      <c r="R2804" s="13"/>
      <c r="S2804" s="13"/>
      <c r="T2804" s="13"/>
      <c r="U2804" s="13"/>
      <c r="V2804" s="13"/>
      <c r="W2804" s="13"/>
    </row>
    <row r="2805" spans="1:23" x14ac:dyDescent="0.2">
      <c r="A2805"/>
      <c r="B2805"/>
      <c r="C2805"/>
      <c r="D2805"/>
      <c r="E2805"/>
      <c r="F2805"/>
      <c r="G2805"/>
      <c r="H2805"/>
      <c r="I2805"/>
      <c r="J2805"/>
      <c r="K2805" s="13" t="s">
        <v>222</v>
      </c>
      <c r="L2805" s="13" t="s">
        <v>469</v>
      </c>
      <c r="M2805" s="13" t="s">
        <v>426</v>
      </c>
      <c r="N2805" s="15">
        <v>2</v>
      </c>
      <c r="O2805" s="16">
        <v>0</v>
      </c>
      <c r="P2805" s="17">
        <v>0</v>
      </c>
      <c r="Q2805" s="17">
        <v>0</v>
      </c>
      <c r="R2805" s="13"/>
      <c r="S2805" s="13"/>
      <c r="T2805" s="13"/>
      <c r="U2805" s="13"/>
      <c r="V2805" s="13"/>
      <c r="W2805" s="13"/>
    </row>
    <row r="2806" spans="1:23" x14ac:dyDescent="0.2">
      <c r="A2806"/>
      <c r="B2806"/>
      <c r="C2806"/>
      <c r="D2806"/>
      <c r="E2806"/>
      <c r="F2806"/>
      <c r="G2806"/>
      <c r="H2806"/>
      <c r="I2806"/>
      <c r="J2806"/>
      <c r="K2806" s="13" t="s">
        <v>224</v>
      </c>
      <c r="L2806" s="13" t="s">
        <v>387</v>
      </c>
      <c r="M2806" s="13" t="s">
        <v>386</v>
      </c>
      <c r="N2806" s="15">
        <v>0</v>
      </c>
      <c r="O2806" s="16">
        <v>0</v>
      </c>
      <c r="P2806" s="17">
        <v>1110.3959499898756</v>
      </c>
      <c r="Q2806" s="17">
        <v>0</v>
      </c>
      <c r="R2806" s="13"/>
      <c r="S2806" s="13"/>
      <c r="T2806" s="13"/>
      <c r="U2806" s="13"/>
      <c r="V2806" s="13"/>
      <c r="W2806" s="13"/>
    </row>
    <row r="2807" spans="1:23" x14ac:dyDescent="0.2">
      <c r="A2807"/>
      <c r="B2807"/>
      <c r="C2807"/>
      <c r="D2807"/>
      <c r="E2807"/>
      <c r="F2807"/>
      <c r="G2807"/>
      <c r="H2807"/>
      <c r="I2807"/>
      <c r="J2807"/>
      <c r="K2807" s="13" t="s">
        <v>224</v>
      </c>
      <c r="L2807" s="13" t="s">
        <v>389</v>
      </c>
      <c r="M2807" s="13" t="s">
        <v>388</v>
      </c>
      <c r="N2807" s="15">
        <v>0</v>
      </c>
      <c r="O2807" s="16">
        <v>0</v>
      </c>
      <c r="P2807" s="17">
        <v>257.21904998599638</v>
      </c>
      <c r="Q2807" s="17">
        <v>0</v>
      </c>
      <c r="R2807" s="13"/>
      <c r="S2807" s="13"/>
      <c r="T2807" s="13"/>
      <c r="U2807" s="13"/>
      <c r="V2807" s="13"/>
      <c r="W2807" s="13"/>
    </row>
    <row r="2808" spans="1:23" x14ac:dyDescent="0.2">
      <c r="A2808"/>
      <c r="B2808"/>
      <c r="C2808"/>
      <c r="D2808"/>
      <c r="E2808"/>
      <c r="F2808"/>
      <c r="G2808"/>
      <c r="H2808"/>
      <c r="I2808"/>
      <c r="J2808"/>
      <c r="K2808" s="13" t="s">
        <v>224</v>
      </c>
      <c r="L2808" s="13" t="s">
        <v>391</v>
      </c>
      <c r="M2808" s="13" t="s">
        <v>358</v>
      </c>
      <c r="N2808" s="15">
        <v>0</v>
      </c>
      <c r="O2808" s="16">
        <v>0</v>
      </c>
      <c r="P2808" s="17">
        <v>8.8202000000603249</v>
      </c>
      <c r="Q2808" s="17">
        <v>0</v>
      </c>
      <c r="R2808" s="13"/>
      <c r="S2808" s="13"/>
      <c r="T2808" s="13"/>
      <c r="U2808" s="13"/>
      <c r="V2808" s="13"/>
      <c r="W2808" s="13"/>
    </row>
    <row r="2809" spans="1:23" x14ac:dyDescent="0.2">
      <c r="A2809"/>
      <c r="B2809"/>
      <c r="C2809"/>
      <c r="D2809"/>
      <c r="E2809"/>
      <c r="F2809"/>
      <c r="G2809"/>
      <c r="H2809"/>
      <c r="I2809"/>
      <c r="J2809"/>
      <c r="K2809" s="13" t="s">
        <v>224</v>
      </c>
      <c r="L2809" s="13" t="s">
        <v>438</v>
      </c>
      <c r="M2809" s="13" t="s">
        <v>461</v>
      </c>
      <c r="N2809" s="15">
        <v>0</v>
      </c>
      <c r="O2809" s="16">
        <v>0</v>
      </c>
      <c r="P2809" s="17">
        <v>78.953950003938715</v>
      </c>
      <c r="Q2809" s="17">
        <v>0</v>
      </c>
      <c r="R2809" s="13"/>
      <c r="S2809" s="13"/>
      <c r="T2809" s="13"/>
      <c r="U2809" s="13"/>
      <c r="V2809" s="13"/>
      <c r="W2809" s="13"/>
    </row>
    <row r="2810" spans="1:23" x14ac:dyDescent="0.2">
      <c r="A2810"/>
      <c r="B2810"/>
      <c r="C2810"/>
      <c r="D2810"/>
      <c r="E2810"/>
      <c r="F2810"/>
      <c r="G2810"/>
      <c r="H2810"/>
      <c r="I2810"/>
      <c r="J2810"/>
      <c r="K2810" s="13" t="s">
        <v>224</v>
      </c>
      <c r="L2810" s="13" t="s">
        <v>532</v>
      </c>
      <c r="M2810" s="13" t="s">
        <v>620</v>
      </c>
      <c r="N2810" s="15">
        <v>0</v>
      </c>
      <c r="O2810" s="16">
        <v>0</v>
      </c>
      <c r="P2810" s="17">
        <v>2.2218000009300187</v>
      </c>
      <c r="Q2810" s="17">
        <v>0</v>
      </c>
      <c r="R2810" s="13"/>
      <c r="S2810" s="13"/>
      <c r="T2810" s="13"/>
      <c r="U2810" s="13"/>
      <c r="V2810" s="13"/>
      <c r="W2810" s="13"/>
    </row>
    <row r="2811" spans="1:23" x14ac:dyDescent="0.2">
      <c r="A2811"/>
      <c r="B2811"/>
      <c r="C2811"/>
      <c r="D2811"/>
      <c r="E2811"/>
      <c r="F2811"/>
      <c r="G2811"/>
      <c r="H2811"/>
      <c r="I2811"/>
      <c r="J2811"/>
      <c r="K2811" s="13" t="s">
        <v>224</v>
      </c>
      <c r="L2811" s="13" t="s">
        <v>440</v>
      </c>
      <c r="M2811" s="13" t="s">
        <v>441</v>
      </c>
      <c r="N2811" s="15">
        <v>2</v>
      </c>
      <c r="O2811" s="16">
        <v>0</v>
      </c>
      <c r="P2811" s="17">
        <v>0</v>
      </c>
      <c r="Q2811" s="17">
        <v>0</v>
      </c>
      <c r="R2811" s="13"/>
      <c r="S2811" s="13"/>
      <c r="T2811" s="13"/>
      <c r="U2811" s="13"/>
      <c r="V2811" s="13"/>
      <c r="W2811" s="13"/>
    </row>
    <row r="2812" spans="1:23" x14ac:dyDescent="0.2">
      <c r="A2812"/>
      <c r="B2812"/>
      <c r="C2812"/>
      <c r="D2812"/>
      <c r="E2812"/>
      <c r="F2812"/>
      <c r="G2812"/>
      <c r="H2812"/>
      <c r="I2812"/>
      <c r="J2812"/>
      <c r="K2812" s="13" t="s">
        <v>224</v>
      </c>
      <c r="L2812" s="13" t="s">
        <v>397</v>
      </c>
      <c r="M2812" s="13" t="s">
        <v>398</v>
      </c>
      <c r="N2812" s="15">
        <v>0</v>
      </c>
      <c r="O2812" s="16">
        <v>0</v>
      </c>
      <c r="P2812" s="17">
        <v>23.251049993021102</v>
      </c>
      <c r="Q2812" s="17">
        <v>0</v>
      </c>
      <c r="R2812" s="13"/>
      <c r="S2812" s="13"/>
      <c r="T2812" s="13"/>
      <c r="U2812" s="13"/>
      <c r="V2812" s="13"/>
      <c r="W2812" s="13"/>
    </row>
    <row r="2813" spans="1:23" x14ac:dyDescent="0.2">
      <c r="A2813"/>
      <c r="B2813"/>
      <c r="C2813"/>
      <c r="D2813"/>
      <c r="E2813"/>
      <c r="F2813"/>
      <c r="G2813"/>
      <c r="H2813"/>
      <c r="I2813"/>
      <c r="J2813"/>
      <c r="K2813" s="13" t="s">
        <v>224</v>
      </c>
      <c r="L2813" s="13" t="s">
        <v>401</v>
      </c>
      <c r="M2813" s="13" t="s">
        <v>360</v>
      </c>
      <c r="N2813" s="15">
        <v>0</v>
      </c>
      <c r="O2813" s="16">
        <v>0</v>
      </c>
      <c r="P2813" s="17">
        <v>76.248700012951048</v>
      </c>
      <c r="Q2813" s="17">
        <v>0</v>
      </c>
      <c r="R2813" s="13"/>
      <c r="S2813" s="13"/>
      <c r="T2813" s="13"/>
      <c r="U2813" s="13"/>
      <c r="V2813" s="13"/>
      <c r="W2813" s="13"/>
    </row>
    <row r="2814" spans="1:23" x14ac:dyDescent="0.2">
      <c r="A2814"/>
      <c r="B2814"/>
      <c r="C2814"/>
      <c r="D2814"/>
      <c r="E2814"/>
      <c r="F2814"/>
      <c r="G2814"/>
      <c r="H2814"/>
      <c r="I2814"/>
      <c r="J2814"/>
      <c r="K2814" s="13" t="s">
        <v>224</v>
      </c>
      <c r="L2814" s="13" t="s">
        <v>448</v>
      </c>
      <c r="M2814" s="13" t="s">
        <v>366</v>
      </c>
      <c r="N2814" s="15">
        <v>0</v>
      </c>
      <c r="O2814" s="16">
        <v>0</v>
      </c>
      <c r="P2814" s="17">
        <v>458.5487999781821</v>
      </c>
      <c r="Q2814" s="17">
        <v>0</v>
      </c>
      <c r="R2814" s="13"/>
      <c r="S2814" s="13"/>
      <c r="T2814" s="13"/>
      <c r="U2814" s="13"/>
      <c r="V2814" s="13"/>
      <c r="W2814" s="13"/>
    </row>
    <row r="2815" spans="1:23" x14ac:dyDescent="0.2">
      <c r="A2815"/>
      <c r="B2815"/>
      <c r="C2815"/>
      <c r="D2815"/>
      <c r="E2815"/>
      <c r="F2815"/>
      <c r="G2815"/>
      <c r="H2815"/>
      <c r="I2815"/>
      <c r="J2815"/>
      <c r="K2815" s="13" t="s">
        <v>224</v>
      </c>
      <c r="L2815" s="13" t="s">
        <v>381</v>
      </c>
      <c r="M2815" s="13" t="s">
        <v>382</v>
      </c>
      <c r="N2815" s="15">
        <v>7</v>
      </c>
      <c r="O2815" s="16">
        <v>0</v>
      </c>
      <c r="P2815" s="17">
        <v>0</v>
      </c>
      <c r="Q2815" s="17">
        <v>0</v>
      </c>
      <c r="R2815" s="13"/>
      <c r="S2815" s="13"/>
      <c r="T2815" s="13"/>
      <c r="U2815" s="13"/>
      <c r="V2815" s="13"/>
      <c r="W2815" s="13"/>
    </row>
    <row r="2816" spans="1:23" x14ac:dyDescent="0.2">
      <c r="A2816"/>
      <c r="B2816"/>
      <c r="C2816"/>
      <c r="D2816"/>
      <c r="E2816"/>
      <c r="F2816"/>
      <c r="G2816"/>
      <c r="H2816"/>
      <c r="I2816"/>
      <c r="J2816"/>
      <c r="K2816" s="13" t="s">
        <v>224</v>
      </c>
      <c r="L2816" s="13" t="s">
        <v>411</v>
      </c>
      <c r="M2816" s="13" t="s">
        <v>362</v>
      </c>
      <c r="N2816" s="15">
        <v>0</v>
      </c>
      <c r="O2816" s="16">
        <v>0</v>
      </c>
      <c r="P2816" s="17">
        <v>21.144950000779886</v>
      </c>
      <c r="Q2816" s="17">
        <v>0</v>
      </c>
      <c r="R2816" s="13"/>
      <c r="S2816" s="13"/>
      <c r="T2816" s="13"/>
      <c r="U2816" s="13"/>
      <c r="V2816" s="13"/>
      <c r="W2816" s="13"/>
    </row>
    <row r="2817" spans="1:23" x14ac:dyDescent="0.2">
      <c r="A2817"/>
      <c r="B2817"/>
      <c r="C2817"/>
      <c r="D2817"/>
      <c r="E2817"/>
      <c r="F2817"/>
      <c r="G2817"/>
      <c r="H2817"/>
      <c r="I2817"/>
      <c r="J2817"/>
      <c r="K2817" s="13" t="s">
        <v>224</v>
      </c>
      <c r="L2817" s="13" t="s">
        <v>411</v>
      </c>
      <c r="M2817" s="13" t="s">
        <v>362</v>
      </c>
      <c r="N2817" s="15">
        <v>0</v>
      </c>
      <c r="O2817" s="16">
        <v>33.634451821021521</v>
      </c>
      <c r="P2817" s="17">
        <v>0</v>
      </c>
      <c r="Q2817" s="17">
        <v>0</v>
      </c>
      <c r="R2817" s="13"/>
      <c r="S2817" s="13"/>
      <c r="T2817" s="13"/>
      <c r="U2817" s="13"/>
      <c r="V2817" s="13"/>
      <c r="W2817" s="13"/>
    </row>
    <row r="2818" spans="1:23" x14ac:dyDescent="0.2">
      <c r="A2818"/>
      <c r="B2818"/>
      <c r="C2818"/>
      <c r="D2818"/>
      <c r="E2818"/>
      <c r="F2818"/>
      <c r="G2818"/>
      <c r="H2818"/>
      <c r="I2818"/>
      <c r="J2818"/>
      <c r="K2818" s="13" t="s">
        <v>224</v>
      </c>
      <c r="L2818" s="13" t="s">
        <v>623</v>
      </c>
      <c r="M2818" s="13" t="s">
        <v>530</v>
      </c>
      <c r="N2818" s="15">
        <v>0</v>
      </c>
      <c r="O2818" s="16">
        <v>107.26972974059004</v>
      </c>
      <c r="P2818" s="17">
        <v>0</v>
      </c>
      <c r="Q2818" s="17">
        <v>0</v>
      </c>
      <c r="R2818" s="13"/>
      <c r="S2818" s="13"/>
      <c r="T2818" s="13"/>
      <c r="U2818" s="13"/>
      <c r="V2818" s="13"/>
      <c r="W2818" s="13"/>
    </row>
    <row r="2819" spans="1:23" x14ac:dyDescent="0.2">
      <c r="A2819"/>
      <c r="B2819"/>
      <c r="C2819"/>
      <c r="D2819"/>
      <c r="E2819"/>
      <c r="F2819"/>
      <c r="G2819"/>
      <c r="H2819"/>
      <c r="I2819"/>
      <c r="J2819"/>
      <c r="K2819" s="13" t="s">
        <v>224</v>
      </c>
      <c r="L2819" s="13" t="s">
        <v>615</v>
      </c>
      <c r="M2819" s="13" t="s">
        <v>449</v>
      </c>
      <c r="N2819" s="15">
        <v>1</v>
      </c>
      <c r="O2819" s="16">
        <v>0</v>
      </c>
      <c r="P2819" s="17">
        <v>0</v>
      </c>
      <c r="Q2819" s="17">
        <v>0</v>
      </c>
      <c r="R2819" s="13"/>
      <c r="S2819" s="13"/>
      <c r="T2819" s="13"/>
      <c r="U2819" s="13"/>
      <c r="V2819" s="13"/>
      <c r="W2819" s="13"/>
    </row>
    <row r="2820" spans="1:23" x14ac:dyDescent="0.2">
      <c r="A2820"/>
      <c r="B2820"/>
      <c r="C2820"/>
      <c r="D2820"/>
      <c r="E2820"/>
      <c r="F2820"/>
      <c r="G2820"/>
      <c r="H2820"/>
      <c r="I2820"/>
      <c r="J2820"/>
      <c r="K2820" s="13" t="s">
        <v>224</v>
      </c>
      <c r="L2820" s="13" t="s">
        <v>609</v>
      </c>
      <c r="M2820" s="13" t="s">
        <v>416</v>
      </c>
      <c r="N2820" s="15">
        <v>0</v>
      </c>
      <c r="O2820" s="16">
        <v>15.476553232386971</v>
      </c>
      <c r="P2820" s="17">
        <v>0</v>
      </c>
      <c r="Q2820" s="17">
        <v>0</v>
      </c>
      <c r="R2820" s="13"/>
      <c r="S2820" s="13"/>
      <c r="T2820" s="13"/>
      <c r="U2820" s="13"/>
      <c r="V2820" s="13"/>
      <c r="W2820" s="13"/>
    </row>
    <row r="2821" spans="1:23" x14ac:dyDescent="0.2">
      <c r="A2821"/>
      <c r="B2821"/>
      <c r="C2821"/>
      <c r="D2821"/>
      <c r="E2821"/>
      <c r="F2821"/>
      <c r="G2821"/>
      <c r="H2821"/>
      <c r="I2821"/>
      <c r="J2821"/>
      <c r="K2821" s="13" t="s">
        <v>224</v>
      </c>
      <c r="L2821" s="13" t="s">
        <v>383</v>
      </c>
      <c r="M2821" s="13" t="s">
        <v>420</v>
      </c>
      <c r="N2821" s="15">
        <v>5</v>
      </c>
      <c r="O2821" s="16">
        <v>0</v>
      </c>
      <c r="P2821" s="17">
        <v>0</v>
      </c>
      <c r="Q2821" s="17">
        <v>0</v>
      </c>
      <c r="R2821" s="13"/>
      <c r="S2821" s="13"/>
      <c r="T2821" s="13"/>
      <c r="U2821" s="13"/>
      <c r="V2821" s="13"/>
      <c r="W2821" s="13"/>
    </row>
    <row r="2822" spans="1:23" x14ac:dyDescent="0.2">
      <c r="A2822"/>
      <c r="B2822"/>
      <c r="C2822"/>
      <c r="D2822"/>
      <c r="E2822"/>
      <c r="F2822"/>
      <c r="G2822"/>
      <c r="H2822"/>
      <c r="I2822"/>
      <c r="J2822"/>
      <c r="K2822" s="13" t="s">
        <v>224</v>
      </c>
      <c r="L2822" s="13" t="s">
        <v>528</v>
      </c>
      <c r="M2822" s="13" t="s">
        <v>384</v>
      </c>
      <c r="N2822" s="15">
        <v>0</v>
      </c>
      <c r="O2822" s="16">
        <v>37.66966076293928</v>
      </c>
      <c r="P2822" s="17">
        <v>0</v>
      </c>
      <c r="Q2822" s="17">
        <v>0</v>
      </c>
      <c r="R2822" s="13"/>
      <c r="S2822" s="13"/>
      <c r="T2822" s="13"/>
      <c r="U2822" s="13"/>
      <c r="V2822" s="13"/>
      <c r="W2822" s="13"/>
    </row>
    <row r="2823" spans="1:23" x14ac:dyDescent="0.2">
      <c r="A2823"/>
      <c r="B2823"/>
      <c r="C2823"/>
      <c r="D2823"/>
      <c r="E2823"/>
      <c r="F2823"/>
      <c r="G2823"/>
      <c r="H2823"/>
      <c r="I2823"/>
      <c r="J2823"/>
      <c r="K2823" s="13" t="s">
        <v>224</v>
      </c>
      <c r="L2823" s="13" t="s">
        <v>613</v>
      </c>
      <c r="M2823" s="13" t="s">
        <v>444</v>
      </c>
      <c r="N2823" s="15">
        <v>0</v>
      </c>
      <c r="O2823" s="16">
        <v>114.75078877423995</v>
      </c>
      <c r="P2823" s="17">
        <v>0</v>
      </c>
      <c r="Q2823" s="17">
        <v>0</v>
      </c>
      <c r="R2823" s="13"/>
      <c r="S2823" s="13"/>
      <c r="T2823" s="13"/>
      <c r="U2823" s="13"/>
      <c r="V2823" s="13"/>
      <c r="W2823" s="13"/>
    </row>
    <row r="2824" spans="1:23" x14ac:dyDescent="0.2">
      <c r="A2824"/>
      <c r="B2824"/>
      <c r="C2824"/>
      <c r="D2824"/>
      <c r="E2824"/>
      <c r="F2824"/>
      <c r="G2824"/>
      <c r="H2824"/>
      <c r="I2824"/>
      <c r="J2824"/>
      <c r="K2824" s="13" t="s">
        <v>224</v>
      </c>
      <c r="L2824" s="13" t="s">
        <v>446</v>
      </c>
      <c r="M2824" s="13" t="s">
        <v>371</v>
      </c>
      <c r="N2824" s="15">
        <v>1</v>
      </c>
      <c r="O2824" s="16">
        <v>0</v>
      </c>
      <c r="P2824" s="17">
        <v>0</v>
      </c>
      <c r="Q2824" s="17">
        <v>0</v>
      </c>
      <c r="R2824" s="13"/>
      <c r="S2824" s="13"/>
      <c r="T2824" s="13"/>
      <c r="U2824" s="13"/>
      <c r="V2824" s="13"/>
      <c r="W2824" s="13"/>
    </row>
    <row r="2825" spans="1:23" x14ac:dyDescent="0.2">
      <c r="A2825"/>
      <c r="B2825"/>
      <c r="C2825"/>
      <c r="D2825"/>
      <c r="E2825"/>
      <c r="F2825"/>
      <c r="G2825"/>
      <c r="H2825"/>
      <c r="I2825"/>
      <c r="J2825"/>
      <c r="K2825" s="13" t="s">
        <v>224</v>
      </c>
      <c r="L2825" s="13" t="s">
        <v>614</v>
      </c>
      <c r="M2825" s="13" t="s">
        <v>447</v>
      </c>
      <c r="N2825" s="15">
        <v>7</v>
      </c>
      <c r="O2825" s="16">
        <v>0</v>
      </c>
      <c r="P2825" s="17">
        <v>0</v>
      </c>
      <c r="Q2825" s="17">
        <v>0</v>
      </c>
      <c r="R2825" s="13"/>
      <c r="S2825" s="13"/>
      <c r="T2825" s="13"/>
      <c r="U2825" s="13"/>
      <c r="V2825" s="13"/>
      <c r="W2825" s="13"/>
    </row>
    <row r="2826" spans="1:23" x14ac:dyDescent="0.2">
      <c r="A2826"/>
      <c r="B2826"/>
      <c r="C2826"/>
      <c r="D2826"/>
      <c r="E2826"/>
      <c r="F2826"/>
      <c r="G2826"/>
      <c r="H2826"/>
      <c r="I2826"/>
      <c r="J2826"/>
      <c r="K2826" s="13" t="s">
        <v>224</v>
      </c>
      <c r="L2826" s="13" t="s">
        <v>469</v>
      </c>
      <c r="M2826" s="13" t="s">
        <v>426</v>
      </c>
      <c r="N2826" s="15">
        <v>2</v>
      </c>
      <c r="O2826" s="16">
        <v>0</v>
      </c>
      <c r="P2826" s="17">
        <v>0</v>
      </c>
      <c r="Q2826" s="17">
        <v>0</v>
      </c>
      <c r="R2826" s="13"/>
      <c r="S2826" s="13"/>
      <c r="T2826" s="13"/>
      <c r="U2826" s="13"/>
      <c r="V2826" s="13"/>
      <c r="W2826" s="13"/>
    </row>
    <row r="2827" spans="1:23" x14ac:dyDescent="0.2">
      <c r="A2827"/>
      <c r="B2827"/>
      <c r="C2827"/>
      <c r="D2827"/>
      <c r="E2827"/>
      <c r="F2827"/>
      <c r="G2827"/>
      <c r="H2827"/>
      <c r="I2827"/>
      <c r="J2827"/>
      <c r="K2827" s="13" t="s">
        <v>226</v>
      </c>
      <c r="L2827" s="13" t="s">
        <v>435</v>
      </c>
      <c r="M2827" s="13" t="s">
        <v>364</v>
      </c>
      <c r="N2827" s="15">
        <v>1</v>
      </c>
      <c r="O2827" s="16">
        <v>0</v>
      </c>
      <c r="P2827" s="17">
        <v>0</v>
      </c>
      <c r="Q2827" s="17">
        <v>0</v>
      </c>
      <c r="R2827" s="13"/>
      <c r="S2827" s="13"/>
      <c r="T2827" s="13"/>
      <c r="U2827" s="13"/>
      <c r="V2827" s="13"/>
      <c r="W2827" s="13"/>
    </row>
    <row r="2828" spans="1:23" x14ac:dyDescent="0.2">
      <c r="A2828"/>
      <c r="B2828"/>
      <c r="C2828"/>
      <c r="D2828"/>
      <c r="E2828"/>
      <c r="F2828"/>
      <c r="G2828"/>
      <c r="H2828"/>
      <c r="I2828"/>
      <c r="J2828"/>
      <c r="K2828" s="13" t="s">
        <v>226</v>
      </c>
      <c r="L2828" s="13" t="s">
        <v>389</v>
      </c>
      <c r="M2828" s="13" t="s">
        <v>388</v>
      </c>
      <c r="N2828" s="15">
        <v>0</v>
      </c>
      <c r="O2828" s="16">
        <v>0</v>
      </c>
      <c r="P2828" s="17">
        <v>206.45935000908386</v>
      </c>
      <c r="Q2828" s="17">
        <v>0</v>
      </c>
      <c r="R2828" s="13"/>
      <c r="S2828" s="13"/>
      <c r="T2828" s="13"/>
      <c r="U2828" s="13"/>
      <c r="V2828" s="13"/>
      <c r="W2828" s="13"/>
    </row>
    <row r="2829" spans="1:23" x14ac:dyDescent="0.2">
      <c r="A2829"/>
      <c r="B2829"/>
      <c r="C2829"/>
      <c r="D2829"/>
      <c r="E2829"/>
      <c r="F2829"/>
      <c r="G2829"/>
      <c r="H2829"/>
      <c r="I2829"/>
      <c r="J2829"/>
      <c r="K2829" s="13" t="s">
        <v>226</v>
      </c>
      <c r="L2829" s="13" t="s">
        <v>391</v>
      </c>
      <c r="M2829" s="13" t="s">
        <v>358</v>
      </c>
      <c r="N2829" s="15">
        <v>0</v>
      </c>
      <c r="O2829" s="16">
        <v>0</v>
      </c>
      <c r="P2829" s="17">
        <v>1148.5283499725838</v>
      </c>
      <c r="Q2829" s="17">
        <v>0</v>
      </c>
      <c r="R2829" s="13"/>
      <c r="S2829" s="13"/>
      <c r="T2829" s="13"/>
      <c r="U2829" s="13"/>
      <c r="V2829" s="13"/>
      <c r="W2829" s="13"/>
    </row>
    <row r="2830" spans="1:23" x14ac:dyDescent="0.2">
      <c r="A2830"/>
      <c r="B2830"/>
      <c r="C2830"/>
      <c r="D2830"/>
      <c r="E2830"/>
      <c r="F2830"/>
      <c r="G2830"/>
      <c r="H2830"/>
      <c r="I2830"/>
      <c r="J2830"/>
      <c r="K2830" s="13" t="s">
        <v>226</v>
      </c>
      <c r="L2830" s="13" t="s">
        <v>486</v>
      </c>
      <c r="M2830" s="13" t="s">
        <v>439</v>
      </c>
      <c r="N2830" s="15">
        <v>0</v>
      </c>
      <c r="O2830" s="16">
        <v>0</v>
      </c>
      <c r="P2830" s="17">
        <v>685.26292385763281</v>
      </c>
      <c r="Q2830" s="17">
        <v>0</v>
      </c>
      <c r="R2830" s="13"/>
      <c r="S2830" s="13"/>
      <c r="T2830" s="13"/>
      <c r="U2830" s="13"/>
      <c r="V2830" s="13"/>
      <c r="W2830" s="13"/>
    </row>
    <row r="2831" spans="1:23" x14ac:dyDescent="0.2">
      <c r="A2831"/>
      <c r="B2831"/>
      <c r="C2831"/>
      <c r="D2831"/>
      <c r="E2831"/>
      <c r="F2831"/>
      <c r="G2831"/>
      <c r="H2831"/>
      <c r="I2831"/>
      <c r="J2831"/>
      <c r="K2831" s="13" t="s">
        <v>226</v>
      </c>
      <c r="L2831" s="13" t="s">
        <v>394</v>
      </c>
      <c r="M2831" s="13" t="s">
        <v>359</v>
      </c>
      <c r="N2831" s="15">
        <v>0</v>
      </c>
      <c r="O2831" s="16">
        <v>0</v>
      </c>
      <c r="P2831" s="17">
        <v>5.37349999682547</v>
      </c>
      <c r="Q2831" s="17">
        <v>0</v>
      </c>
      <c r="R2831" s="13"/>
      <c r="S2831" s="13"/>
      <c r="T2831" s="13"/>
      <c r="U2831" s="13"/>
      <c r="V2831" s="13"/>
      <c r="W2831" s="13"/>
    </row>
    <row r="2832" spans="1:23" x14ac:dyDescent="0.2">
      <c r="A2832"/>
      <c r="B2832"/>
      <c r="C2832"/>
      <c r="D2832"/>
      <c r="E2832"/>
      <c r="F2832"/>
      <c r="G2832"/>
      <c r="H2832"/>
      <c r="I2832"/>
      <c r="J2832"/>
      <c r="K2832" s="13" t="s">
        <v>226</v>
      </c>
      <c r="L2832" s="13" t="s">
        <v>401</v>
      </c>
      <c r="M2832" s="13" t="s">
        <v>360</v>
      </c>
      <c r="N2832" s="15">
        <v>0</v>
      </c>
      <c r="O2832" s="16">
        <v>0</v>
      </c>
      <c r="P2832" s="17">
        <v>572.30449998419533</v>
      </c>
      <c r="Q2832" s="17">
        <v>0</v>
      </c>
      <c r="R2832" s="13"/>
      <c r="S2832" s="13"/>
      <c r="T2832" s="13"/>
      <c r="U2832" s="13"/>
      <c r="V2832" s="13"/>
      <c r="W2832" s="13"/>
    </row>
    <row r="2833" spans="1:23" x14ac:dyDescent="0.2">
      <c r="A2833"/>
      <c r="B2833"/>
      <c r="C2833"/>
      <c r="D2833"/>
      <c r="E2833"/>
      <c r="F2833"/>
      <c r="G2833"/>
      <c r="H2833"/>
      <c r="I2833"/>
      <c r="J2833"/>
      <c r="K2833" s="13" t="s">
        <v>226</v>
      </c>
      <c r="L2833" s="13" t="s">
        <v>402</v>
      </c>
      <c r="M2833" s="13" t="s">
        <v>403</v>
      </c>
      <c r="N2833" s="15">
        <v>0</v>
      </c>
      <c r="O2833" s="16">
        <v>0</v>
      </c>
      <c r="P2833" s="17">
        <v>3568.2702089342524</v>
      </c>
      <c r="Q2833" s="17">
        <v>0</v>
      </c>
      <c r="R2833" s="13"/>
      <c r="S2833" s="13"/>
      <c r="T2833" s="13"/>
      <c r="U2833" s="13"/>
      <c r="V2833" s="13"/>
      <c r="W2833" s="13"/>
    </row>
    <row r="2834" spans="1:23" x14ac:dyDescent="0.2">
      <c r="A2834"/>
      <c r="B2834"/>
      <c r="C2834"/>
      <c r="D2834"/>
      <c r="E2834"/>
      <c r="F2834"/>
      <c r="G2834"/>
      <c r="H2834"/>
      <c r="I2834"/>
      <c r="J2834"/>
      <c r="K2834" s="13" t="s">
        <v>226</v>
      </c>
      <c r="L2834" s="13" t="s">
        <v>448</v>
      </c>
      <c r="M2834" s="13" t="s">
        <v>366</v>
      </c>
      <c r="N2834" s="15">
        <v>0</v>
      </c>
      <c r="O2834" s="16">
        <v>0</v>
      </c>
      <c r="P2834" s="17">
        <v>158.08230000250899</v>
      </c>
      <c r="Q2834" s="17">
        <v>0</v>
      </c>
      <c r="R2834" s="13"/>
      <c r="S2834" s="13"/>
      <c r="T2834" s="13"/>
      <c r="U2834" s="13"/>
      <c r="V2834" s="13"/>
      <c r="W2834" s="13"/>
    </row>
    <row r="2835" spans="1:23" x14ac:dyDescent="0.2">
      <c r="A2835"/>
      <c r="B2835"/>
      <c r="C2835"/>
      <c r="D2835"/>
      <c r="E2835"/>
      <c r="F2835"/>
      <c r="G2835"/>
      <c r="H2835"/>
      <c r="I2835"/>
      <c r="J2835"/>
      <c r="K2835" s="13" t="s">
        <v>226</v>
      </c>
      <c r="L2835" s="13" t="s">
        <v>456</v>
      </c>
      <c r="M2835" s="13" t="s">
        <v>457</v>
      </c>
      <c r="N2835" s="15">
        <v>0</v>
      </c>
      <c r="O2835" s="16">
        <v>0</v>
      </c>
      <c r="P2835" s="17">
        <v>960.75198970350039</v>
      </c>
      <c r="Q2835" s="17">
        <v>0</v>
      </c>
      <c r="R2835" s="13"/>
      <c r="S2835" s="13"/>
      <c r="T2835" s="13"/>
      <c r="U2835" s="13"/>
      <c r="V2835" s="13"/>
      <c r="W2835" s="13"/>
    </row>
    <row r="2836" spans="1:23" x14ac:dyDescent="0.2">
      <c r="A2836"/>
      <c r="B2836"/>
      <c r="C2836"/>
      <c r="D2836"/>
      <c r="E2836"/>
      <c r="F2836"/>
      <c r="G2836"/>
      <c r="H2836"/>
      <c r="I2836"/>
      <c r="J2836"/>
      <c r="K2836" s="13" t="s">
        <v>226</v>
      </c>
      <c r="L2836" s="13" t="s">
        <v>381</v>
      </c>
      <c r="M2836" s="13" t="s">
        <v>382</v>
      </c>
      <c r="N2836" s="15">
        <v>15</v>
      </c>
      <c r="O2836" s="16">
        <v>0</v>
      </c>
      <c r="P2836" s="17">
        <v>0</v>
      </c>
      <c r="Q2836" s="17">
        <v>0</v>
      </c>
      <c r="R2836" s="13"/>
      <c r="S2836" s="13"/>
      <c r="T2836" s="13"/>
      <c r="U2836" s="13"/>
      <c r="V2836" s="13"/>
      <c r="W2836" s="13"/>
    </row>
    <row r="2837" spans="1:23" x14ac:dyDescent="0.2">
      <c r="A2837"/>
      <c r="B2837"/>
      <c r="C2837"/>
      <c r="D2837"/>
      <c r="E2837"/>
      <c r="F2837"/>
      <c r="G2837"/>
      <c r="H2837"/>
      <c r="I2837"/>
      <c r="J2837"/>
      <c r="K2837" s="13" t="s">
        <v>226</v>
      </c>
      <c r="L2837" s="13" t="s">
        <v>411</v>
      </c>
      <c r="M2837" s="13" t="s">
        <v>362</v>
      </c>
      <c r="N2837" s="15">
        <v>0</v>
      </c>
      <c r="O2837" s="16">
        <v>28.434448997250492</v>
      </c>
      <c r="P2837" s="17">
        <v>0</v>
      </c>
      <c r="Q2837" s="17">
        <v>0</v>
      </c>
      <c r="R2837" s="13"/>
      <c r="S2837" s="13"/>
      <c r="T2837" s="13"/>
      <c r="U2837" s="13"/>
      <c r="V2837" s="13"/>
      <c r="W2837" s="13"/>
    </row>
    <row r="2838" spans="1:23" x14ac:dyDescent="0.2">
      <c r="A2838"/>
      <c r="B2838"/>
      <c r="C2838"/>
      <c r="D2838"/>
      <c r="E2838"/>
      <c r="F2838"/>
      <c r="G2838"/>
      <c r="H2838"/>
      <c r="I2838"/>
      <c r="J2838"/>
      <c r="K2838" s="13" t="s">
        <v>226</v>
      </c>
      <c r="L2838" s="13" t="s">
        <v>606</v>
      </c>
      <c r="M2838" s="13" t="s">
        <v>430</v>
      </c>
      <c r="N2838" s="15">
        <v>7</v>
      </c>
      <c r="O2838" s="16">
        <v>0</v>
      </c>
      <c r="P2838" s="17">
        <v>0</v>
      </c>
      <c r="Q2838" s="17">
        <v>0</v>
      </c>
      <c r="R2838" s="13"/>
      <c r="S2838" s="13"/>
      <c r="T2838" s="13"/>
      <c r="U2838" s="13"/>
      <c r="V2838" s="13"/>
      <c r="W2838" s="13"/>
    </row>
    <row r="2839" spans="1:23" x14ac:dyDescent="0.2">
      <c r="A2839"/>
      <c r="B2839"/>
      <c r="C2839"/>
      <c r="D2839"/>
      <c r="E2839"/>
      <c r="F2839"/>
      <c r="G2839"/>
      <c r="H2839"/>
      <c r="I2839"/>
      <c r="J2839"/>
      <c r="K2839" s="13" t="s">
        <v>226</v>
      </c>
      <c r="L2839" s="13" t="s">
        <v>623</v>
      </c>
      <c r="M2839" s="13" t="s">
        <v>530</v>
      </c>
      <c r="N2839" s="15">
        <v>0</v>
      </c>
      <c r="O2839" s="16">
        <v>40.649582469568728</v>
      </c>
      <c r="P2839" s="17">
        <v>0</v>
      </c>
      <c r="Q2839" s="17">
        <v>0</v>
      </c>
      <c r="R2839" s="13"/>
      <c r="S2839" s="13"/>
      <c r="T2839" s="13"/>
      <c r="U2839" s="13"/>
      <c r="V2839" s="13"/>
      <c r="W2839" s="13"/>
    </row>
    <row r="2840" spans="1:23" x14ac:dyDescent="0.2">
      <c r="A2840"/>
      <c r="B2840"/>
      <c r="C2840"/>
      <c r="D2840"/>
      <c r="E2840"/>
      <c r="F2840"/>
      <c r="G2840"/>
      <c r="H2840"/>
      <c r="I2840"/>
      <c r="J2840"/>
      <c r="K2840" s="13" t="s">
        <v>226</v>
      </c>
      <c r="L2840" s="13" t="s">
        <v>467</v>
      </c>
      <c r="M2840" s="13" t="s">
        <v>422</v>
      </c>
      <c r="N2840" s="15">
        <v>0</v>
      </c>
      <c r="O2840" s="16">
        <v>180.12263613474482</v>
      </c>
      <c r="P2840" s="17">
        <v>0</v>
      </c>
      <c r="Q2840" s="17">
        <v>0</v>
      </c>
      <c r="R2840" s="13"/>
      <c r="S2840" s="13"/>
      <c r="T2840" s="13"/>
      <c r="U2840" s="13"/>
      <c r="V2840" s="13"/>
      <c r="W2840" s="13"/>
    </row>
    <row r="2841" spans="1:23" x14ac:dyDescent="0.2">
      <c r="A2841"/>
      <c r="B2841"/>
      <c r="C2841"/>
      <c r="D2841"/>
      <c r="E2841"/>
      <c r="F2841"/>
      <c r="G2841"/>
      <c r="H2841"/>
      <c r="I2841"/>
      <c r="J2841"/>
      <c r="K2841" s="13" t="s">
        <v>226</v>
      </c>
      <c r="L2841" s="13" t="s">
        <v>528</v>
      </c>
      <c r="M2841" s="13" t="s">
        <v>384</v>
      </c>
      <c r="N2841" s="15">
        <v>0</v>
      </c>
      <c r="O2841" s="16">
        <v>41.370832036391818</v>
      </c>
      <c r="P2841" s="17">
        <v>0</v>
      </c>
      <c r="Q2841" s="17">
        <v>0</v>
      </c>
      <c r="R2841" s="13"/>
      <c r="S2841" s="13"/>
      <c r="T2841" s="13"/>
      <c r="U2841" s="13"/>
      <c r="V2841" s="13"/>
      <c r="W2841" s="13"/>
    </row>
    <row r="2842" spans="1:23" x14ac:dyDescent="0.2">
      <c r="A2842"/>
      <c r="B2842"/>
      <c r="C2842"/>
      <c r="D2842"/>
      <c r="E2842"/>
      <c r="F2842"/>
      <c r="G2842"/>
      <c r="H2842"/>
      <c r="I2842"/>
      <c r="J2842"/>
      <c r="K2842" s="13" t="s">
        <v>226</v>
      </c>
      <c r="L2842" s="13" t="s">
        <v>613</v>
      </c>
      <c r="M2842" s="13" t="s">
        <v>444</v>
      </c>
      <c r="N2842" s="15">
        <v>0</v>
      </c>
      <c r="O2842" s="16">
        <v>295.04946362574975</v>
      </c>
      <c r="P2842" s="17">
        <v>0</v>
      </c>
      <c r="Q2842" s="17">
        <v>0</v>
      </c>
      <c r="R2842" s="13"/>
      <c r="S2842" s="13"/>
      <c r="T2842" s="13"/>
      <c r="U2842" s="13"/>
      <c r="V2842" s="13"/>
      <c r="W2842" s="13"/>
    </row>
    <row r="2843" spans="1:23" x14ac:dyDescent="0.2">
      <c r="A2843"/>
      <c r="B2843"/>
      <c r="C2843"/>
      <c r="D2843"/>
      <c r="E2843"/>
      <c r="F2843"/>
      <c r="G2843"/>
      <c r="H2843"/>
      <c r="I2843"/>
      <c r="J2843"/>
      <c r="K2843" s="13" t="s">
        <v>226</v>
      </c>
      <c r="L2843" s="13" t="s">
        <v>614</v>
      </c>
      <c r="M2843" s="13" t="s">
        <v>447</v>
      </c>
      <c r="N2843" s="15">
        <v>2</v>
      </c>
      <c r="O2843" s="16">
        <v>0</v>
      </c>
      <c r="P2843" s="17">
        <v>0</v>
      </c>
      <c r="Q2843" s="17">
        <v>0</v>
      </c>
      <c r="R2843" s="13"/>
      <c r="S2843" s="13"/>
      <c r="T2843" s="13"/>
      <c r="U2843" s="13"/>
      <c r="V2843" s="13"/>
      <c r="W2843" s="13"/>
    </row>
    <row r="2844" spans="1:23" x14ac:dyDescent="0.2">
      <c r="A2844"/>
      <c r="B2844"/>
      <c r="C2844"/>
      <c r="D2844"/>
      <c r="E2844"/>
      <c r="F2844"/>
      <c r="G2844"/>
      <c r="H2844"/>
      <c r="I2844"/>
      <c r="J2844"/>
      <c r="K2844" s="13" t="s">
        <v>228</v>
      </c>
      <c r="L2844" s="13" t="s">
        <v>389</v>
      </c>
      <c r="M2844" s="13" t="s">
        <v>388</v>
      </c>
      <c r="N2844" s="15">
        <v>0</v>
      </c>
      <c r="O2844" s="16">
        <v>0</v>
      </c>
      <c r="P2844" s="17">
        <v>948.79279999050482</v>
      </c>
      <c r="Q2844" s="17">
        <v>0</v>
      </c>
      <c r="R2844" s="13"/>
      <c r="S2844" s="13"/>
      <c r="T2844" s="13"/>
      <c r="U2844" s="13"/>
      <c r="V2844" s="13"/>
      <c r="W2844" s="13"/>
    </row>
    <row r="2845" spans="1:23" x14ac:dyDescent="0.2">
      <c r="A2845"/>
      <c r="B2845"/>
      <c r="C2845"/>
      <c r="D2845"/>
      <c r="E2845"/>
      <c r="F2845"/>
      <c r="G2845"/>
      <c r="H2845"/>
      <c r="I2845"/>
      <c r="J2845"/>
      <c r="K2845" s="13" t="s">
        <v>228</v>
      </c>
      <c r="L2845" s="13" t="s">
        <v>392</v>
      </c>
      <c r="M2845" s="13" t="s">
        <v>437</v>
      </c>
      <c r="N2845" s="15">
        <v>0</v>
      </c>
      <c r="O2845" s="16">
        <v>0</v>
      </c>
      <c r="P2845" s="17">
        <v>63.144049996487148</v>
      </c>
      <c r="Q2845" s="17">
        <v>0</v>
      </c>
      <c r="R2845" s="13"/>
      <c r="S2845" s="13"/>
      <c r="T2845" s="13"/>
      <c r="U2845" s="13"/>
      <c r="V2845" s="13"/>
      <c r="W2845" s="13"/>
    </row>
    <row r="2846" spans="1:23" x14ac:dyDescent="0.2">
      <c r="A2846"/>
      <c r="B2846"/>
      <c r="C2846"/>
      <c r="D2846"/>
      <c r="E2846"/>
      <c r="F2846"/>
      <c r="G2846"/>
      <c r="H2846"/>
      <c r="I2846"/>
      <c r="J2846"/>
      <c r="K2846" s="13" t="s">
        <v>228</v>
      </c>
      <c r="L2846" s="13" t="s">
        <v>512</v>
      </c>
      <c r="M2846" s="13" t="s">
        <v>466</v>
      </c>
      <c r="N2846" s="15">
        <v>0</v>
      </c>
      <c r="O2846" s="16">
        <v>0</v>
      </c>
      <c r="P2846" s="17">
        <v>139.50260000255611</v>
      </c>
      <c r="Q2846" s="17">
        <v>0</v>
      </c>
      <c r="R2846" s="13"/>
      <c r="S2846" s="13"/>
      <c r="T2846" s="13"/>
      <c r="U2846" s="13"/>
      <c r="V2846" s="13"/>
      <c r="W2846" s="13"/>
    </row>
    <row r="2847" spans="1:23" x14ac:dyDescent="0.2">
      <c r="A2847"/>
      <c r="B2847"/>
      <c r="C2847"/>
      <c r="D2847"/>
      <c r="E2847"/>
      <c r="F2847"/>
      <c r="G2847"/>
      <c r="H2847"/>
      <c r="I2847"/>
      <c r="J2847"/>
      <c r="K2847" s="13" t="s">
        <v>228</v>
      </c>
      <c r="L2847" s="13" t="s">
        <v>532</v>
      </c>
      <c r="M2847" s="13" t="s">
        <v>620</v>
      </c>
      <c r="N2847" s="15">
        <v>0</v>
      </c>
      <c r="O2847" s="16">
        <v>0</v>
      </c>
      <c r="P2847" s="17">
        <v>18.247900000310409</v>
      </c>
      <c r="Q2847" s="17">
        <v>0</v>
      </c>
      <c r="R2847" s="13"/>
      <c r="S2847" s="13"/>
      <c r="T2847" s="13"/>
      <c r="U2847" s="13"/>
      <c r="V2847" s="13"/>
      <c r="W2847" s="13"/>
    </row>
    <row r="2848" spans="1:23" x14ac:dyDescent="0.2">
      <c r="A2848"/>
      <c r="B2848"/>
      <c r="C2848"/>
      <c r="D2848"/>
      <c r="E2848"/>
      <c r="F2848"/>
      <c r="G2848"/>
      <c r="H2848"/>
      <c r="I2848"/>
      <c r="J2848"/>
      <c r="K2848" s="13" t="s">
        <v>228</v>
      </c>
      <c r="L2848" s="13" t="s">
        <v>397</v>
      </c>
      <c r="M2848" s="13" t="s">
        <v>398</v>
      </c>
      <c r="N2848" s="15">
        <v>0</v>
      </c>
      <c r="O2848" s="16">
        <v>0</v>
      </c>
      <c r="P2848" s="17">
        <v>13.168549998372143</v>
      </c>
      <c r="Q2848" s="17">
        <v>0</v>
      </c>
      <c r="R2848" s="13"/>
      <c r="S2848" s="13"/>
      <c r="T2848" s="13"/>
      <c r="U2848" s="13"/>
      <c r="V2848" s="13"/>
      <c r="W2848" s="13"/>
    </row>
    <row r="2849" spans="1:23" x14ac:dyDescent="0.2">
      <c r="A2849"/>
      <c r="B2849"/>
      <c r="C2849"/>
      <c r="D2849"/>
      <c r="E2849"/>
      <c r="F2849"/>
      <c r="G2849"/>
      <c r="H2849"/>
      <c r="I2849"/>
      <c r="J2849"/>
      <c r="K2849" s="13" t="s">
        <v>228</v>
      </c>
      <c r="L2849" s="13" t="s">
        <v>399</v>
      </c>
      <c r="M2849" s="13" t="s">
        <v>400</v>
      </c>
      <c r="N2849" s="15">
        <v>0</v>
      </c>
      <c r="O2849" s="16">
        <v>0</v>
      </c>
      <c r="P2849" s="17">
        <v>41.271749997932233</v>
      </c>
      <c r="Q2849" s="17">
        <v>0</v>
      </c>
      <c r="R2849" s="13"/>
      <c r="S2849" s="13"/>
      <c r="T2849" s="13"/>
      <c r="U2849" s="13"/>
      <c r="V2849" s="13"/>
      <c r="W2849" s="13"/>
    </row>
    <row r="2850" spans="1:23" x14ac:dyDescent="0.2">
      <c r="A2850"/>
      <c r="B2850"/>
      <c r="C2850"/>
      <c r="D2850"/>
      <c r="E2850"/>
      <c r="F2850"/>
      <c r="G2850"/>
      <c r="H2850"/>
      <c r="I2850"/>
      <c r="J2850"/>
      <c r="K2850" s="13" t="s">
        <v>228</v>
      </c>
      <c r="L2850" s="13" t="s">
        <v>401</v>
      </c>
      <c r="M2850" s="13" t="s">
        <v>360</v>
      </c>
      <c r="N2850" s="15">
        <v>0</v>
      </c>
      <c r="O2850" s="16">
        <v>0</v>
      </c>
      <c r="P2850" s="17">
        <v>283.59505004737628</v>
      </c>
      <c r="Q2850" s="17">
        <v>0</v>
      </c>
      <c r="R2850" s="13"/>
      <c r="S2850" s="13"/>
      <c r="T2850" s="13"/>
      <c r="U2850" s="13"/>
      <c r="V2850" s="13"/>
      <c r="W2850" s="13"/>
    </row>
    <row r="2851" spans="1:23" x14ac:dyDescent="0.2">
      <c r="A2851"/>
      <c r="B2851"/>
      <c r="C2851"/>
      <c r="D2851"/>
      <c r="E2851"/>
      <c r="F2851"/>
      <c r="G2851"/>
      <c r="H2851"/>
      <c r="I2851"/>
      <c r="J2851"/>
      <c r="K2851" s="13" t="s">
        <v>228</v>
      </c>
      <c r="L2851" s="13" t="s">
        <v>511</v>
      </c>
      <c r="M2851" s="13" t="s">
        <v>377</v>
      </c>
      <c r="N2851" s="15">
        <v>0</v>
      </c>
      <c r="O2851" s="16">
        <v>0</v>
      </c>
      <c r="P2851" s="17">
        <v>7.0943999932654194</v>
      </c>
      <c r="Q2851" s="17">
        <v>0</v>
      </c>
      <c r="R2851" s="13"/>
      <c r="S2851" s="13"/>
      <c r="T2851" s="13"/>
      <c r="U2851" s="13"/>
      <c r="V2851" s="13"/>
      <c r="W2851" s="13"/>
    </row>
    <row r="2852" spans="1:23" x14ac:dyDescent="0.2">
      <c r="A2852"/>
      <c r="B2852"/>
      <c r="C2852"/>
      <c r="D2852"/>
      <c r="E2852"/>
      <c r="F2852"/>
      <c r="G2852"/>
      <c r="H2852"/>
      <c r="I2852"/>
      <c r="J2852"/>
      <c r="K2852" s="13" t="s">
        <v>228</v>
      </c>
      <c r="L2852" s="13" t="s">
        <v>402</v>
      </c>
      <c r="M2852" s="13" t="s">
        <v>403</v>
      </c>
      <c r="N2852" s="15">
        <v>0</v>
      </c>
      <c r="O2852" s="16">
        <v>0</v>
      </c>
      <c r="P2852" s="17">
        <v>3152.2577505308095</v>
      </c>
      <c r="Q2852" s="17">
        <v>0</v>
      </c>
      <c r="R2852" s="13"/>
      <c r="S2852" s="13"/>
      <c r="T2852" s="13"/>
      <c r="U2852" s="13"/>
      <c r="V2852" s="13"/>
      <c r="W2852" s="13"/>
    </row>
    <row r="2853" spans="1:23" x14ac:dyDescent="0.2">
      <c r="A2853"/>
      <c r="B2853"/>
      <c r="C2853"/>
      <c r="D2853"/>
      <c r="E2853"/>
      <c r="F2853"/>
      <c r="G2853"/>
      <c r="H2853"/>
      <c r="I2853"/>
      <c r="J2853"/>
      <c r="K2853" s="13" t="s">
        <v>228</v>
      </c>
      <c r="L2853" s="13" t="s">
        <v>448</v>
      </c>
      <c r="M2853" s="13" t="s">
        <v>366</v>
      </c>
      <c r="N2853" s="15">
        <v>0</v>
      </c>
      <c r="O2853" s="16">
        <v>0</v>
      </c>
      <c r="P2853" s="17">
        <v>127.28694995638858</v>
      </c>
      <c r="Q2853" s="17">
        <v>0</v>
      </c>
      <c r="R2853" s="13"/>
      <c r="S2853" s="13"/>
      <c r="T2853" s="13"/>
      <c r="U2853" s="13"/>
      <c r="V2853" s="13"/>
      <c r="W2853" s="13"/>
    </row>
    <row r="2854" spans="1:23" x14ac:dyDescent="0.2">
      <c r="A2854"/>
      <c r="B2854"/>
      <c r="C2854"/>
      <c r="D2854"/>
      <c r="E2854"/>
      <c r="F2854"/>
      <c r="G2854"/>
      <c r="H2854"/>
      <c r="I2854"/>
      <c r="J2854"/>
      <c r="K2854" s="13" t="s">
        <v>228</v>
      </c>
      <c r="L2854" s="13" t="s">
        <v>456</v>
      </c>
      <c r="M2854" s="13" t="s">
        <v>457</v>
      </c>
      <c r="N2854" s="15">
        <v>0</v>
      </c>
      <c r="O2854" s="16">
        <v>0</v>
      </c>
      <c r="P2854" s="17">
        <v>670.36574999248967</v>
      </c>
      <c r="Q2854" s="17">
        <v>0</v>
      </c>
      <c r="R2854" s="13"/>
      <c r="S2854" s="13"/>
      <c r="T2854" s="13"/>
      <c r="U2854" s="13"/>
      <c r="V2854" s="13"/>
      <c r="W2854" s="13"/>
    </row>
    <row r="2855" spans="1:23" x14ac:dyDescent="0.2">
      <c r="A2855"/>
      <c r="B2855"/>
      <c r="C2855"/>
      <c r="D2855"/>
      <c r="E2855"/>
      <c r="F2855"/>
      <c r="G2855"/>
      <c r="H2855"/>
      <c r="I2855"/>
      <c r="J2855"/>
      <c r="K2855" s="13" t="s">
        <v>228</v>
      </c>
      <c r="L2855" s="13" t="s">
        <v>404</v>
      </c>
      <c r="M2855" s="13" t="s">
        <v>405</v>
      </c>
      <c r="N2855" s="15">
        <v>0</v>
      </c>
      <c r="O2855" s="16">
        <v>0</v>
      </c>
      <c r="P2855" s="17">
        <v>23.334549999929898</v>
      </c>
      <c r="Q2855" s="17">
        <v>136.56409898495676</v>
      </c>
      <c r="R2855" s="13"/>
      <c r="S2855" s="13"/>
      <c r="T2855" s="13"/>
      <c r="U2855" s="13"/>
      <c r="V2855" s="13"/>
      <c r="W2855" s="13"/>
    </row>
    <row r="2856" spans="1:23" x14ac:dyDescent="0.2">
      <c r="A2856"/>
      <c r="B2856"/>
      <c r="C2856"/>
      <c r="D2856"/>
      <c r="E2856"/>
      <c r="F2856"/>
      <c r="G2856"/>
      <c r="H2856"/>
      <c r="I2856"/>
      <c r="J2856"/>
      <c r="K2856" s="13" t="s">
        <v>228</v>
      </c>
      <c r="L2856" s="13" t="s">
        <v>381</v>
      </c>
      <c r="M2856" s="13" t="s">
        <v>382</v>
      </c>
      <c r="N2856" s="15">
        <v>23</v>
      </c>
      <c r="O2856" s="16">
        <v>0</v>
      </c>
      <c r="P2856" s="17">
        <v>0</v>
      </c>
      <c r="Q2856" s="17">
        <v>0</v>
      </c>
      <c r="R2856" s="13"/>
      <c r="S2856" s="13"/>
      <c r="T2856" s="13"/>
      <c r="U2856" s="13"/>
      <c r="V2856" s="13"/>
      <c r="W2856" s="13"/>
    </row>
    <row r="2857" spans="1:23" x14ac:dyDescent="0.2">
      <c r="A2857"/>
      <c r="B2857"/>
      <c r="C2857"/>
      <c r="D2857"/>
      <c r="E2857"/>
      <c r="F2857"/>
      <c r="G2857"/>
      <c r="H2857"/>
      <c r="I2857"/>
      <c r="J2857"/>
      <c r="K2857" s="13" t="s">
        <v>228</v>
      </c>
      <c r="L2857" s="13" t="s">
        <v>411</v>
      </c>
      <c r="M2857" s="13" t="s">
        <v>362</v>
      </c>
      <c r="N2857" s="15">
        <v>0</v>
      </c>
      <c r="O2857" s="16">
        <v>0</v>
      </c>
      <c r="P2857" s="17">
        <v>35.606899999291073</v>
      </c>
      <c r="Q2857" s="17">
        <v>0</v>
      </c>
      <c r="R2857" s="13"/>
      <c r="S2857" s="13"/>
      <c r="T2857" s="13"/>
      <c r="U2857" s="13"/>
      <c r="V2857" s="13"/>
      <c r="W2857" s="13"/>
    </row>
    <row r="2858" spans="1:23" x14ac:dyDescent="0.2">
      <c r="A2858"/>
      <c r="B2858"/>
      <c r="C2858"/>
      <c r="D2858"/>
      <c r="E2858"/>
      <c r="F2858"/>
      <c r="G2858"/>
      <c r="H2858"/>
      <c r="I2858"/>
      <c r="J2858"/>
      <c r="K2858" s="13" t="s">
        <v>228</v>
      </c>
      <c r="L2858" s="13" t="s">
        <v>411</v>
      </c>
      <c r="M2858" s="13" t="s">
        <v>362</v>
      </c>
      <c r="N2858" s="15">
        <v>0</v>
      </c>
      <c r="O2858" s="16">
        <v>116.75826247012114</v>
      </c>
      <c r="P2858" s="17">
        <v>0</v>
      </c>
      <c r="Q2858" s="17">
        <v>0</v>
      </c>
      <c r="R2858" s="13"/>
      <c r="S2858" s="13"/>
      <c r="T2858" s="13"/>
      <c r="U2858" s="13"/>
      <c r="V2858" s="13"/>
      <c r="W2858" s="13"/>
    </row>
    <row r="2859" spans="1:23" x14ac:dyDescent="0.2">
      <c r="A2859"/>
      <c r="B2859"/>
      <c r="C2859"/>
      <c r="D2859"/>
      <c r="E2859"/>
      <c r="F2859"/>
      <c r="G2859"/>
      <c r="H2859"/>
      <c r="I2859"/>
      <c r="J2859"/>
      <c r="K2859" s="13" t="s">
        <v>228</v>
      </c>
      <c r="L2859" s="13" t="s">
        <v>411</v>
      </c>
      <c r="M2859" s="13" t="s">
        <v>362</v>
      </c>
      <c r="N2859" s="15">
        <v>3</v>
      </c>
      <c r="O2859" s="16">
        <v>0</v>
      </c>
      <c r="P2859" s="17">
        <v>0</v>
      </c>
      <c r="Q2859" s="17">
        <v>0</v>
      </c>
      <c r="R2859" s="13"/>
      <c r="S2859" s="13"/>
      <c r="T2859" s="13"/>
      <c r="U2859" s="13"/>
      <c r="V2859" s="13"/>
      <c r="W2859" s="13"/>
    </row>
    <row r="2860" spans="1:23" x14ac:dyDescent="0.2">
      <c r="A2860"/>
      <c r="B2860"/>
      <c r="C2860"/>
      <c r="D2860"/>
      <c r="E2860"/>
      <c r="F2860"/>
      <c r="G2860"/>
      <c r="H2860"/>
      <c r="I2860"/>
      <c r="J2860"/>
      <c r="K2860" s="13" t="s">
        <v>228</v>
      </c>
      <c r="L2860" s="13" t="s">
        <v>623</v>
      </c>
      <c r="M2860" s="13" t="s">
        <v>530</v>
      </c>
      <c r="N2860" s="15">
        <v>0</v>
      </c>
      <c r="O2860" s="16">
        <v>248.36164754130402</v>
      </c>
      <c r="P2860" s="17">
        <v>0</v>
      </c>
      <c r="Q2860" s="17">
        <v>0</v>
      </c>
      <c r="R2860" s="13"/>
      <c r="S2860" s="13"/>
      <c r="T2860" s="13"/>
      <c r="U2860" s="13"/>
      <c r="V2860" s="13"/>
      <c r="W2860" s="13"/>
    </row>
    <row r="2861" spans="1:23" x14ac:dyDescent="0.2">
      <c r="A2861"/>
      <c r="B2861"/>
      <c r="C2861"/>
      <c r="D2861"/>
      <c r="E2861"/>
      <c r="F2861"/>
      <c r="G2861"/>
      <c r="H2861"/>
      <c r="I2861"/>
      <c r="J2861"/>
      <c r="K2861" s="13" t="s">
        <v>228</v>
      </c>
      <c r="L2861" s="13" t="s">
        <v>608</v>
      </c>
      <c r="M2861" s="13" t="s">
        <v>432</v>
      </c>
      <c r="N2861" s="15">
        <v>16</v>
      </c>
      <c r="O2861" s="16">
        <v>0</v>
      </c>
      <c r="P2861" s="17">
        <v>0</v>
      </c>
      <c r="Q2861" s="17">
        <v>0</v>
      </c>
      <c r="R2861" s="13"/>
      <c r="S2861" s="13"/>
      <c r="T2861" s="13"/>
      <c r="U2861" s="13"/>
      <c r="V2861" s="13"/>
      <c r="W2861" s="13"/>
    </row>
    <row r="2862" spans="1:23" x14ac:dyDescent="0.2">
      <c r="A2862"/>
      <c r="B2862"/>
      <c r="C2862"/>
      <c r="D2862"/>
      <c r="E2862"/>
      <c r="F2862"/>
      <c r="G2862"/>
      <c r="H2862"/>
      <c r="I2862"/>
      <c r="J2862"/>
      <c r="K2862" s="13" t="s">
        <v>228</v>
      </c>
      <c r="L2862" s="13" t="s">
        <v>615</v>
      </c>
      <c r="M2862" s="13" t="s">
        <v>449</v>
      </c>
      <c r="N2862" s="15">
        <v>2</v>
      </c>
      <c r="O2862" s="16">
        <v>0</v>
      </c>
      <c r="P2862" s="17">
        <v>0</v>
      </c>
      <c r="Q2862" s="17">
        <v>0</v>
      </c>
      <c r="R2862" s="13"/>
      <c r="S2862" s="13"/>
      <c r="T2862" s="13"/>
      <c r="U2862" s="13"/>
      <c r="V2862" s="13"/>
      <c r="W2862" s="13"/>
    </row>
    <row r="2863" spans="1:23" x14ac:dyDescent="0.2">
      <c r="A2863"/>
      <c r="B2863"/>
      <c r="C2863"/>
      <c r="D2863"/>
      <c r="E2863"/>
      <c r="F2863"/>
      <c r="G2863"/>
      <c r="H2863"/>
      <c r="I2863"/>
      <c r="J2863"/>
      <c r="K2863" s="13" t="s">
        <v>228</v>
      </c>
      <c r="L2863" s="13" t="s">
        <v>523</v>
      </c>
      <c r="M2863" s="13" t="s">
        <v>476</v>
      </c>
      <c r="N2863" s="15">
        <v>0</v>
      </c>
      <c r="O2863" s="16">
        <v>0</v>
      </c>
      <c r="P2863" s="17">
        <v>39.475949403622309</v>
      </c>
      <c r="Q2863" s="17">
        <v>0</v>
      </c>
      <c r="R2863" s="13"/>
      <c r="S2863" s="13"/>
      <c r="T2863" s="13"/>
      <c r="U2863" s="13"/>
      <c r="V2863" s="13"/>
      <c r="W2863" s="13"/>
    </row>
    <row r="2864" spans="1:23" x14ac:dyDescent="0.2">
      <c r="A2864"/>
      <c r="B2864"/>
      <c r="C2864"/>
      <c r="D2864"/>
      <c r="E2864"/>
      <c r="F2864"/>
      <c r="G2864"/>
      <c r="H2864"/>
      <c r="I2864"/>
      <c r="J2864"/>
      <c r="K2864" s="13" t="s">
        <v>228</v>
      </c>
      <c r="L2864" s="13" t="s">
        <v>383</v>
      </c>
      <c r="M2864" s="13" t="s">
        <v>420</v>
      </c>
      <c r="N2864" s="15">
        <v>15</v>
      </c>
      <c r="O2864" s="16">
        <v>0</v>
      </c>
      <c r="P2864" s="17">
        <v>0</v>
      </c>
      <c r="Q2864" s="17">
        <v>0</v>
      </c>
      <c r="R2864" s="13"/>
      <c r="S2864" s="13"/>
      <c r="T2864" s="13"/>
      <c r="U2864" s="13"/>
      <c r="V2864" s="13"/>
      <c r="W2864" s="13"/>
    </row>
    <row r="2865" spans="1:23" x14ac:dyDescent="0.2">
      <c r="A2865"/>
      <c r="B2865"/>
      <c r="C2865"/>
      <c r="D2865"/>
      <c r="E2865"/>
      <c r="F2865"/>
      <c r="G2865"/>
      <c r="H2865"/>
      <c r="I2865"/>
      <c r="J2865"/>
      <c r="K2865" s="13" t="s">
        <v>228</v>
      </c>
      <c r="L2865" s="13" t="s">
        <v>528</v>
      </c>
      <c r="M2865" s="13" t="s">
        <v>384</v>
      </c>
      <c r="N2865" s="15">
        <v>0</v>
      </c>
      <c r="O2865" s="16">
        <v>272.09577977357321</v>
      </c>
      <c r="P2865" s="17">
        <v>0</v>
      </c>
      <c r="Q2865" s="17">
        <v>0</v>
      </c>
      <c r="R2865" s="13"/>
      <c r="S2865" s="13"/>
      <c r="T2865" s="13"/>
      <c r="U2865" s="13"/>
      <c r="V2865" s="13"/>
      <c r="W2865" s="13"/>
    </row>
    <row r="2866" spans="1:23" x14ac:dyDescent="0.2">
      <c r="A2866"/>
      <c r="B2866"/>
      <c r="C2866"/>
      <c r="D2866"/>
      <c r="E2866"/>
      <c r="F2866"/>
      <c r="G2866"/>
      <c r="H2866"/>
      <c r="I2866"/>
      <c r="J2866"/>
      <c r="K2866" s="13" t="s">
        <v>228</v>
      </c>
      <c r="L2866" s="13" t="s">
        <v>613</v>
      </c>
      <c r="M2866" s="13" t="s">
        <v>444</v>
      </c>
      <c r="N2866" s="15">
        <v>0</v>
      </c>
      <c r="O2866" s="16">
        <v>208.24895107741037</v>
      </c>
      <c r="P2866" s="17">
        <v>0</v>
      </c>
      <c r="Q2866" s="17">
        <v>0</v>
      </c>
      <c r="R2866" s="13"/>
      <c r="S2866" s="13"/>
      <c r="T2866" s="13"/>
      <c r="U2866" s="13"/>
      <c r="V2866" s="13"/>
      <c r="W2866" s="13"/>
    </row>
    <row r="2867" spans="1:23" x14ac:dyDescent="0.2">
      <c r="A2867"/>
      <c r="B2867"/>
      <c r="C2867"/>
      <c r="D2867"/>
      <c r="E2867"/>
      <c r="F2867"/>
      <c r="G2867"/>
      <c r="H2867"/>
      <c r="I2867"/>
      <c r="J2867"/>
      <c r="K2867" s="13" t="s">
        <v>228</v>
      </c>
      <c r="L2867" s="13" t="s">
        <v>446</v>
      </c>
      <c r="M2867" s="13" t="s">
        <v>371</v>
      </c>
      <c r="N2867" s="15">
        <v>6</v>
      </c>
      <c r="O2867" s="16">
        <v>0</v>
      </c>
      <c r="P2867" s="17">
        <v>0</v>
      </c>
      <c r="Q2867" s="17">
        <v>0</v>
      </c>
      <c r="R2867" s="13"/>
      <c r="S2867" s="13"/>
      <c r="T2867" s="13"/>
      <c r="U2867" s="13"/>
      <c r="V2867" s="13"/>
      <c r="W2867" s="13"/>
    </row>
    <row r="2868" spans="1:23" x14ac:dyDescent="0.2">
      <c r="A2868"/>
      <c r="B2868"/>
      <c r="C2868"/>
      <c r="D2868"/>
      <c r="E2868"/>
      <c r="F2868"/>
      <c r="G2868"/>
      <c r="H2868"/>
      <c r="I2868"/>
      <c r="J2868"/>
      <c r="K2868" s="13" t="s">
        <v>228</v>
      </c>
      <c r="L2868" s="13" t="s">
        <v>614</v>
      </c>
      <c r="M2868" s="13" t="s">
        <v>447</v>
      </c>
      <c r="N2868" s="15">
        <v>2</v>
      </c>
      <c r="O2868" s="16">
        <v>0</v>
      </c>
      <c r="P2868" s="17">
        <v>0</v>
      </c>
      <c r="Q2868" s="17">
        <v>0</v>
      </c>
      <c r="R2868" s="13"/>
      <c r="S2868" s="13"/>
      <c r="T2868" s="13"/>
      <c r="U2868" s="13"/>
      <c r="V2868" s="13"/>
      <c r="W2868" s="13"/>
    </row>
    <row r="2869" spans="1:23" x14ac:dyDescent="0.2">
      <c r="A2869"/>
      <c r="B2869"/>
      <c r="C2869"/>
      <c r="D2869"/>
      <c r="E2869"/>
      <c r="F2869"/>
      <c r="G2869"/>
      <c r="H2869"/>
      <c r="I2869"/>
      <c r="J2869"/>
      <c r="K2869" s="13" t="s">
        <v>230</v>
      </c>
      <c r="L2869" s="13" t="s">
        <v>389</v>
      </c>
      <c r="M2869" s="13" t="s">
        <v>388</v>
      </c>
      <c r="N2869" s="15">
        <v>0</v>
      </c>
      <c r="O2869" s="16">
        <v>0</v>
      </c>
      <c r="P2869" s="17">
        <v>80.156999998818023</v>
      </c>
      <c r="Q2869" s="17">
        <v>0</v>
      </c>
      <c r="R2869" s="13"/>
      <c r="S2869" s="13"/>
      <c r="T2869" s="13"/>
      <c r="U2869" s="13"/>
      <c r="V2869" s="13"/>
      <c r="W2869" s="13"/>
    </row>
    <row r="2870" spans="1:23" x14ac:dyDescent="0.2">
      <c r="A2870"/>
      <c r="B2870"/>
      <c r="C2870"/>
      <c r="D2870"/>
      <c r="E2870"/>
      <c r="F2870"/>
      <c r="G2870"/>
      <c r="H2870"/>
      <c r="I2870"/>
      <c r="J2870"/>
      <c r="K2870" s="13" t="s">
        <v>230</v>
      </c>
      <c r="L2870" s="13" t="s">
        <v>486</v>
      </c>
      <c r="M2870" s="13" t="s">
        <v>439</v>
      </c>
      <c r="N2870" s="15">
        <v>0</v>
      </c>
      <c r="O2870" s="16">
        <v>0</v>
      </c>
      <c r="P2870" s="17">
        <v>8.9748499920619427</v>
      </c>
      <c r="Q2870" s="17">
        <v>0</v>
      </c>
      <c r="R2870" s="13"/>
      <c r="S2870" s="13"/>
      <c r="T2870" s="13"/>
      <c r="U2870" s="13"/>
      <c r="V2870" s="13"/>
      <c r="W2870" s="13"/>
    </row>
    <row r="2871" spans="1:23" x14ac:dyDescent="0.2">
      <c r="A2871"/>
      <c r="B2871"/>
      <c r="C2871"/>
      <c r="D2871"/>
      <c r="E2871"/>
      <c r="F2871"/>
      <c r="G2871"/>
      <c r="H2871"/>
      <c r="I2871"/>
      <c r="J2871"/>
      <c r="K2871" s="13" t="s">
        <v>230</v>
      </c>
      <c r="L2871" s="13" t="s">
        <v>395</v>
      </c>
      <c r="M2871" s="13" t="s">
        <v>602</v>
      </c>
      <c r="N2871" s="15">
        <v>2</v>
      </c>
      <c r="O2871" s="16">
        <v>0</v>
      </c>
      <c r="P2871" s="17">
        <v>0</v>
      </c>
      <c r="Q2871" s="17">
        <v>0</v>
      </c>
      <c r="R2871" s="13"/>
      <c r="S2871" s="13"/>
      <c r="T2871" s="13"/>
      <c r="U2871" s="13"/>
      <c r="V2871" s="13"/>
      <c r="W2871" s="13"/>
    </row>
    <row r="2872" spans="1:23" x14ac:dyDescent="0.2">
      <c r="A2872"/>
      <c r="B2872"/>
      <c r="C2872"/>
      <c r="D2872"/>
      <c r="E2872"/>
      <c r="F2872"/>
      <c r="G2872"/>
      <c r="H2872"/>
      <c r="I2872"/>
      <c r="J2872"/>
      <c r="K2872" s="13" t="s">
        <v>230</v>
      </c>
      <c r="L2872" s="13" t="s">
        <v>401</v>
      </c>
      <c r="M2872" s="13" t="s">
        <v>360</v>
      </c>
      <c r="N2872" s="15">
        <v>0</v>
      </c>
      <c r="O2872" s="16">
        <v>0</v>
      </c>
      <c r="P2872" s="17">
        <v>74.458000004399693</v>
      </c>
      <c r="Q2872" s="17">
        <v>0</v>
      </c>
      <c r="R2872" s="13"/>
      <c r="S2872" s="13"/>
      <c r="T2872" s="13"/>
      <c r="U2872" s="13"/>
      <c r="V2872" s="13"/>
      <c r="W2872" s="13"/>
    </row>
    <row r="2873" spans="1:23" x14ac:dyDescent="0.2">
      <c r="A2873"/>
      <c r="B2873"/>
      <c r="C2873"/>
      <c r="D2873"/>
      <c r="E2873"/>
      <c r="F2873"/>
      <c r="G2873"/>
      <c r="H2873"/>
      <c r="I2873"/>
      <c r="J2873"/>
      <c r="K2873" s="13" t="s">
        <v>230</v>
      </c>
      <c r="L2873" s="13" t="s">
        <v>402</v>
      </c>
      <c r="M2873" s="13" t="s">
        <v>403</v>
      </c>
      <c r="N2873" s="15">
        <v>0</v>
      </c>
      <c r="O2873" s="16">
        <v>0</v>
      </c>
      <c r="P2873" s="17">
        <v>708.47639997892782</v>
      </c>
      <c r="Q2873" s="17">
        <v>0</v>
      </c>
      <c r="R2873" s="13"/>
      <c r="S2873" s="13"/>
      <c r="T2873" s="13"/>
      <c r="U2873" s="13"/>
      <c r="V2873" s="13"/>
      <c r="W2873" s="13"/>
    </row>
    <row r="2874" spans="1:23" x14ac:dyDescent="0.2">
      <c r="A2874"/>
      <c r="B2874"/>
      <c r="C2874"/>
      <c r="D2874"/>
      <c r="E2874"/>
      <c r="F2874"/>
      <c r="G2874"/>
      <c r="H2874"/>
      <c r="I2874"/>
      <c r="J2874"/>
      <c r="K2874" s="13" t="s">
        <v>230</v>
      </c>
      <c r="L2874" s="13" t="s">
        <v>404</v>
      </c>
      <c r="M2874" s="13" t="s">
        <v>405</v>
      </c>
      <c r="N2874" s="15">
        <v>0</v>
      </c>
      <c r="O2874" s="16">
        <v>0</v>
      </c>
      <c r="P2874" s="17">
        <v>1.856799999503931</v>
      </c>
      <c r="Q2874" s="17">
        <v>7.5310244413215486</v>
      </c>
      <c r="R2874" s="13"/>
      <c r="S2874" s="13"/>
      <c r="T2874" s="13"/>
      <c r="U2874" s="13"/>
      <c r="V2874" s="13"/>
      <c r="W2874" s="13"/>
    </row>
    <row r="2875" spans="1:23" x14ac:dyDescent="0.2">
      <c r="A2875"/>
      <c r="B2875"/>
      <c r="C2875"/>
      <c r="D2875"/>
      <c r="E2875"/>
      <c r="F2875"/>
      <c r="G2875"/>
      <c r="H2875"/>
      <c r="I2875"/>
      <c r="J2875"/>
      <c r="K2875" s="13" t="s">
        <v>230</v>
      </c>
      <c r="L2875" s="13" t="s">
        <v>406</v>
      </c>
      <c r="M2875" s="13" t="s">
        <v>361</v>
      </c>
      <c r="N2875" s="15">
        <v>0</v>
      </c>
      <c r="O2875" s="16">
        <v>0</v>
      </c>
      <c r="P2875" s="17">
        <v>225.8742500003857</v>
      </c>
      <c r="Q2875" s="17">
        <v>424.19708118756904</v>
      </c>
      <c r="R2875" s="13"/>
      <c r="S2875" s="13"/>
      <c r="T2875" s="13"/>
      <c r="U2875" s="13"/>
      <c r="V2875" s="13"/>
      <c r="W2875" s="13"/>
    </row>
    <row r="2876" spans="1:23" x14ac:dyDescent="0.2">
      <c r="A2876"/>
      <c r="B2876"/>
      <c r="C2876"/>
      <c r="D2876"/>
      <c r="E2876"/>
      <c r="F2876"/>
      <c r="G2876"/>
      <c r="H2876"/>
      <c r="I2876"/>
      <c r="J2876"/>
      <c r="K2876" s="13" t="s">
        <v>230</v>
      </c>
      <c r="L2876" s="13" t="s">
        <v>381</v>
      </c>
      <c r="M2876" s="13" t="s">
        <v>382</v>
      </c>
      <c r="N2876" s="15">
        <v>9</v>
      </c>
      <c r="O2876" s="16">
        <v>0</v>
      </c>
      <c r="P2876" s="17">
        <v>0</v>
      </c>
      <c r="Q2876" s="17">
        <v>0</v>
      </c>
      <c r="R2876" s="13"/>
      <c r="S2876" s="13"/>
      <c r="T2876" s="13"/>
      <c r="U2876" s="13"/>
      <c r="V2876" s="13"/>
      <c r="W2876" s="13"/>
    </row>
    <row r="2877" spans="1:23" x14ac:dyDescent="0.2">
      <c r="A2877"/>
      <c r="B2877"/>
      <c r="C2877"/>
      <c r="D2877"/>
      <c r="E2877"/>
      <c r="F2877"/>
      <c r="G2877"/>
      <c r="H2877"/>
      <c r="I2877"/>
      <c r="J2877"/>
      <c r="K2877" s="13" t="s">
        <v>230</v>
      </c>
      <c r="L2877" s="13" t="s">
        <v>411</v>
      </c>
      <c r="M2877" s="13" t="s">
        <v>362</v>
      </c>
      <c r="N2877" s="15">
        <v>0</v>
      </c>
      <c r="O2877" s="16">
        <v>17.306149706369137</v>
      </c>
      <c r="P2877" s="17">
        <v>0</v>
      </c>
      <c r="Q2877" s="17">
        <v>0</v>
      </c>
      <c r="R2877" s="13"/>
      <c r="S2877" s="13"/>
      <c r="T2877" s="13"/>
      <c r="U2877" s="13"/>
      <c r="V2877" s="13"/>
      <c r="W2877" s="13"/>
    </row>
    <row r="2878" spans="1:23" x14ac:dyDescent="0.2">
      <c r="A2878"/>
      <c r="B2878"/>
      <c r="C2878"/>
      <c r="D2878"/>
      <c r="E2878"/>
      <c r="F2878"/>
      <c r="G2878"/>
      <c r="H2878"/>
      <c r="I2878"/>
      <c r="J2878"/>
      <c r="K2878" s="13" t="s">
        <v>230</v>
      </c>
      <c r="L2878" s="13" t="s">
        <v>413</v>
      </c>
      <c r="M2878" s="13" t="s">
        <v>428</v>
      </c>
      <c r="N2878" s="15">
        <v>2</v>
      </c>
      <c r="O2878" s="16">
        <v>0</v>
      </c>
      <c r="P2878" s="17">
        <v>0</v>
      </c>
      <c r="Q2878" s="17">
        <v>0</v>
      </c>
      <c r="R2878" s="13"/>
      <c r="S2878" s="13"/>
      <c r="T2878" s="13"/>
      <c r="U2878" s="13"/>
      <c r="V2878" s="13"/>
      <c r="W2878" s="13"/>
    </row>
    <row r="2879" spans="1:23" x14ac:dyDescent="0.2">
      <c r="A2879"/>
      <c r="B2879"/>
      <c r="C2879"/>
      <c r="D2879"/>
      <c r="E2879"/>
      <c r="F2879"/>
      <c r="G2879"/>
      <c r="H2879"/>
      <c r="I2879"/>
      <c r="J2879"/>
      <c r="K2879" s="13" t="s">
        <v>230</v>
      </c>
      <c r="L2879" s="13" t="s">
        <v>605</v>
      </c>
      <c r="M2879" s="13" t="s">
        <v>429</v>
      </c>
      <c r="N2879" s="15">
        <v>0</v>
      </c>
      <c r="O2879" s="16">
        <v>2.656689669614968</v>
      </c>
      <c r="P2879" s="17">
        <v>0</v>
      </c>
      <c r="Q2879" s="17">
        <v>0</v>
      </c>
      <c r="R2879" s="13"/>
      <c r="S2879" s="13"/>
      <c r="T2879" s="13"/>
      <c r="U2879" s="13"/>
      <c r="V2879" s="13"/>
      <c r="W2879" s="13"/>
    </row>
    <row r="2880" spans="1:23" x14ac:dyDescent="0.2">
      <c r="A2880"/>
      <c r="B2880"/>
      <c r="C2880"/>
      <c r="D2880"/>
      <c r="E2880"/>
      <c r="F2880"/>
      <c r="G2880"/>
      <c r="H2880"/>
      <c r="I2880"/>
      <c r="J2880"/>
      <c r="K2880" s="13" t="s">
        <v>230</v>
      </c>
      <c r="L2880" s="13" t="s">
        <v>606</v>
      </c>
      <c r="M2880" s="13" t="s">
        <v>430</v>
      </c>
      <c r="N2880" s="15">
        <v>3</v>
      </c>
      <c r="O2880" s="16">
        <v>0</v>
      </c>
      <c r="P2880" s="17">
        <v>0</v>
      </c>
      <c r="Q2880" s="17">
        <v>0</v>
      </c>
      <c r="R2880" s="13"/>
      <c r="S2880" s="13"/>
      <c r="T2880" s="13"/>
      <c r="U2880" s="13"/>
      <c r="V2880" s="13"/>
      <c r="W2880" s="13"/>
    </row>
    <row r="2881" spans="1:23" x14ac:dyDescent="0.2">
      <c r="A2881"/>
      <c r="B2881"/>
      <c r="C2881"/>
      <c r="D2881"/>
      <c r="E2881"/>
      <c r="F2881"/>
      <c r="G2881"/>
      <c r="H2881"/>
      <c r="I2881"/>
      <c r="J2881"/>
      <c r="K2881" s="13" t="s">
        <v>230</v>
      </c>
      <c r="L2881" s="13" t="s">
        <v>608</v>
      </c>
      <c r="M2881" s="13" t="s">
        <v>432</v>
      </c>
      <c r="N2881" s="15">
        <v>3</v>
      </c>
      <c r="O2881" s="16">
        <v>0</v>
      </c>
      <c r="P2881" s="17">
        <v>0</v>
      </c>
      <c r="Q2881" s="17">
        <v>0</v>
      </c>
      <c r="R2881" s="13"/>
      <c r="S2881" s="13"/>
      <c r="T2881" s="13"/>
      <c r="U2881" s="13"/>
      <c r="V2881" s="13"/>
      <c r="W2881" s="13"/>
    </row>
    <row r="2882" spans="1:23" x14ac:dyDescent="0.2">
      <c r="A2882"/>
      <c r="B2882"/>
      <c r="C2882"/>
      <c r="D2882"/>
      <c r="E2882"/>
      <c r="F2882"/>
      <c r="G2882"/>
      <c r="H2882"/>
      <c r="I2882"/>
      <c r="J2882"/>
      <c r="K2882" s="13" t="s">
        <v>230</v>
      </c>
      <c r="L2882" s="13" t="s">
        <v>609</v>
      </c>
      <c r="M2882" s="13" t="s">
        <v>416</v>
      </c>
      <c r="N2882" s="15">
        <v>0</v>
      </c>
      <c r="O2882" s="16">
        <v>8.801593841117624</v>
      </c>
      <c r="P2882" s="17">
        <v>0</v>
      </c>
      <c r="Q2882" s="17">
        <v>0</v>
      </c>
      <c r="R2882" s="13"/>
      <c r="S2882" s="13"/>
      <c r="T2882" s="13"/>
      <c r="U2882" s="13"/>
      <c r="V2882" s="13"/>
      <c r="W2882" s="13"/>
    </row>
    <row r="2883" spans="1:23" x14ac:dyDescent="0.2">
      <c r="A2883"/>
      <c r="B2883"/>
      <c r="C2883"/>
      <c r="D2883"/>
      <c r="E2883"/>
      <c r="F2883"/>
      <c r="G2883"/>
      <c r="H2883"/>
      <c r="I2883"/>
      <c r="J2883"/>
      <c r="K2883" s="13" t="s">
        <v>230</v>
      </c>
      <c r="L2883" s="13" t="s">
        <v>383</v>
      </c>
      <c r="M2883" s="13" t="s">
        <v>420</v>
      </c>
      <c r="N2883" s="15">
        <v>1</v>
      </c>
      <c r="O2883" s="16">
        <v>0</v>
      </c>
      <c r="P2883" s="17">
        <v>0</v>
      </c>
      <c r="Q2883" s="17">
        <v>0</v>
      </c>
      <c r="R2883" s="13"/>
      <c r="S2883" s="13"/>
      <c r="T2883" s="13"/>
      <c r="U2883" s="13"/>
      <c r="V2883" s="13"/>
      <c r="W2883" s="13"/>
    </row>
    <row r="2884" spans="1:23" x14ac:dyDescent="0.2">
      <c r="A2884"/>
      <c r="B2884"/>
      <c r="C2884"/>
      <c r="D2884"/>
      <c r="E2884"/>
      <c r="F2884"/>
      <c r="G2884"/>
      <c r="H2884"/>
      <c r="I2884"/>
      <c r="J2884"/>
      <c r="K2884" s="13" t="s">
        <v>230</v>
      </c>
      <c r="L2884" s="13" t="s">
        <v>613</v>
      </c>
      <c r="M2884" s="13" t="s">
        <v>444</v>
      </c>
      <c r="N2884" s="15">
        <v>0</v>
      </c>
      <c r="O2884" s="16">
        <v>45.490141784742207</v>
      </c>
      <c r="P2884" s="17">
        <v>0</v>
      </c>
      <c r="Q2884" s="17">
        <v>0</v>
      </c>
      <c r="R2884" s="13"/>
      <c r="S2884" s="13"/>
      <c r="T2884" s="13"/>
      <c r="U2884" s="13"/>
      <c r="V2884" s="13"/>
      <c r="W2884" s="13"/>
    </row>
    <row r="2885" spans="1:23" x14ac:dyDescent="0.2">
      <c r="A2885"/>
      <c r="B2885"/>
      <c r="C2885"/>
      <c r="D2885"/>
      <c r="E2885"/>
      <c r="F2885"/>
      <c r="G2885"/>
      <c r="H2885"/>
      <c r="I2885"/>
      <c r="J2885"/>
      <c r="K2885" s="13" t="s">
        <v>230</v>
      </c>
      <c r="L2885" s="13" t="s">
        <v>614</v>
      </c>
      <c r="M2885" s="13" t="s">
        <v>447</v>
      </c>
      <c r="N2885" s="15">
        <v>1</v>
      </c>
      <c r="O2885" s="16">
        <v>0</v>
      </c>
      <c r="P2885" s="17">
        <v>0</v>
      </c>
      <c r="Q2885" s="17">
        <v>0</v>
      </c>
      <c r="R2885" s="13"/>
      <c r="S2885" s="13"/>
      <c r="T2885" s="13"/>
      <c r="U2885" s="13"/>
      <c r="V2885" s="13"/>
      <c r="W2885" s="13"/>
    </row>
    <row r="2886" spans="1:23" x14ac:dyDescent="0.2">
      <c r="A2886"/>
      <c r="B2886"/>
      <c r="C2886"/>
      <c r="D2886"/>
      <c r="E2886"/>
      <c r="F2886"/>
      <c r="G2886"/>
      <c r="H2886"/>
      <c r="I2886"/>
      <c r="J2886"/>
      <c r="K2886" s="13" t="s">
        <v>231</v>
      </c>
      <c r="L2886" s="13" t="s">
        <v>536</v>
      </c>
      <c r="M2886" s="13" t="s">
        <v>378</v>
      </c>
      <c r="N2886" s="15">
        <v>0</v>
      </c>
      <c r="O2886" s="16">
        <v>486.50559467556093</v>
      </c>
      <c r="P2886" s="17">
        <v>0</v>
      </c>
      <c r="Q2886" s="17">
        <v>0</v>
      </c>
      <c r="R2886" s="13"/>
      <c r="S2886" s="13"/>
      <c r="T2886" s="13"/>
      <c r="U2886" s="13"/>
      <c r="V2886" s="13"/>
      <c r="W2886" s="13"/>
    </row>
    <row r="2887" spans="1:23" x14ac:dyDescent="0.2">
      <c r="A2887"/>
      <c r="B2887"/>
      <c r="C2887"/>
      <c r="D2887"/>
      <c r="E2887"/>
      <c r="F2887"/>
      <c r="G2887"/>
      <c r="H2887"/>
      <c r="I2887"/>
      <c r="J2887"/>
      <c r="K2887" s="13" t="s">
        <v>231</v>
      </c>
      <c r="L2887" s="13" t="s">
        <v>387</v>
      </c>
      <c r="M2887" s="13" t="s">
        <v>386</v>
      </c>
      <c r="N2887" s="15">
        <v>0</v>
      </c>
      <c r="O2887" s="16">
        <v>0</v>
      </c>
      <c r="P2887" s="17">
        <v>5588.8043998857229</v>
      </c>
      <c r="Q2887" s="17">
        <v>0</v>
      </c>
      <c r="R2887" s="13"/>
      <c r="S2887" s="13"/>
      <c r="T2887" s="13"/>
      <c r="U2887" s="13"/>
      <c r="V2887" s="13"/>
      <c r="W2887" s="13"/>
    </row>
    <row r="2888" spans="1:23" x14ac:dyDescent="0.2">
      <c r="A2888"/>
      <c r="B2888"/>
      <c r="C2888"/>
      <c r="D2888"/>
      <c r="E2888"/>
      <c r="F2888"/>
      <c r="G2888"/>
      <c r="H2888"/>
      <c r="I2888"/>
      <c r="J2888"/>
      <c r="K2888" s="13" t="s">
        <v>231</v>
      </c>
      <c r="L2888" s="13" t="s">
        <v>389</v>
      </c>
      <c r="M2888" s="13" t="s">
        <v>388</v>
      </c>
      <c r="N2888" s="15">
        <v>0</v>
      </c>
      <c r="O2888" s="16">
        <v>0</v>
      </c>
      <c r="P2888" s="17">
        <v>1584.2143062449104</v>
      </c>
      <c r="Q2888" s="17">
        <v>0</v>
      </c>
      <c r="R2888" s="13"/>
      <c r="S2888" s="13"/>
      <c r="T2888" s="13"/>
      <c r="U2888" s="13"/>
      <c r="V2888" s="13"/>
      <c r="W2888" s="13"/>
    </row>
    <row r="2889" spans="1:23" x14ac:dyDescent="0.2">
      <c r="A2889"/>
      <c r="B2889"/>
      <c r="C2889"/>
      <c r="D2889"/>
      <c r="E2889"/>
      <c r="F2889"/>
      <c r="G2889"/>
      <c r="H2889"/>
      <c r="I2889"/>
      <c r="J2889"/>
      <c r="K2889" s="13" t="s">
        <v>231</v>
      </c>
      <c r="L2889" s="13" t="s">
        <v>391</v>
      </c>
      <c r="M2889" s="13" t="s">
        <v>358</v>
      </c>
      <c r="N2889" s="15">
        <v>0</v>
      </c>
      <c r="O2889" s="16">
        <v>0</v>
      </c>
      <c r="P2889" s="17">
        <v>511.28684998666006</v>
      </c>
      <c r="Q2889" s="17">
        <v>0</v>
      </c>
      <c r="R2889" s="13"/>
      <c r="S2889" s="13"/>
      <c r="T2889" s="13"/>
      <c r="U2889" s="13"/>
      <c r="V2889" s="13"/>
      <c r="W2889" s="13"/>
    </row>
    <row r="2890" spans="1:23" x14ac:dyDescent="0.2">
      <c r="A2890"/>
      <c r="B2890"/>
      <c r="C2890"/>
      <c r="D2890"/>
      <c r="E2890"/>
      <c r="F2890"/>
      <c r="G2890"/>
      <c r="H2890"/>
      <c r="I2890"/>
      <c r="J2890"/>
      <c r="K2890" s="13" t="s">
        <v>231</v>
      </c>
      <c r="L2890" s="13" t="s">
        <v>436</v>
      </c>
      <c r="M2890" s="13" t="s">
        <v>487</v>
      </c>
      <c r="N2890" s="15">
        <v>0</v>
      </c>
      <c r="O2890" s="16">
        <v>0</v>
      </c>
      <c r="P2890" s="17">
        <v>6.0036499998461457</v>
      </c>
      <c r="Q2890" s="17">
        <v>0</v>
      </c>
      <c r="R2890" s="13"/>
      <c r="S2890" s="13"/>
      <c r="T2890" s="13"/>
      <c r="U2890" s="13"/>
      <c r="V2890" s="13"/>
      <c r="W2890" s="13"/>
    </row>
    <row r="2891" spans="1:23" x14ac:dyDescent="0.2">
      <c r="A2891"/>
      <c r="B2891"/>
      <c r="C2891"/>
      <c r="D2891"/>
      <c r="E2891"/>
      <c r="F2891"/>
      <c r="G2891"/>
      <c r="H2891"/>
      <c r="I2891"/>
      <c r="J2891"/>
      <c r="K2891" s="13" t="s">
        <v>231</v>
      </c>
      <c r="L2891" s="13" t="s">
        <v>401</v>
      </c>
      <c r="M2891" s="13" t="s">
        <v>360</v>
      </c>
      <c r="N2891" s="15">
        <v>0</v>
      </c>
      <c r="O2891" s="16">
        <v>0</v>
      </c>
      <c r="P2891" s="17">
        <v>245.92385004619032</v>
      </c>
      <c r="Q2891" s="17">
        <v>0</v>
      </c>
      <c r="R2891" s="13"/>
      <c r="S2891" s="13"/>
      <c r="T2891" s="13"/>
      <c r="U2891" s="13"/>
      <c r="V2891" s="13"/>
      <c r="W2891" s="13"/>
    </row>
    <row r="2892" spans="1:23" x14ac:dyDescent="0.2">
      <c r="A2892"/>
      <c r="B2892"/>
      <c r="C2892"/>
      <c r="D2892"/>
      <c r="E2892"/>
      <c r="F2892"/>
      <c r="G2892"/>
      <c r="H2892"/>
      <c r="I2892"/>
      <c r="J2892"/>
      <c r="K2892" s="13" t="s">
        <v>231</v>
      </c>
      <c r="L2892" s="13" t="s">
        <v>511</v>
      </c>
      <c r="M2892" s="13" t="s">
        <v>377</v>
      </c>
      <c r="N2892" s="15">
        <v>0</v>
      </c>
      <c r="O2892" s="16">
        <v>0</v>
      </c>
      <c r="P2892" s="17">
        <v>145.1652999868021</v>
      </c>
      <c r="Q2892" s="17">
        <v>0</v>
      </c>
      <c r="R2892" s="13"/>
      <c r="S2892" s="13"/>
      <c r="T2892" s="13"/>
      <c r="U2892" s="13"/>
      <c r="V2892" s="13"/>
      <c r="W2892" s="13"/>
    </row>
    <row r="2893" spans="1:23" x14ac:dyDescent="0.2">
      <c r="A2893"/>
      <c r="B2893"/>
      <c r="C2893"/>
      <c r="D2893"/>
      <c r="E2893"/>
      <c r="F2893"/>
      <c r="G2893"/>
      <c r="H2893"/>
      <c r="I2893"/>
      <c r="J2893"/>
      <c r="K2893" s="13" t="s">
        <v>231</v>
      </c>
      <c r="L2893" s="13" t="s">
        <v>402</v>
      </c>
      <c r="M2893" s="13" t="s">
        <v>403</v>
      </c>
      <c r="N2893" s="15">
        <v>0</v>
      </c>
      <c r="O2893" s="16">
        <v>0</v>
      </c>
      <c r="P2893" s="17">
        <v>998.62615823805993</v>
      </c>
      <c r="Q2893" s="17">
        <v>0</v>
      </c>
      <c r="R2893" s="13"/>
      <c r="S2893" s="13"/>
      <c r="T2893" s="13"/>
      <c r="U2893" s="13"/>
      <c r="V2893" s="13"/>
      <c r="W2893" s="13"/>
    </row>
    <row r="2894" spans="1:23" x14ac:dyDescent="0.2">
      <c r="A2894"/>
      <c r="B2894"/>
      <c r="C2894"/>
      <c r="D2894"/>
      <c r="E2894"/>
      <c r="F2894"/>
      <c r="G2894"/>
      <c r="H2894"/>
      <c r="I2894"/>
      <c r="J2894"/>
      <c r="K2894" s="13" t="s">
        <v>231</v>
      </c>
      <c r="L2894" s="13" t="s">
        <v>448</v>
      </c>
      <c r="M2894" s="13" t="s">
        <v>366</v>
      </c>
      <c r="N2894" s="15">
        <v>0</v>
      </c>
      <c r="O2894" s="16">
        <v>0</v>
      </c>
      <c r="P2894" s="17">
        <v>192.40784999198075</v>
      </c>
      <c r="Q2894" s="17">
        <v>0</v>
      </c>
      <c r="R2894" s="13"/>
      <c r="S2894" s="13"/>
      <c r="T2894" s="13"/>
      <c r="U2894" s="13"/>
      <c r="V2894" s="13"/>
      <c r="W2894" s="13"/>
    </row>
    <row r="2895" spans="1:23" x14ac:dyDescent="0.2">
      <c r="A2895"/>
      <c r="B2895"/>
      <c r="C2895"/>
      <c r="D2895"/>
      <c r="E2895"/>
      <c r="F2895"/>
      <c r="G2895"/>
      <c r="H2895"/>
      <c r="I2895"/>
      <c r="J2895"/>
      <c r="K2895" s="13" t="s">
        <v>231</v>
      </c>
      <c r="L2895" s="13" t="s">
        <v>404</v>
      </c>
      <c r="M2895" s="13" t="s">
        <v>405</v>
      </c>
      <c r="N2895" s="15">
        <v>0</v>
      </c>
      <c r="O2895" s="16">
        <v>0</v>
      </c>
      <c r="P2895" s="17">
        <v>615.18024998257954</v>
      </c>
      <c r="Q2895" s="17">
        <v>1276.2856141343168</v>
      </c>
      <c r="R2895" s="13"/>
      <c r="S2895" s="13"/>
      <c r="T2895" s="13"/>
      <c r="U2895" s="13"/>
      <c r="V2895" s="13"/>
      <c r="W2895" s="13"/>
    </row>
    <row r="2896" spans="1:23" x14ac:dyDescent="0.2">
      <c r="A2896"/>
      <c r="B2896"/>
      <c r="C2896"/>
      <c r="D2896"/>
      <c r="E2896"/>
      <c r="F2896"/>
      <c r="G2896"/>
      <c r="H2896"/>
      <c r="I2896"/>
      <c r="J2896"/>
      <c r="K2896" s="13" t="s">
        <v>231</v>
      </c>
      <c r="L2896" s="13" t="s">
        <v>381</v>
      </c>
      <c r="M2896" s="13" t="s">
        <v>382</v>
      </c>
      <c r="N2896" s="15">
        <v>11</v>
      </c>
      <c r="O2896" s="16">
        <v>0</v>
      </c>
      <c r="P2896" s="17">
        <v>0</v>
      </c>
      <c r="Q2896" s="17">
        <v>0</v>
      </c>
      <c r="R2896" s="13"/>
      <c r="S2896" s="13"/>
      <c r="T2896" s="13"/>
      <c r="U2896" s="13"/>
      <c r="V2896" s="13"/>
      <c r="W2896" s="13"/>
    </row>
    <row r="2897" spans="1:23" x14ac:dyDescent="0.2">
      <c r="A2897"/>
      <c r="B2897"/>
      <c r="C2897"/>
      <c r="D2897"/>
      <c r="E2897"/>
      <c r="F2897"/>
      <c r="G2897"/>
      <c r="H2897"/>
      <c r="I2897"/>
      <c r="J2897"/>
      <c r="K2897" s="13" t="s">
        <v>231</v>
      </c>
      <c r="L2897" s="13" t="s">
        <v>452</v>
      </c>
      <c r="M2897" s="13" t="s">
        <v>453</v>
      </c>
      <c r="N2897" s="15">
        <v>15</v>
      </c>
      <c r="O2897" s="16">
        <v>0</v>
      </c>
      <c r="P2897" s="17">
        <v>0</v>
      </c>
      <c r="Q2897" s="17">
        <v>0</v>
      </c>
      <c r="R2897" s="13"/>
      <c r="S2897" s="13"/>
      <c r="T2897" s="13"/>
      <c r="U2897" s="13"/>
      <c r="V2897" s="13"/>
      <c r="W2897" s="13"/>
    </row>
    <row r="2898" spans="1:23" x14ac:dyDescent="0.2">
      <c r="A2898"/>
      <c r="B2898"/>
      <c r="C2898"/>
      <c r="D2898"/>
      <c r="E2898"/>
      <c r="F2898"/>
      <c r="G2898"/>
      <c r="H2898"/>
      <c r="I2898"/>
      <c r="J2898"/>
      <c r="K2898" s="13" t="s">
        <v>231</v>
      </c>
      <c r="L2898" s="13" t="s">
        <v>411</v>
      </c>
      <c r="M2898" s="13" t="s">
        <v>362</v>
      </c>
      <c r="N2898" s="15">
        <v>0</v>
      </c>
      <c r="O2898" s="16">
        <v>41.748039295200584</v>
      </c>
      <c r="P2898" s="17">
        <v>0</v>
      </c>
      <c r="Q2898" s="17">
        <v>0</v>
      </c>
      <c r="R2898" s="13"/>
      <c r="S2898" s="13"/>
      <c r="T2898" s="13"/>
      <c r="U2898" s="13"/>
      <c r="V2898" s="13"/>
      <c r="W2898" s="13"/>
    </row>
    <row r="2899" spans="1:23" x14ac:dyDescent="0.2">
      <c r="A2899"/>
      <c r="B2899"/>
      <c r="C2899"/>
      <c r="D2899"/>
      <c r="E2899"/>
      <c r="F2899"/>
      <c r="G2899"/>
      <c r="H2899"/>
      <c r="I2899"/>
      <c r="J2899"/>
      <c r="K2899" s="13" t="s">
        <v>231</v>
      </c>
      <c r="L2899" s="13" t="s">
        <v>413</v>
      </c>
      <c r="M2899" s="13" t="s">
        <v>428</v>
      </c>
      <c r="N2899" s="15">
        <v>1</v>
      </c>
      <c r="O2899" s="16">
        <v>0</v>
      </c>
      <c r="P2899" s="17">
        <v>0</v>
      </c>
      <c r="Q2899" s="17">
        <v>0</v>
      </c>
      <c r="R2899" s="13"/>
      <c r="S2899" s="13"/>
      <c r="T2899" s="13"/>
      <c r="U2899" s="13"/>
      <c r="V2899" s="13"/>
      <c r="W2899" s="13"/>
    </row>
    <row r="2900" spans="1:23" x14ac:dyDescent="0.2">
      <c r="A2900"/>
      <c r="B2900"/>
      <c r="C2900"/>
      <c r="D2900"/>
      <c r="E2900"/>
      <c r="F2900"/>
      <c r="G2900"/>
      <c r="H2900"/>
      <c r="I2900"/>
      <c r="J2900"/>
      <c r="K2900" s="13" t="s">
        <v>231</v>
      </c>
      <c r="L2900" s="13" t="s">
        <v>606</v>
      </c>
      <c r="M2900" s="13" t="s">
        <v>430</v>
      </c>
      <c r="N2900" s="15">
        <v>31</v>
      </c>
      <c r="O2900" s="16">
        <v>0</v>
      </c>
      <c r="P2900" s="17">
        <v>0</v>
      </c>
      <c r="Q2900" s="17">
        <v>0</v>
      </c>
      <c r="R2900" s="13"/>
      <c r="S2900" s="13"/>
      <c r="T2900" s="13"/>
      <c r="U2900" s="13"/>
      <c r="V2900" s="13"/>
      <c r="W2900" s="13"/>
    </row>
    <row r="2901" spans="1:23" x14ac:dyDescent="0.2">
      <c r="A2901"/>
      <c r="B2901"/>
      <c r="C2901"/>
      <c r="D2901"/>
      <c r="E2901"/>
      <c r="F2901"/>
      <c r="G2901"/>
      <c r="H2901"/>
      <c r="I2901"/>
      <c r="J2901"/>
      <c r="K2901" s="13" t="s">
        <v>231</v>
      </c>
      <c r="L2901" s="13" t="s">
        <v>608</v>
      </c>
      <c r="M2901" s="13" t="s">
        <v>432</v>
      </c>
      <c r="N2901" s="15">
        <v>9</v>
      </c>
      <c r="O2901" s="16">
        <v>0</v>
      </c>
      <c r="P2901" s="17">
        <v>0</v>
      </c>
      <c r="Q2901" s="17">
        <v>0</v>
      </c>
      <c r="R2901" s="13"/>
      <c r="S2901" s="13"/>
      <c r="T2901" s="13"/>
      <c r="U2901" s="13"/>
      <c r="V2901" s="13"/>
      <c r="W2901" s="13"/>
    </row>
    <row r="2902" spans="1:23" x14ac:dyDescent="0.2">
      <c r="A2902"/>
      <c r="B2902"/>
      <c r="C2902"/>
      <c r="D2902"/>
      <c r="E2902"/>
      <c r="F2902"/>
      <c r="G2902"/>
      <c r="H2902"/>
      <c r="I2902"/>
      <c r="J2902"/>
      <c r="K2902" s="13" t="s">
        <v>232</v>
      </c>
      <c r="L2902" s="13" t="s">
        <v>387</v>
      </c>
      <c r="M2902" s="13" t="s">
        <v>386</v>
      </c>
      <c r="N2902" s="15">
        <v>0</v>
      </c>
      <c r="O2902" s="16">
        <v>0</v>
      </c>
      <c r="P2902" s="17">
        <v>2767.3253497869832</v>
      </c>
      <c r="Q2902" s="17">
        <v>0</v>
      </c>
      <c r="R2902" s="13"/>
      <c r="S2902" s="13"/>
      <c r="T2902" s="13"/>
      <c r="U2902" s="13"/>
      <c r="V2902" s="13"/>
      <c r="W2902" s="13"/>
    </row>
    <row r="2903" spans="1:23" x14ac:dyDescent="0.2">
      <c r="A2903"/>
      <c r="B2903"/>
      <c r="C2903"/>
      <c r="D2903"/>
      <c r="E2903"/>
      <c r="F2903"/>
      <c r="G2903"/>
      <c r="H2903"/>
      <c r="I2903"/>
      <c r="J2903"/>
      <c r="K2903" s="13" t="s">
        <v>232</v>
      </c>
      <c r="L2903" s="13" t="s">
        <v>389</v>
      </c>
      <c r="M2903" s="13" t="s">
        <v>388</v>
      </c>
      <c r="N2903" s="15">
        <v>0</v>
      </c>
      <c r="O2903" s="16">
        <v>0</v>
      </c>
      <c r="P2903" s="17">
        <v>1155.4857000765355</v>
      </c>
      <c r="Q2903" s="17">
        <v>0</v>
      </c>
      <c r="R2903" s="13"/>
      <c r="S2903" s="13"/>
      <c r="T2903" s="13"/>
      <c r="U2903" s="13"/>
      <c r="V2903" s="13"/>
      <c r="W2903" s="13"/>
    </row>
    <row r="2904" spans="1:23" x14ac:dyDescent="0.2">
      <c r="A2904"/>
      <c r="B2904"/>
      <c r="C2904"/>
      <c r="D2904"/>
      <c r="E2904"/>
      <c r="F2904"/>
      <c r="G2904"/>
      <c r="H2904"/>
      <c r="I2904"/>
      <c r="J2904"/>
      <c r="K2904" s="13" t="s">
        <v>232</v>
      </c>
      <c r="L2904" s="13" t="s">
        <v>542</v>
      </c>
      <c r="M2904" s="13" t="s">
        <v>390</v>
      </c>
      <c r="N2904" s="15">
        <v>0</v>
      </c>
      <c r="O2904" s="16">
        <v>0</v>
      </c>
      <c r="P2904" s="17">
        <v>62.078100010019824</v>
      </c>
      <c r="Q2904" s="17">
        <v>0</v>
      </c>
      <c r="R2904" s="13"/>
      <c r="S2904" s="13"/>
      <c r="T2904" s="13"/>
      <c r="U2904" s="13"/>
      <c r="V2904" s="13"/>
      <c r="W2904" s="13"/>
    </row>
    <row r="2905" spans="1:23" x14ac:dyDescent="0.2">
      <c r="A2905"/>
      <c r="B2905"/>
      <c r="C2905"/>
      <c r="D2905"/>
      <c r="E2905"/>
      <c r="F2905"/>
      <c r="G2905"/>
      <c r="H2905"/>
      <c r="I2905"/>
      <c r="J2905"/>
      <c r="K2905" s="13" t="s">
        <v>232</v>
      </c>
      <c r="L2905" s="13" t="s">
        <v>402</v>
      </c>
      <c r="M2905" s="13" t="s">
        <v>403</v>
      </c>
      <c r="N2905" s="15">
        <v>0</v>
      </c>
      <c r="O2905" s="16">
        <v>0</v>
      </c>
      <c r="P2905" s="17">
        <v>793.31655000451008</v>
      </c>
      <c r="Q2905" s="17">
        <v>0</v>
      </c>
      <c r="R2905" s="13"/>
      <c r="S2905" s="13"/>
      <c r="T2905" s="13"/>
      <c r="U2905" s="13"/>
      <c r="V2905" s="13"/>
      <c r="W2905" s="13"/>
    </row>
    <row r="2906" spans="1:23" x14ac:dyDescent="0.2">
      <c r="A2906"/>
      <c r="B2906"/>
      <c r="C2906"/>
      <c r="D2906"/>
      <c r="E2906"/>
      <c r="F2906"/>
      <c r="G2906"/>
      <c r="H2906"/>
      <c r="I2906"/>
      <c r="J2906"/>
      <c r="K2906" s="13" t="s">
        <v>232</v>
      </c>
      <c r="L2906" s="13" t="s">
        <v>406</v>
      </c>
      <c r="M2906" s="13" t="s">
        <v>361</v>
      </c>
      <c r="N2906" s="15">
        <v>0</v>
      </c>
      <c r="O2906" s="16">
        <v>0</v>
      </c>
      <c r="P2906" s="17">
        <v>298.63880003143453</v>
      </c>
      <c r="Q2906" s="17">
        <v>624.06602841942868</v>
      </c>
      <c r="R2906" s="13"/>
      <c r="S2906" s="13"/>
      <c r="T2906" s="13"/>
      <c r="U2906" s="13"/>
      <c r="V2906" s="13"/>
      <c r="W2906" s="13"/>
    </row>
    <row r="2907" spans="1:23" x14ac:dyDescent="0.2">
      <c r="A2907"/>
      <c r="B2907"/>
      <c r="C2907"/>
      <c r="D2907"/>
      <c r="E2907"/>
      <c r="F2907"/>
      <c r="G2907"/>
      <c r="H2907"/>
      <c r="I2907"/>
      <c r="J2907"/>
      <c r="K2907" s="13" t="s">
        <v>232</v>
      </c>
      <c r="L2907" s="13" t="s">
        <v>381</v>
      </c>
      <c r="M2907" s="13" t="s">
        <v>382</v>
      </c>
      <c r="N2907" s="15">
        <v>38</v>
      </c>
      <c r="O2907" s="16">
        <v>0</v>
      </c>
      <c r="P2907" s="17">
        <v>0</v>
      </c>
      <c r="Q2907" s="17">
        <v>0</v>
      </c>
      <c r="R2907" s="13"/>
      <c r="S2907" s="13"/>
      <c r="T2907" s="13"/>
      <c r="U2907" s="13"/>
      <c r="V2907" s="13"/>
      <c r="W2907" s="13"/>
    </row>
    <row r="2908" spans="1:23" x14ac:dyDescent="0.2">
      <c r="A2908"/>
      <c r="B2908"/>
      <c r="C2908"/>
      <c r="D2908"/>
      <c r="E2908"/>
      <c r="F2908"/>
      <c r="G2908"/>
      <c r="H2908"/>
      <c r="I2908"/>
      <c r="J2908"/>
      <c r="K2908" s="13" t="s">
        <v>232</v>
      </c>
      <c r="L2908" s="13" t="s">
        <v>411</v>
      </c>
      <c r="M2908" s="13" t="s">
        <v>362</v>
      </c>
      <c r="N2908" s="15">
        <v>0</v>
      </c>
      <c r="O2908" s="16">
        <v>16.818979137842966</v>
      </c>
      <c r="P2908" s="17">
        <v>0</v>
      </c>
      <c r="Q2908" s="17">
        <v>0</v>
      </c>
      <c r="R2908" s="13"/>
      <c r="S2908" s="13"/>
      <c r="T2908" s="13"/>
      <c r="U2908" s="13"/>
      <c r="V2908" s="13"/>
      <c r="W2908" s="13"/>
    </row>
    <row r="2909" spans="1:23" x14ac:dyDescent="0.2">
      <c r="A2909"/>
      <c r="B2909"/>
      <c r="C2909"/>
      <c r="D2909"/>
      <c r="E2909"/>
      <c r="F2909"/>
      <c r="G2909"/>
      <c r="H2909"/>
      <c r="I2909"/>
      <c r="J2909"/>
      <c r="K2909" s="13" t="s">
        <v>232</v>
      </c>
      <c r="L2909" s="13" t="s">
        <v>413</v>
      </c>
      <c r="M2909" s="13" t="s">
        <v>428</v>
      </c>
      <c r="N2909" s="15">
        <v>7</v>
      </c>
      <c r="O2909" s="16">
        <v>0</v>
      </c>
      <c r="P2909" s="17">
        <v>0</v>
      </c>
      <c r="Q2909" s="17">
        <v>0</v>
      </c>
      <c r="R2909" s="13"/>
      <c r="S2909" s="13"/>
      <c r="T2909" s="13"/>
      <c r="U2909" s="13"/>
      <c r="V2909" s="13"/>
      <c r="W2909" s="13"/>
    </row>
    <row r="2910" spans="1:23" x14ac:dyDescent="0.2">
      <c r="A2910"/>
      <c r="B2910"/>
      <c r="C2910"/>
      <c r="D2910"/>
      <c r="E2910"/>
      <c r="F2910"/>
      <c r="G2910"/>
      <c r="H2910"/>
      <c r="I2910"/>
      <c r="J2910"/>
      <c r="K2910" s="13" t="s">
        <v>232</v>
      </c>
      <c r="L2910" s="13" t="s">
        <v>603</v>
      </c>
      <c r="M2910" s="13" t="s">
        <v>385</v>
      </c>
      <c r="N2910" s="15">
        <v>6</v>
      </c>
      <c r="O2910" s="16">
        <v>0</v>
      </c>
      <c r="P2910" s="17">
        <v>0</v>
      </c>
      <c r="Q2910" s="17">
        <v>0</v>
      </c>
      <c r="R2910" s="13"/>
      <c r="S2910" s="13"/>
      <c r="T2910" s="13"/>
      <c r="U2910" s="13"/>
      <c r="V2910" s="13"/>
      <c r="W2910" s="13"/>
    </row>
    <row r="2911" spans="1:23" x14ac:dyDescent="0.2">
      <c r="A2911"/>
      <c r="B2911"/>
      <c r="C2911"/>
      <c r="D2911"/>
      <c r="E2911"/>
      <c r="F2911"/>
      <c r="G2911"/>
      <c r="H2911"/>
      <c r="I2911"/>
      <c r="J2911"/>
      <c r="K2911" s="13" t="s">
        <v>232</v>
      </c>
      <c r="L2911" s="13" t="s">
        <v>606</v>
      </c>
      <c r="M2911" s="13" t="s">
        <v>430</v>
      </c>
      <c r="N2911" s="15">
        <v>6</v>
      </c>
      <c r="O2911" s="16">
        <v>0</v>
      </c>
      <c r="P2911" s="17">
        <v>0</v>
      </c>
      <c r="Q2911" s="17">
        <v>0</v>
      </c>
      <c r="R2911" s="13"/>
      <c r="S2911" s="13"/>
      <c r="T2911" s="13"/>
      <c r="U2911" s="13"/>
      <c r="V2911" s="13"/>
      <c r="W2911" s="13"/>
    </row>
    <row r="2912" spans="1:23" x14ac:dyDescent="0.2">
      <c r="A2912"/>
      <c r="B2912"/>
      <c r="C2912"/>
      <c r="D2912"/>
      <c r="E2912"/>
      <c r="F2912"/>
      <c r="G2912"/>
      <c r="H2912"/>
      <c r="I2912"/>
      <c r="J2912"/>
      <c r="K2912" s="13" t="s">
        <v>232</v>
      </c>
      <c r="L2912" s="13" t="s">
        <v>608</v>
      </c>
      <c r="M2912" s="13" t="s">
        <v>432</v>
      </c>
      <c r="N2912" s="15">
        <v>32</v>
      </c>
      <c r="O2912" s="16">
        <v>0</v>
      </c>
      <c r="P2912" s="17">
        <v>0</v>
      </c>
      <c r="Q2912" s="17">
        <v>0</v>
      </c>
      <c r="R2912" s="13"/>
      <c r="S2912" s="13"/>
      <c r="T2912" s="13"/>
      <c r="U2912" s="13"/>
      <c r="V2912" s="13"/>
      <c r="W2912" s="13"/>
    </row>
    <row r="2913" spans="1:23" x14ac:dyDescent="0.2">
      <c r="A2913"/>
      <c r="B2913"/>
      <c r="C2913"/>
      <c r="D2913"/>
      <c r="E2913"/>
      <c r="F2913"/>
      <c r="G2913"/>
      <c r="H2913"/>
      <c r="I2913"/>
      <c r="J2913"/>
      <c r="K2913" s="13" t="s">
        <v>232</v>
      </c>
      <c r="L2913" s="13" t="s">
        <v>613</v>
      </c>
      <c r="M2913" s="13" t="s">
        <v>444</v>
      </c>
      <c r="N2913" s="15">
        <v>0</v>
      </c>
      <c r="O2913" s="16">
        <v>21.365933859657996</v>
      </c>
      <c r="P2913" s="17">
        <v>0</v>
      </c>
      <c r="Q2913" s="17">
        <v>0</v>
      </c>
      <c r="R2913" s="13"/>
      <c r="S2913" s="13"/>
      <c r="T2913" s="13"/>
      <c r="U2913" s="13"/>
      <c r="V2913" s="13"/>
      <c r="W2913" s="13"/>
    </row>
    <row r="2914" spans="1:23" x14ac:dyDescent="0.2">
      <c r="A2914"/>
      <c r="B2914"/>
      <c r="C2914"/>
      <c r="D2914"/>
      <c r="E2914"/>
      <c r="F2914"/>
      <c r="G2914"/>
      <c r="H2914"/>
      <c r="I2914"/>
      <c r="J2914"/>
      <c r="K2914" s="13" t="s">
        <v>232</v>
      </c>
      <c r="L2914" s="13" t="s">
        <v>611</v>
      </c>
      <c r="M2914" s="13" t="s">
        <v>423</v>
      </c>
      <c r="N2914" s="15">
        <v>0</v>
      </c>
      <c r="O2914" s="16">
        <v>32.509435359062309</v>
      </c>
      <c r="P2914" s="17">
        <v>0</v>
      </c>
      <c r="Q2914" s="17">
        <v>0</v>
      </c>
      <c r="R2914" s="13"/>
      <c r="S2914" s="13"/>
      <c r="T2914" s="13"/>
      <c r="U2914" s="13"/>
      <c r="V2914" s="13"/>
      <c r="W2914" s="13"/>
    </row>
    <row r="2915" spans="1:23" x14ac:dyDescent="0.2">
      <c r="A2915"/>
      <c r="B2915"/>
      <c r="C2915"/>
      <c r="D2915"/>
      <c r="E2915"/>
      <c r="F2915"/>
      <c r="G2915"/>
      <c r="H2915"/>
      <c r="I2915"/>
      <c r="J2915"/>
      <c r="K2915" s="13" t="s">
        <v>587</v>
      </c>
      <c r="L2915" s="13" t="s">
        <v>435</v>
      </c>
      <c r="M2915" s="13" t="s">
        <v>364</v>
      </c>
      <c r="N2915" s="15">
        <v>2</v>
      </c>
      <c r="O2915" s="16">
        <v>0</v>
      </c>
      <c r="P2915" s="17">
        <v>0</v>
      </c>
      <c r="Q2915" s="17">
        <v>0</v>
      </c>
      <c r="R2915" s="13"/>
      <c r="S2915" s="13"/>
      <c r="T2915" s="13"/>
      <c r="U2915" s="13"/>
      <c r="V2915" s="13"/>
      <c r="W2915" s="13"/>
    </row>
    <row r="2916" spans="1:23" x14ac:dyDescent="0.2">
      <c r="A2916"/>
      <c r="B2916"/>
      <c r="C2916"/>
      <c r="D2916"/>
      <c r="E2916"/>
      <c r="F2916"/>
      <c r="G2916"/>
      <c r="H2916"/>
      <c r="I2916"/>
      <c r="J2916"/>
      <c r="K2916" s="13" t="s">
        <v>587</v>
      </c>
      <c r="L2916" s="13" t="s">
        <v>387</v>
      </c>
      <c r="M2916" s="13" t="s">
        <v>386</v>
      </c>
      <c r="N2916" s="15">
        <v>0</v>
      </c>
      <c r="O2916" s="16">
        <v>0</v>
      </c>
      <c r="P2916" s="17">
        <v>11314.205399698147</v>
      </c>
      <c r="Q2916" s="17">
        <v>0</v>
      </c>
      <c r="R2916" s="13"/>
      <c r="S2916" s="13"/>
      <c r="T2916" s="13"/>
      <c r="U2916" s="13"/>
      <c r="V2916" s="13"/>
      <c r="W2916" s="13"/>
    </row>
    <row r="2917" spans="1:23" x14ac:dyDescent="0.2">
      <c r="A2917"/>
      <c r="B2917"/>
      <c r="C2917"/>
      <c r="D2917"/>
      <c r="E2917"/>
      <c r="F2917"/>
      <c r="G2917"/>
      <c r="H2917"/>
      <c r="I2917"/>
      <c r="J2917"/>
      <c r="K2917" s="13" t="s">
        <v>587</v>
      </c>
      <c r="L2917" s="13" t="s">
        <v>389</v>
      </c>
      <c r="M2917" s="13" t="s">
        <v>388</v>
      </c>
      <c r="N2917" s="15">
        <v>0</v>
      </c>
      <c r="O2917" s="16">
        <v>0</v>
      </c>
      <c r="P2917" s="17">
        <v>9.3321499990965471</v>
      </c>
      <c r="Q2917" s="17">
        <v>0</v>
      </c>
      <c r="R2917" s="13"/>
      <c r="S2917" s="13"/>
      <c r="T2917" s="13"/>
      <c r="U2917" s="13"/>
      <c r="V2917" s="13"/>
      <c r="W2917" s="13"/>
    </row>
    <row r="2918" spans="1:23" x14ac:dyDescent="0.2">
      <c r="A2918"/>
      <c r="B2918"/>
      <c r="C2918"/>
      <c r="D2918"/>
      <c r="E2918"/>
      <c r="F2918"/>
      <c r="G2918"/>
      <c r="H2918"/>
      <c r="I2918"/>
      <c r="J2918"/>
      <c r="K2918" s="13" t="s">
        <v>587</v>
      </c>
      <c r="L2918" s="13" t="s">
        <v>542</v>
      </c>
      <c r="M2918" s="13" t="s">
        <v>390</v>
      </c>
      <c r="N2918" s="15">
        <v>0</v>
      </c>
      <c r="O2918" s="16">
        <v>0</v>
      </c>
      <c r="P2918" s="17">
        <v>114.92364999222326</v>
      </c>
      <c r="Q2918" s="17">
        <v>0</v>
      </c>
      <c r="R2918" s="13"/>
      <c r="S2918" s="13"/>
      <c r="T2918" s="13"/>
      <c r="U2918" s="13"/>
      <c r="V2918" s="13"/>
      <c r="W2918" s="13"/>
    </row>
    <row r="2919" spans="1:23" x14ac:dyDescent="0.2">
      <c r="A2919"/>
      <c r="B2919"/>
      <c r="C2919"/>
      <c r="D2919"/>
      <c r="E2919"/>
      <c r="F2919"/>
      <c r="G2919"/>
      <c r="H2919"/>
      <c r="I2919"/>
      <c r="J2919"/>
      <c r="K2919" s="13" t="s">
        <v>587</v>
      </c>
      <c r="L2919" s="13" t="s">
        <v>486</v>
      </c>
      <c r="M2919" s="13" t="s">
        <v>439</v>
      </c>
      <c r="N2919" s="15">
        <v>0</v>
      </c>
      <c r="O2919" s="16">
        <v>0</v>
      </c>
      <c r="P2919" s="17">
        <v>69.275650004676393</v>
      </c>
      <c r="Q2919" s="17">
        <v>0</v>
      </c>
      <c r="R2919" s="13"/>
      <c r="S2919" s="13"/>
      <c r="T2919" s="13"/>
      <c r="U2919" s="13"/>
      <c r="V2919" s="13"/>
      <c r="W2919" s="13"/>
    </row>
    <row r="2920" spans="1:23" x14ac:dyDescent="0.2">
      <c r="A2920"/>
      <c r="B2920"/>
      <c r="C2920"/>
      <c r="D2920"/>
      <c r="E2920"/>
      <c r="F2920"/>
      <c r="G2920"/>
      <c r="H2920"/>
      <c r="I2920"/>
      <c r="J2920"/>
      <c r="K2920" s="13" t="s">
        <v>587</v>
      </c>
      <c r="L2920" s="13" t="s">
        <v>399</v>
      </c>
      <c r="M2920" s="13" t="s">
        <v>400</v>
      </c>
      <c r="N2920" s="15">
        <v>0</v>
      </c>
      <c r="O2920" s="16">
        <v>0</v>
      </c>
      <c r="P2920" s="17">
        <v>173.6271500177713</v>
      </c>
      <c r="Q2920" s="17">
        <v>0</v>
      </c>
      <c r="R2920" s="13"/>
      <c r="S2920" s="13"/>
      <c r="T2920" s="13"/>
      <c r="U2920" s="13"/>
      <c r="V2920" s="13"/>
      <c r="W2920" s="13"/>
    </row>
    <row r="2921" spans="1:23" x14ac:dyDescent="0.2">
      <c r="A2921"/>
      <c r="B2921"/>
      <c r="C2921"/>
      <c r="D2921"/>
      <c r="E2921"/>
      <c r="F2921"/>
      <c r="G2921"/>
      <c r="H2921"/>
      <c r="I2921"/>
      <c r="J2921"/>
      <c r="K2921" s="13" t="s">
        <v>587</v>
      </c>
      <c r="L2921" s="13" t="s">
        <v>401</v>
      </c>
      <c r="M2921" s="13" t="s">
        <v>360</v>
      </c>
      <c r="N2921" s="15">
        <v>0</v>
      </c>
      <c r="O2921" s="16">
        <v>0</v>
      </c>
      <c r="P2921" s="17">
        <v>370.57821018106551</v>
      </c>
      <c r="Q2921" s="17">
        <v>0</v>
      </c>
      <c r="R2921" s="13"/>
      <c r="S2921" s="13"/>
      <c r="T2921" s="13"/>
      <c r="U2921" s="13"/>
      <c r="V2921" s="13"/>
      <c r="W2921" s="13"/>
    </row>
    <row r="2922" spans="1:23" x14ac:dyDescent="0.2">
      <c r="A2922"/>
      <c r="B2922"/>
      <c r="C2922"/>
      <c r="D2922"/>
      <c r="E2922"/>
      <c r="F2922"/>
      <c r="G2922"/>
      <c r="H2922"/>
      <c r="I2922"/>
      <c r="J2922"/>
      <c r="K2922" s="13" t="s">
        <v>587</v>
      </c>
      <c r="L2922" s="13" t="s">
        <v>402</v>
      </c>
      <c r="M2922" s="13" t="s">
        <v>403</v>
      </c>
      <c r="N2922" s="15">
        <v>0</v>
      </c>
      <c r="O2922" s="16">
        <v>0</v>
      </c>
      <c r="P2922" s="17">
        <v>3708.4641999133796</v>
      </c>
      <c r="Q2922" s="17">
        <v>0</v>
      </c>
      <c r="R2922" s="13"/>
      <c r="S2922" s="13"/>
      <c r="T2922" s="13"/>
      <c r="U2922" s="13"/>
      <c r="V2922" s="13"/>
      <c r="W2922" s="13"/>
    </row>
    <row r="2923" spans="1:23" x14ac:dyDescent="0.2">
      <c r="A2923"/>
      <c r="B2923"/>
      <c r="C2923"/>
      <c r="D2923"/>
      <c r="E2923"/>
      <c r="F2923"/>
      <c r="G2923"/>
      <c r="H2923"/>
      <c r="I2923"/>
      <c r="J2923"/>
      <c r="K2923" s="13" t="s">
        <v>587</v>
      </c>
      <c r="L2923" s="13" t="s">
        <v>448</v>
      </c>
      <c r="M2923" s="13" t="s">
        <v>366</v>
      </c>
      <c r="N2923" s="15">
        <v>0</v>
      </c>
      <c r="O2923" s="16">
        <v>0</v>
      </c>
      <c r="P2923" s="17">
        <v>169.01653992367878</v>
      </c>
      <c r="Q2923" s="17">
        <v>0</v>
      </c>
      <c r="R2923" s="13"/>
      <c r="S2923" s="13"/>
      <c r="T2923" s="13"/>
      <c r="U2923" s="13"/>
      <c r="V2923" s="13"/>
      <c r="W2923" s="13"/>
    </row>
    <row r="2924" spans="1:23" x14ac:dyDescent="0.2">
      <c r="A2924"/>
      <c r="B2924"/>
      <c r="C2924"/>
      <c r="D2924"/>
      <c r="E2924"/>
      <c r="F2924"/>
      <c r="G2924"/>
      <c r="H2924"/>
      <c r="I2924"/>
      <c r="J2924"/>
      <c r="K2924" s="13" t="s">
        <v>587</v>
      </c>
      <c r="L2924" s="13" t="s">
        <v>462</v>
      </c>
      <c r="M2924" s="13" t="s">
        <v>370</v>
      </c>
      <c r="N2924" s="15">
        <v>0</v>
      </c>
      <c r="O2924" s="16">
        <v>0</v>
      </c>
      <c r="P2924" s="17">
        <v>119.68550004012423</v>
      </c>
      <c r="Q2924" s="17">
        <v>0</v>
      </c>
      <c r="R2924" s="13"/>
      <c r="S2924" s="13"/>
      <c r="T2924" s="13"/>
      <c r="U2924" s="13"/>
      <c r="V2924" s="13"/>
      <c r="W2924" s="13"/>
    </row>
    <row r="2925" spans="1:23" x14ac:dyDescent="0.2">
      <c r="A2925"/>
      <c r="B2925"/>
      <c r="C2925"/>
      <c r="D2925"/>
      <c r="E2925"/>
      <c r="F2925"/>
      <c r="G2925"/>
      <c r="H2925"/>
      <c r="I2925"/>
      <c r="J2925"/>
      <c r="K2925" s="13" t="s">
        <v>587</v>
      </c>
      <c r="L2925" s="13" t="s">
        <v>406</v>
      </c>
      <c r="M2925" s="13" t="s">
        <v>361</v>
      </c>
      <c r="N2925" s="15">
        <v>0</v>
      </c>
      <c r="O2925" s="16">
        <v>0</v>
      </c>
      <c r="P2925" s="17">
        <v>341.78945000606529</v>
      </c>
      <c r="Q2925" s="17">
        <v>474.72412980252636</v>
      </c>
      <c r="R2925" s="13"/>
      <c r="S2925" s="13"/>
      <c r="T2925" s="13"/>
      <c r="U2925" s="13"/>
      <c r="V2925" s="13"/>
      <c r="W2925" s="13"/>
    </row>
    <row r="2926" spans="1:23" x14ac:dyDescent="0.2">
      <c r="A2926"/>
      <c r="B2926"/>
      <c r="C2926"/>
      <c r="D2926"/>
      <c r="E2926"/>
      <c r="F2926"/>
      <c r="G2926"/>
      <c r="H2926"/>
      <c r="I2926"/>
      <c r="J2926"/>
      <c r="K2926" s="13" t="s">
        <v>587</v>
      </c>
      <c r="L2926" s="13" t="s">
        <v>381</v>
      </c>
      <c r="M2926" s="13" t="s">
        <v>382</v>
      </c>
      <c r="N2926" s="15">
        <v>42</v>
      </c>
      <c r="O2926" s="16">
        <v>0</v>
      </c>
      <c r="P2926" s="17">
        <v>0</v>
      </c>
      <c r="Q2926" s="17">
        <v>0</v>
      </c>
      <c r="R2926" s="13"/>
      <c r="S2926" s="13"/>
      <c r="T2926" s="13"/>
      <c r="U2926" s="13"/>
      <c r="V2926" s="13"/>
      <c r="W2926" s="13"/>
    </row>
    <row r="2927" spans="1:23" x14ac:dyDescent="0.2">
      <c r="A2927"/>
      <c r="B2927"/>
      <c r="C2927"/>
      <c r="D2927"/>
      <c r="E2927"/>
      <c r="F2927"/>
      <c r="G2927"/>
      <c r="H2927"/>
      <c r="I2927"/>
      <c r="J2927"/>
      <c r="K2927" s="13" t="s">
        <v>587</v>
      </c>
      <c r="L2927" s="13" t="s">
        <v>411</v>
      </c>
      <c r="M2927" s="13" t="s">
        <v>362</v>
      </c>
      <c r="N2927" s="15">
        <v>0</v>
      </c>
      <c r="O2927" s="16">
        <v>6.3766367378900224</v>
      </c>
      <c r="P2927" s="17">
        <v>0</v>
      </c>
      <c r="Q2927" s="17">
        <v>0</v>
      </c>
      <c r="R2927" s="13"/>
      <c r="S2927" s="13"/>
      <c r="T2927" s="13"/>
      <c r="U2927" s="13"/>
      <c r="V2927" s="13"/>
      <c r="W2927" s="13"/>
    </row>
    <row r="2928" spans="1:23" x14ac:dyDescent="0.2">
      <c r="A2928"/>
      <c r="B2928"/>
      <c r="C2928"/>
      <c r="D2928"/>
      <c r="E2928"/>
      <c r="F2928"/>
      <c r="G2928"/>
      <c r="H2928"/>
      <c r="I2928"/>
      <c r="J2928"/>
      <c r="K2928" s="13" t="s">
        <v>587</v>
      </c>
      <c r="L2928" s="13" t="s">
        <v>413</v>
      </c>
      <c r="M2928" s="13" t="s">
        <v>428</v>
      </c>
      <c r="N2928" s="15">
        <v>22</v>
      </c>
      <c r="O2928" s="16">
        <v>0</v>
      </c>
      <c r="P2928" s="17">
        <v>0</v>
      </c>
      <c r="Q2928" s="17">
        <v>0</v>
      </c>
      <c r="R2928" s="13"/>
      <c r="S2928" s="13"/>
      <c r="T2928" s="13"/>
      <c r="U2928" s="13"/>
      <c r="V2928" s="13"/>
      <c r="W2928" s="13"/>
    </row>
    <row r="2929" spans="1:23" x14ac:dyDescent="0.2">
      <c r="A2929"/>
      <c r="B2929"/>
      <c r="C2929"/>
      <c r="D2929"/>
      <c r="E2929"/>
      <c r="F2929"/>
      <c r="G2929"/>
      <c r="H2929"/>
      <c r="I2929"/>
      <c r="J2929"/>
      <c r="K2929" s="13" t="s">
        <v>587</v>
      </c>
      <c r="L2929" s="13" t="s">
        <v>603</v>
      </c>
      <c r="M2929" s="13" t="s">
        <v>385</v>
      </c>
      <c r="N2929" s="15">
        <v>6</v>
      </c>
      <c r="O2929" s="16">
        <v>0</v>
      </c>
      <c r="P2929" s="17">
        <v>0</v>
      </c>
      <c r="Q2929" s="17">
        <v>0</v>
      </c>
      <c r="R2929" s="13"/>
      <c r="S2929" s="13"/>
      <c r="T2929" s="13"/>
      <c r="U2929" s="13"/>
      <c r="V2929" s="13"/>
      <c r="W2929" s="13"/>
    </row>
    <row r="2930" spans="1:23" x14ac:dyDescent="0.2">
      <c r="A2930"/>
      <c r="B2930"/>
      <c r="C2930"/>
      <c r="D2930"/>
      <c r="E2930"/>
      <c r="F2930"/>
      <c r="G2930"/>
      <c r="H2930"/>
      <c r="I2930"/>
      <c r="J2930"/>
      <c r="K2930" s="13" t="s">
        <v>587</v>
      </c>
      <c r="L2930" s="13" t="s">
        <v>606</v>
      </c>
      <c r="M2930" s="13" t="s">
        <v>430</v>
      </c>
      <c r="N2930" s="15">
        <v>30</v>
      </c>
      <c r="O2930" s="16">
        <v>0</v>
      </c>
      <c r="P2930" s="17">
        <v>0</v>
      </c>
      <c r="Q2930" s="17">
        <v>0</v>
      </c>
      <c r="R2930" s="13"/>
      <c r="S2930" s="13"/>
      <c r="T2930" s="13"/>
      <c r="U2930" s="13"/>
      <c r="V2930" s="13"/>
      <c r="W2930" s="13"/>
    </row>
    <row r="2931" spans="1:23" x14ac:dyDescent="0.2">
      <c r="A2931"/>
      <c r="B2931"/>
      <c r="C2931"/>
      <c r="D2931"/>
      <c r="E2931"/>
      <c r="F2931"/>
      <c r="G2931"/>
      <c r="H2931"/>
      <c r="I2931"/>
      <c r="J2931"/>
      <c r="K2931" s="13" t="s">
        <v>587</v>
      </c>
      <c r="L2931" s="13" t="s">
        <v>608</v>
      </c>
      <c r="M2931" s="13" t="s">
        <v>432</v>
      </c>
      <c r="N2931" s="15">
        <v>41</v>
      </c>
      <c r="O2931" s="16">
        <v>0</v>
      </c>
      <c r="P2931" s="17">
        <v>0</v>
      </c>
      <c r="Q2931" s="17">
        <v>0</v>
      </c>
      <c r="R2931" s="13"/>
      <c r="S2931" s="13"/>
      <c r="T2931" s="13"/>
      <c r="U2931" s="13"/>
      <c r="V2931" s="13"/>
      <c r="W2931" s="13"/>
    </row>
    <row r="2932" spans="1:23" x14ac:dyDescent="0.2">
      <c r="A2932"/>
      <c r="B2932"/>
      <c r="C2932"/>
      <c r="D2932"/>
      <c r="E2932"/>
      <c r="F2932"/>
      <c r="G2932"/>
      <c r="H2932"/>
      <c r="I2932"/>
      <c r="J2932"/>
      <c r="K2932" s="13" t="s">
        <v>587</v>
      </c>
      <c r="L2932" s="13" t="s">
        <v>611</v>
      </c>
      <c r="M2932" s="13" t="s">
        <v>423</v>
      </c>
      <c r="N2932" s="15">
        <v>0</v>
      </c>
      <c r="O2932" s="16">
        <v>398.71319551972442</v>
      </c>
      <c r="P2932" s="17">
        <v>0</v>
      </c>
      <c r="Q2932" s="17">
        <v>0</v>
      </c>
      <c r="R2932" s="13"/>
      <c r="S2932" s="13"/>
      <c r="T2932" s="13"/>
      <c r="U2932" s="13"/>
      <c r="V2932" s="13"/>
      <c r="W2932" s="13"/>
    </row>
    <row r="2933" spans="1:23" x14ac:dyDescent="0.2">
      <c r="A2933"/>
      <c r="B2933"/>
      <c r="C2933"/>
      <c r="D2933"/>
      <c r="E2933"/>
      <c r="F2933"/>
      <c r="G2933"/>
      <c r="H2933"/>
      <c r="I2933"/>
      <c r="J2933"/>
      <c r="K2933" s="13" t="s">
        <v>587</v>
      </c>
      <c r="L2933" s="13" t="s">
        <v>614</v>
      </c>
      <c r="M2933" s="13" t="s">
        <v>447</v>
      </c>
      <c r="N2933" s="15">
        <v>1</v>
      </c>
      <c r="O2933" s="16">
        <v>0</v>
      </c>
      <c r="P2933" s="17">
        <v>0</v>
      </c>
      <c r="Q2933" s="17">
        <v>0</v>
      </c>
      <c r="R2933" s="13"/>
      <c r="S2933" s="13"/>
      <c r="T2933" s="13"/>
      <c r="U2933" s="13"/>
      <c r="V2933" s="13"/>
      <c r="W2933" s="13"/>
    </row>
    <row r="2934" spans="1:23" x14ac:dyDescent="0.2">
      <c r="A2934"/>
      <c r="B2934"/>
      <c r="C2934"/>
      <c r="D2934"/>
      <c r="E2934"/>
      <c r="F2934"/>
      <c r="G2934"/>
      <c r="H2934"/>
      <c r="I2934"/>
      <c r="J2934"/>
      <c r="K2934" s="13" t="s">
        <v>587</v>
      </c>
      <c r="L2934" s="13" t="s">
        <v>469</v>
      </c>
      <c r="M2934" s="13" t="s">
        <v>426</v>
      </c>
      <c r="N2934" s="15">
        <v>1</v>
      </c>
      <c r="O2934" s="16">
        <v>0</v>
      </c>
      <c r="P2934" s="17">
        <v>0</v>
      </c>
      <c r="Q2934" s="17">
        <v>0</v>
      </c>
      <c r="R2934" s="13"/>
      <c r="S2934" s="13"/>
      <c r="T2934" s="13"/>
      <c r="U2934" s="13"/>
      <c r="V2934" s="13"/>
      <c r="W2934" s="13"/>
    </row>
    <row r="2935" spans="1:23" x14ac:dyDescent="0.2">
      <c r="A2935"/>
      <c r="B2935"/>
      <c r="C2935"/>
      <c r="D2935"/>
      <c r="E2935"/>
      <c r="F2935"/>
      <c r="G2935"/>
      <c r="H2935"/>
      <c r="I2935"/>
      <c r="J2935"/>
      <c r="K2935" s="13" t="s">
        <v>588</v>
      </c>
      <c r="L2935" s="13" t="s">
        <v>435</v>
      </c>
      <c r="M2935" s="13" t="s">
        <v>364</v>
      </c>
      <c r="N2935" s="15">
        <v>4</v>
      </c>
      <c r="O2935" s="16">
        <v>0</v>
      </c>
      <c r="P2935" s="17">
        <v>0</v>
      </c>
      <c r="Q2935" s="17">
        <v>0</v>
      </c>
      <c r="R2935" s="13"/>
      <c r="S2935" s="13"/>
      <c r="T2935" s="13"/>
      <c r="U2935" s="13"/>
      <c r="V2935" s="13"/>
      <c r="W2935" s="13"/>
    </row>
    <row r="2936" spans="1:23" x14ac:dyDescent="0.2">
      <c r="A2936"/>
      <c r="B2936"/>
      <c r="C2936"/>
      <c r="D2936"/>
      <c r="E2936"/>
      <c r="F2936"/>
      <c r="G2936"/>
      <c r="H2936"/>
      <c r="I2936"/>
      <c r="J2936"/>
      <c r="K2936" s="13" t="s">
        <v>588</v>
      </c>
      <c r="L2936" s="13" t="s">
        <v>387</v>
      </c>
      <c r="M2936" s="13" t="s">
        <v>386</v>
      </c>
      <c r="N2936" s="15">
        <v>0</v>
      </c>
      <c r="O2936" s="16">
        <v>0</v>
      </c>
      <c r="P2936" s="17">
        <v>3965.0716282568087</v>
      </c>
      <c r="Q2936" s="17">
        <v>0</v>
      </c>
      <c r="R2936" s="13"/>
      <c r="S2936" s="13"/>
      <c r="T2936" s="13"/>
      <c r="U2936" s="13"/>
      <c r="V2936" s="13"/>
      <c r="W2936" s="13"/>
    </row>
    <row r="2937" spans="1:23" x14ac:dyDescent="0.2">
      <c r="A2937"/>
      <c r="B2937"/>
      <c r="C2937"/>
      <c r="D2937"/>
      <c r="E2937"/>
      <c r="F2937"/>
      <c r="G2937"/>
      <c r="H2937"/>
      <c r="I2937"/>
      <c r="J2937"/>
      <c r="K2937" s="13" t="s">
        <v>588</v>
      </c>
      <c r="L2937" s="13" t="s">
        <v>389</v>
      </c>
      <c r="M2937" s="13" t="s">
        <v>388</v>
      </c>
      <c r="N2937" s="15">
        <v>0</v>
      </c>
      <c r="O2937" s="16">
        <v>0</v>
      </c>
      <c r="P2937" s="17">
        <v>158.80795001349458</v>
      </c>
      <c r="Q2937" s="17">
        <v>0</v>
      </c>
      <c r="R2937" s="13"/>
      <c r="S2937" s="13"/>
      <c r="T2937" s="13"/>
      <c r="U2937" s="13"/>
      <c r="V2937" s="13"/>
      <c r="W2937" s="13"/>
    </row>
    <row r="2938" spans="1:23" x14ac:dyDescent="0.2">
      <c r="A2938"/>
      <c r="B2938"/>
      <c r="C2938"/>
      <c r="D2938"/>
      <c r="E2938"/>
      <c r="F2938"/>
      <c r="G2938"/>
      <c r="H2938"/>
      <c r="I2938"/>
      <c r="J2938"/>
      <c r="K2938" s="13" t="s">
        <v>588</v>
      </c>
      <c r="L2938" s="13" t="s">
        <v>542</v>
      </c>
      <c r="M2938" s="13" t="s">
        <v>390</v>
      </c>
      <c r="N2938" s="15">
        <v>0</v>
      </c>
      <c r="O2938" s="16">
        <v>0</v>
      </c>
      <c r="P2938" s="17">
        <v>20.897500002653103</v>
      </c>
      <c r="Q2938" s="17">
        <v>0</v>
      </c>
      <c r="R2938" s="13"/>
      <c r="S2938" s="13"/>
      <c r="T2938" s="13"/>
      <c r="U2938" s="13"/>
      <c r="V2938" s="13"/>
      <c r="W2938" s="13"/>
    </row>
    <row r="2939" spans="1:23" x14ac:dyDescent="0.2">
      <c r="A2939"/>
      <c r="B2939"/>
      <c r="C2939"/>
      <c r="D2939"/>
      <c r="E2939"/>
      <c r="F2939"/>
      <c r="G2939"/>
      <c r="H2939"/>
      <c r="I2939"/>
      <c r="J2939"/>
      <c r="K2939" s="13" t="s">
        <v>588</v>
      </c>
      <c r="L2939" s="13" t="s">
        <v>402</v>
      </c>
      <c r="M2939" s="13" t="s">
        <v>403</v>
      </c>
      <c r="N2939" s="15">
        <v>0</v>
      </c>
      <c r="O2939" s="16">
        <v>0</v>
      </c>
      <c r="P2939" s="17">
        <v>2542.7279499715455</v>
      </c>
      <c r="Q2939" s="17">
        <v>0</v>
      </c>
      <c r="R2939" s="13"/>
      <c r="S2939" s="13"/>
      <c r="T2939" s="13"/>
      <c r="U2939" s="13"/>
      <c r="V2939" s="13"/>
      <c r="W2939" s="13"/>
    </row>
    <row r="2940" spans="1:23" x14ac:dyDescent="0.2">
      <c r="A2940"/>
      <c r="B2940"/>
      <c r="C2940"/>
      <c r="D2940"/>
      <c r="E2940"/>
      <c r="F2940"/>
      <c r="G2940"/>
      <c r="H2940"/>
      <c r="I2940"/>
      <c r="J2940"/>
      <c r="K2940" s="13" t="s">
        <v>588</v>
      </c>
      <c r="L2940" s="13" t="s">
        <v>381</v>
      </c>
      <c r="M2940" s="13" t="s">
        <v>382</v>
      </c>
      <c r="N2940" s="15">
        <v>22</v>
      </c>
      <c r="O2940" s="16">
        <v>0</v>
      </c>
      <c r="P2940" s="17">
        <v>0</v>
      </c>
      <c r="Q2940" s="17">
        <v>0</v>
      </c>
      <c r="R2940" s="13"/>
      <c r="S2940" s="13"/>
      <c r="T2940" s="13"/>
      <c r="U2940" s="13"/>
      <c r="V2940" s="13"/>
      <c r="W2940" s="13"/>
    </row>
    <row r="2941" spans="1:23" x14ac:dyDescent="0.2">
      <c r="A2941"/>
      <c r="B2941"/>
      <c r="C2941"/>
      <c r="D2941"/>
      <c r="E2941"/>
      <c r="F2941"/>
      <c r="G2941"/>
      <c r="H2941"/>
      <c r="I2941"/>
      <c r="J2941"/>
      <c r="K2941" s="13" t="s">
        <v>588</v>
      </c>
      <c r="L2941" s="13" t="s">
        <v>413</v>
      </c>
      <c r="M2941" s="13" t="s">
        <v>428</v>
      </c>
      <c r="N2941" s="15">
        <v>7</v>
      </c>
      <c r="O2941" s="16">
        <v>0</v>
      </c>
      <c r="P2941" s="17">
        <v>0</v>
      </c>
      <c r="Q2941" s="17">
        <v>0</v>
      </c>
      <c r="R2941" s="13"/>
      <c r="S2941" s="13"/>
      <c r="T2941" s="13"/>
      <c r="U2941" s="13"/>
      <c r="V2941" s="13"/>
      <c r="W2941" s="13"/>
    </row>
    <row r="2942" spans="1:23" x14ac:dyDescent="0.2">
      <c r="A2942"/>
      <c r="B2942"/>
      <c r="C2942"/>
      <c r="D2942"/>
      <c r="E2942"/>
      <c r="F2942"/>
      <c r="G2942"/>
      <c r="H2942"/>
      <c r="I2942"/>
      <c r="J2942"/>
      <c r="K2942" s="13" t="s">
        <v>588</v>
      </c>
      <c r="L2942" s="13" t="s">
        <v>475</v>
      </c>
      <c r="M2942" s="13" t="s">
        <v>470</v>
      </c>
      <c r="N2942" s="15">
        <v>1</v>
      </c>
      <c r="O2942" s="16">
        <v>0</v>
      </c>
      <c r="P2942" s="17">
        <v>0</v>
      </c>
      <c r="Q2942" s="17">
        <v>0</v>
      </c>
      <c r="R2942" s="13"/>
      <c r="S2942" s="13"/>
      <c r="T2942" s="13"/>
      <c r="U2942" s="13"/>
      <c r="V2942" s="13"/>
      <c r="W2942" s="13"/>
    </row>
    <row r="2943" spans="1:23" x14ac:dyDescent="0.2">
      <c r="A2943"/>
      <c r="B2943"/>
      <c r="C2943"/>
      <c r="D2943"/>
      <c r="E2943"/>
      <c r="F2943"/>
      <c r="G2943"/>
      <c r="H2943"/>
      <c r="I2943"/>
      <c r="J2943"/>
      <c r="K2943" s="13" t="s">
        <v>588</v>
      </c>
      <c r="L2943" s="13" t="s">
        <v>603</v>
      </c>
      <c r="M2943" s="13" t="s">
        <v>385</v>
      </c>
      <c r="N2943" s="15">
        <v>1</v>
      </c>
      <c r="O2943" s="16">
        <v>0</v>
      </c>
      <c r="P2943" s="17">
        <v>0</v>
      </c>
      <c r="Q2943" s="17">
        <v>0</v>
      </c>
      <c r="R2943" s="13"/>
      <c r="S2943" s="13"/>
      <c r="T2943" s="13"/>
      <c r="U2943" s="13"/>
      <c r="V2943" s="13"/>
      <c r="W2943" s="13"/>
    </row>
    <row r="2944" spans="1:23" x14ac:dyDescent="0.2">
      <c r="A2944"/>
      <c r="B2944"/>
      <c r="C2944"/>
      <c r="D2944"/>
      <c r="E2944"/>
      <c r="F2944"/>
      <c r="G2944"/>
      <c r="H2944"/>
      <c r="I2944"/>
      <c r="J2944"/>
      <c r="K2944" s="13" t="s">
        <v>588</v>
      </c>
      <c r="L2944" s="13" t="s">
        <v>606</v>
      </c>
      <c r="M2944" s="13" t="s">
        <v>430</v>
      </c>
      <c r="N2944" s="15">
        <v>8</v>
      </c>
      <c r="O2944" s="16">
        <v>0</v>
      </c>
      <c r="P2944" s="17">
        <v>0</v>
      </c>
      <c r="Q2944" s="17">
        <v>0</v>
      </c>
      <c r="R2944" s="13"/>
      <c r="S2944" s="13"/>
      <c r="T2944" s="13"/>
      <c r="U2944" s="13"/>
      <c r="V2944" s="13"/>
      <c r="W2944" s="13"/>
    </row>
    <row r="2945" spans="1:23" x14ac:dyDescent="0.2">
      <c r="A2945"/>
      <c r="B2945"/>
      <c r="C2945"/>
      <c r="D2945"/>
      <c r="E2945"/>
      <c r="F2945"/>
      <c r="G2945"/>
      <c r="H2945"/>
      <c r="I2945"/>
      <c r="J2945"/>
      <c r="K2945" s="13" t="s">
        <v>588</v>
      </c>
      <c r="L2945" s="13" t="s">
        <v>608</v>
      </c>
      <c r="M2945" s="13" t="s">
        <v>432</v>
      </c>
      <c r="N2945" s="15">
        <v>32</v>
      </c>
      <c r="O2945" s="16">
        <v>0</v>
      </c>
      <c r="P2945" s="17">
        <v>0</v>
      </c>
      <c r="Q2945" s="17">
        <v>0</v>
      </c>
      <c r="R2945" s="13"/>
      <c r="S2945" s="13"/>
      <c r="T2945" s="13"/>
      <c r="U2945" s="13"/>
      <c r="V2945" s="13"/>
      <c r="W2945" s="13"/>
    </row>
    <row r="2946" spans="1:23" x14ac:dyDescent="0.2">
      <c r="A2946"/>
      <c r="B2946"/>
      <c r="C2946"/>
      <c r="D2946"/>
      <c r="E2946"/>
      <c r="F2946"/>
      <c r="G2946"/>
      <c r="H2946"/>
      <c r="I2946"/>
      <c r="J2946"/>
      <c r="K2946" s="13" t="s">
        <v>588</v>
      </c>
      <c r="L2946" s="13" t="s">
        <v>528</v>
      </c>
      <c r="M2946" s="13" t="s">
        <v>384</v>
      </c>
      <c r="N2946" s="15">
        <v>0</v>
      </c>
      <c r="O2946" s="16">
        <v>33.000276735754376</v>
      </c>
      <c r="P2946" s="17">
        <v>0</v>
      </c>
      <c r="Q2946" s="17">
        <v>0</v>
      </c>
      <c r="R2946" s="13"/>
      <c r="S2946" s="13"/>
      <c r="T2946" s="13"/>
      <c r="U2946" s="13"/>
      <c r="V2946" s="13"/>
      <c r="W2946" s="13"/>
    </row>
    <row r="2947" spans="1:23" x14ac:dyDescent="0.2">
      <c r="A2947"/>
      <c r="B2947"/>
      <c r="C2947"/>
      <c r="D2947"/>
      <c r="E2947"/>
      <c r="F2947"/>
      <c r="G2947"/>
      <c r="H2947"/>
      <c r="I2947"/>
      <c r="J2947"/>
      <c r="K2947" s="13" t="s">
        <v>588</v>
      </c>
      <c r="L2947" s="13" t="s">
        <v>611</v>
      </c>
      <c r="M2947" s="13" t="s">
        <v>423</v>
      </c>
      <c r="N2947" s="15">
        <v>0</v>
      </c>
      <c r="O2947" s="16">
        <v>86.416099630701936</v>
      </c>
      <c r="P2947" s="17">
        <v>0</v>
      </c>
      <c r="Q2947" s="17">
        <v>0</v>
      </c>
      <c r="R2947" s="13"/>
      <c r="S2947" s="13"/>
      <c r="T2947" s="13"/>
      <c r="U2947" s="13"/>
      <c r="V2947" s="13"/>
      <c r="W2947" s="13"/>
    </row>
    <row r="2948" spans="1:23" x14ac:dyDescent="0.2">
      <c r="A2948"/>
      <c r="B2948"/>
      <c r="C2948"/>
      <c r="D2948"/>
      <c r="E2948"/>
      <c r="F2948"/>
      <c r="G2948"/>
      <c r="H2948"/>
      <c r="I2948"/>
      <c r="J2948"/>
      <c r="K2948" s="13" t="s">
        <v>588</v>
      </c>
      <c r="L2948" s="13" t="s">
        <v>446</v>
      </c>
      <c r="M2948" s="13" t="s">
        <v>371</v>
      </c>
      <c r="N2948" s="15">
        <v>3</v>
      </c>
      <c r="O2948" s="16">
        <v>0</v>
      </c>
      <c r="P2948" s="17">
        <v>0</v>
      </c>
      <c r="Q2948" s="17">
        <v>0</v>
      </c>
      <c r="R2948" s="13"/>
      <c r="S2948" s="13"/>
      <c r="T2948" s="13"/>
      <c r="U2948" s="13"/>
      <c r="V2948" s="13"/>
      <c r="W2948" s="13"/>
    </row>
    <row r="2949" spans="1:23" x14ac:dyDescent="0.2">
      <c r="A2949"/>
      <c r="B2949"/>
      <c r="C2949"/>
      <c r="D2949"/>
      <c r="E2949"/>
      <c r="F2949"/>
      <c r="G2949"/>
      <c r="H2949"/>
      <c r="I2949"/>
      <c r="J2949"/>
      <c r="K2949" s="13" t="s">
        <v>588</v>
      </c>
      <c r="L2949" s="13" t="s">
        <v>614</v>
      </c>
      <c r="M2949" s="13" t="s">
        <v>447</v>
      </c>
      <c r="N2949" s="15">
        <v>3</v>
      </c>
      <c r="O2949" s="16">
        <v>0</v>
      </c>
      <c r="P2949" s="17">
        <v>0</v>
      </c>
      <c r="Q2949" s="17">
        <v>0</v>
      </c>
      <c r="R2949" s="13"/>
      <c r="S2949" s="13"/>
      <c r="T2949" s="13"/>
      <c r="U2949" s="13"/>
      <c r="V2949" s="13"/>
      <c r="W2949" s="13"/>
    </row>
    <row r="2950" spans="1:23" x14ac:dyDescent="0.2">
      <c r="A2950"/>
      <c r="B2950"/>
      <c r="C2950"/>
      <c r="D2950"/>
      <c r="E2950"/>
      <c r="F2950"/>
      <c r="G2950"/>
      <c r="H2950"/>
      <c r="I2950"/>
      <c r="J2950"/>
      <c r="K2950" s="13" t="s">
        <v>234</v>
      </c>
      <c r="L2950" s="13" t="s">
        <v>435</v>
      </c>
      <c r="M2950" s="13" t="s">
        <v>364</v>
      </c>
      <c r="N2950" s="15">
        <v>0</v>
      </c>
      <c r="O2950" s="16">
        <v>0</v>
      </c>
      <c r="P2950" s="17">
        <v>70.425100001599731</v>
      </c>
      <c r="Q2950" s="17">
        <v>0</v>
      </c>
      <c r="R2950" s="13"/>
      <c r="S2950" s="13"/>
      <c r="T2950" s="13"/>
      <c r="U2950" s="13"/>
      <c r="V2950" s="13"/>
      <c r="W2950" s="13"/>
    </row>
    <row r="2951" spans="1:23" x14ac:dyDescent="0.2">
      <c r="A2951"/>
      <c r="B2951"/>
      <c r="C2951"/>
      <c r="D2951"/>
      <c r="E2951"/>
      <c r="F2951"/>
      <c r="G2951"/>
      <c r="H2951"/>
      <c r="I2951"/>
      <c r="J2951"/>
      <c r="K2951" s="13" t="s">
        <v>234</v>
      </c>
      <c r="L2951" s="13" t="s">
        <v>435</v>
      </c>
      <c r="M2951" s="13" t="s">
        <v>364</v>
      </c>
      <c r="N2951" s="15">
        <v>1</v>
      </c>
      <c r="O2951" s="16">
        <v>0</v>
      </c>
      <c r="P2951" s="17">
        <v>0</v>
      </c>
      <c r="Q2951" s="17">
        <v>0</v>
      </c>
      <c r="R2951" s="13"/>
      <c r="S2951" s="13"/>
      <c r="T2951" s="13"/>
      <c r="U2951" s="13"/>
      <c r="V2951" s="13"/>
      <c r="W2951" s="13"/>
    </row>
    <row r="2952" spans="1:23" x14ac:dyDescent="0.2">
      <c r="A2952"/>
      <c r="B2952"/>
      <c r="C2952"/>
      <c r="D2952"/>
      <c r="E2952"/>
      <c r="F2952"/>
      <c r="G2952"/>
      <c r="H2952"/>
      <c r="I2952"/>
      <c r="J2952"/>
      <c r="K2952" s="13" t="s">
        <v>234</v>
      </c>
      <c r="L2952" s="13" t="s">
        <v>387</v>
      </c>
      <c r="M2952" s="13" t="s">
        <v>386</v>
      </c>
      <c r="N2952" s="15">
        <v>0</v>
      </c>
      <c r="O2952" s="16">
        <v>0</v>
      </c>
      <c r="P2952" s="17">
        <v>522.70284997181022</v>
      </c>
      <c r="Q2952" s="17">
        <v>0</v>
      </c>
      <c r="R2952" s="13"/>
      <c r="S2952" s="13"/>
      <c r="T2952" s="13"/>
      <c r="U2952" s="13"/>
      <c r="V2952" s="13"/>
      <c r="W2952" s="13"/>
    </row>
    <row r="2953" spans="1:23" x14ac:dyDescent="0.2">
      <c r="A2953"/>
      <c r="B2953"/>
      <c r="C2953"/>
      <c r="D2953"/>
      <c r="E2953"/>
      <c r="F2953"/>
      <c r="G2953"/>
      <c r="H2953"/>
      <c r="I2953"/>
      <c r="J2953"/>
      <c r="K2953" s="13" t="s">
        <v>234</v>
      </c>
      <c r="L2953" s="13" t="s">
        <v>389</v>
      </c>
      <c r="M2953" s="13" t="s">
        <v>388</v>
      </c>
      <c r="N2953" s="15">
        <v>0</v>
      </c>
      <c r="O2953" s="16">
        <v>0</v>
      </c>
      <c r="P2953" s="17">
        <v>900.20444997058405</v>
      </c>
      <c r="Q2953" s="17">
        <v>0</v>
      </c>
      <c r="R2953" s="13"/>
      <c r="S2953" s="13"/>
      <c r="T2953" s="13"/>
      <c r="U2953" s="13"/>
      <c r="V2953" s="13"/>
      <c r="W2953" s="13"/>
    </row>
    <row r="2954" spans="1:23" x14ac:dyDescent="0.2">
      <c r="A2954"/>
      <c r="B2954"/>
      <c r="C2954"/>
      <c r="D2954"/>
      <c r="E2954"/>
      <c r="F2954"/>
      <c r="G2954"/>
      <c r="H2954"/>
      <c r="I2954"/>
      <c r="J2954"/>
      <c r="K2954" s="13" t="s">
        <v>234</v>
      </c>
      <c r="L2954" s="13" t="s">
        <v>436</v>
      </c>
      <c r="M2954" s="13" t="s">
        <v>487</v>
      </c>
      <c r="N2954" s="15">
        <v>0</v>
      </c>
      <c r="O2954" s="16">
        <v>0</v>
      </c>
      <c r="P2954" s="17">
        <v>135.63309999229207</v>
      </c>
      <c r="Q2954" s="17">
        <v>0</v>
      </c>
      <c r="R2954" s="13"/>
      <c r="S2954" s="13"/>
      <c r="T2954" s="13"/>
      <c r="U2954" s="13"/>
      <c r="V2954" s="13"/>
      <c r="W2954" s="13"/>
    </row>
    <row r="2955" spans="1:23" x14ac:dyDescent="0.2">
      <c r="A2955"/>
      <c r="B2955"/>
      <c r="C2955"/>
      <c r="D2955"/>
      <c r="E2955"/>
      <c r="F2955"/>
      <c r="G2955"/>
      <c r="H2955"/>
      <c r="I2955"/>
      <c r="J2955"/>
      <c r="K2955" s="13" t="s">
        <v>234</v>
      </c>
      <c r="L2955" s="13" t="s">
        <v>486</v>
      </c>
      <c r="M2955" s="13" t="s">
        <v>439</v>
      </c>
      <c r="N2955" s="15">
        <v>0</v>
      </c>
      <c r="O2955" s="16">
        <v>0</v>
      </c>
      <c r="P2955" s="17">
        <v>2.494449997564149</v>
      </c>
      <c r="Q2955" s="17">
        <v>0</v>
      </c>
      <c r="R2955" s="13"/>
      <c r="S2955" s="13"/>
      <c r="T2955" s="13"/>
      <c r="U2955" s="13"/>
      <c r="V2955" s="13"/>
      <c r="W2955" s="13"/>
    </row>
    <row r="2956" spans="1:23" x14ac:dyDescent="0.2">
      <c r="A2956"/>
      <c r="B2956"/>
      <c r="C2956"/>
      <c r="D2956"/>
      <c r="E2956"/>
      <c r="F2956"/>
      <c r="G2956"/>
      <c r="H2956"/>
      <c r="I2956"/>
      <c r="J2956"/>
      <c r="K2956" s="13" t="s">
        <v>234</v>
      </c>
      <c r="L2956" s="13" t="s">
        <v>532</v>
      </c>
      <c r="M2956" s="13" t="s">
        <v>620</v>
      </c>
      <c r="N2956" s="15">
        <v>0</v>
      </c>
      <c r="O2956" s="16">
        <v>0</v>
      </c>
      <c r="P2956" s="17">
        <v>310.98735000618024</v>
      </c>
      <c r="Q2956" s="17">
        <v>0</v>
      </c>
      <c r="R2956" s="13"/>
      <c r="S2956" s="13"/>
      <c r="T2956" s="13"/>
      <c r="U2956" s="13"/>
      <c r="V2956" s="13"/>
      <c r="W2956" s="13"/>
    </row>
    <row r="2957" spans="1:23" x14ac:dyDescent="0.2">
      <c r="A2957"/>
      <c r="B2957"/>
      <c r="C2957"/>
      <c r="D2957"/>
      <c r="E2957"/>
      <c r="F2957"/>
      <c r="G2957"/>
      <c r="H2957"/>
      <c r="I2957"/>
      <c r="J2957"/>
      <c r="K2957" s="13" t="s">
        <v>234</v>
      </c>
      <c r="L2957" s="13" t="s">
        <v>440</v>
      </c>
      <c r="M2957" s="13" t="s">
        <v>441</v>
      </c>
      <c r="N2957" s="15">
        <v>4</v>
      </c>
      <c r="O2957" s="16">
        <v>0</v>
      </c>
      <c r="P2957" s="17">
        <v>0</v>
      </c>
      <c r="Q2957" s="17">
        <v>0</v>
      </c>
      <c r="R2957" s="13"/>
      <c r="S2957" s="13"/>
      <c r="T2957" s="13"/>
      <c r="U2957" s="13"/>
      <c r="V2957" s="13"/>
      <c r="W2957" s="13"/>
    </row>
    <row r="2958" spans="1:23" x14ac:dyDescent="0.2">
      <c r="A2958"/>
      <c r="B2958"/>
      <c r="C2958"/>
      <c r="D2958"/>
      <c r="E2958"/>
      <c r="F2958"/>
      <c r="G2958"/>
      <c r="H2958"/>
      <c r="I2958"/>
      <c r="J2958"/>
      <c r="K2958" s="13" t="s">
        <v>234</v>
      </c>
      <c r="L2958" s="13" t="s">
        <v>395</v>
      </c>
      <c r="M2958" s="13" t="s">
        <v>602</v>
      </c>
      <c r="N2958" s="15">
        <v>1</v>
      </c>
      <c r="O2958" s="16">
        <v>0</v>
      </c>
      <c r="P2958" s="17">
        <v>0</v>
      </c>
      <c r="Q2958" s="17">
        <v>0</v>
      </c>
      <c r="R2958" s="13"/>
      <c r="S2958" s="13"/>
      <c r="T2958" s="13"/>
      <c r="U2958" s="13"/>
      <c r="V2958" s="13"/>
      <c r="W2958" s="13"/>
    </row>
    <row r="2959" spans="1:23" x14ac:dyDescent="0.2">
      <c r="A2959"/>
      <c r="B2959"/>
      <c r="C2959"/>
      <c r="D2959"/>
      <c r="E2959"/>
      <c r="F2959"/>
      <c r="G2959"/>
      <c r="H2959"/>
      <c r="I2959"/>
      <c r="J2959"/>
      <c r="K2959" s="13" t="s">
        <v>234</v>
      </c>
      <c r="L2959" s="13" t="s">
        <v>399</v>
      </c>
      <c r="M2959" s="13" t="s">
        <v>400</v>
      </c>
      <c r="N2959" s="15">
        <v>0</v>
      </c>
      <c r="O2959" s="16">
        <v>0</v>
      </c>
      <c r="P2959" s="17">
        <v>171.15590001699599</v>
      </c>
      <c r="Q2959" s="17">
        <v>0</v>
      </c>
      <c r="R2959" s="13"/>
      <c r="S2959" s="13"/>
      <c r="T2959" s="13"/>
      <c r="U2959" s="13"/>
      <c r="V2959" s="13"/>
      <c r="W2959" s="13"/>
    </row>
    <row r="2960" spans="1:23" x14ac:dyDescent="0.2">
      <c r="A2960"/>
      <c r="B2960"/>
      <c r="C2960"/>
      <c r="D2960"/>
      <c r="E2960"/>
      <c r="F2960"/>
      <c r="G2960"/>
      <c r="H2960"/>
      <c r="I2960"/>
      <c r="J2960"/>
      <c r="K2960" s="13" t="s">
        <v>234</v>
      </c>
      <c r="L2960" s="13" t="s">
        <v>401</v>
      </c>
      <c r="M2960" s="13" t="s">
        <v>360</v>
      </c>
      <c r="N2960" s="15">
        <v>0</v>
      </c>
      <c r="O2960" s="16">
        <v>0</v>
      </c>
      <c r="P2960" s="17">
        <v>387.49809998285133</v>
      </c>
      <c r="Q2960" s="17">
        <v>0</v>
      </c>
      <c r="R2960" s="13"/>
      <c r="S2960" s="13"/>
      <c r="T2960" s="13"/>
      <c r="U2960" s="13"/>
      <c r="V2960" s="13"/>
      <c r="W2960" s="13"/>
    </row>
    <row r="2961" spans="1:23" x14ac:dyDescent="0.2">
      <c r="A2961"/>
      <c r="B2961"/>
      <c r="C2961"/>
      <c r="D2961"/>
      <c r="E2961"/>
      <c r="F2961"/>
      <c r="G2961"/>
      <c r="H2961"/>
      <c r="I2961"/>
      <c r="J2961"/>
      <c r="K2961" s="13" t="s">
        <v>234</v>
      </c>
      <c r="L2961" s="13" t="s">
        <v>402</v>
      </c>
      <c r="M2961" s="13" t="s">
        <v>403</v>
      </c>
      <c r="N2961" s="15">
        <v>0</v>
      </c>
      <c r="O2961" s="16">
        <v>0</v>
      </c>
      <c r="P2961" s="17">
        <v>913.48239994905714</v>
      </c>
      <c r="Q2961" s="17">
        <v>0</v>
      </c>
      <c r="R2961" s="13"/>
      <c r="S2961" s="13"/>
      <c r="T2961" s="13"/>
      <c r="U2961" s="13"/>
      <c r="V2961" s="13"/>
      <c r="W2961" s="13"/>
    </row>
    <row r="2962" spans="1:23" x14ac:dyDescent="0.2">
      <c r="A2962"/>
      <c r="B2962"/>
      <c r="C2962"/>
      <c r="D2962"/>
      <c r="E2962"/>
      <c r="F2962"/>
      <c r="G2962"/>
      <c r="H2962"/>
      <c r="I2962"/>
      <c r="J2962"/>
      <c r="K2962" s="13" t="s">
        <v>234</v>
      </c>
      <c r="L2962" s="13" t="s">
        <v>448</v>
      </c>
      <c r="M2962" s="13" t="s">
        <v>366</v>
      </c>
      <c r="N2962" s="15">
        <v>0</v>
      </c>
      <c r="O2962" s="16">
        <v>0</v>
      </c>
      <c r="P2962" s="17">
        <v>14.562250004021688</v>
      </c>
      <c r="Q2962" s="17">
        <v>0</v>
      </c>
      <c r="R2962" s="13"/>
      <c r="S2962" s="13"/>
      <c r="T2962" s="13"/>
      <c r="U2962" s="13"/>
      <c r="V2962" s="13"/>
      <c r="W2962" s="13"/>
    </row>
    <row r="2963" spans="1:23" x14ac:dyDescent="0.2">
      <c r="A2963"/>
      <c r="B2963"/>
      <c r="C2963"/>
      <c r="D2963"/>
      <c r="E2963"/>
      <c r="F2963"/>
      <c r="G2963"/>
      <c r="H2963"/>
      <c r="I2963"/>
      <c r="J2963"/>
      <c r="K2963" s="13" t="s">
        <v>234</v>
      </c>
      <c r="L2963" s="13" t="s">
        <v>404</v>
      </c>
      <c r="M2963" s="13" t="s">
        <v>405</v>
      </c>
      <c r="N2963" s="15">
        <v>0</v>
      </c>
      <c r="O2963" s="16">
        <v>0</v>
      </c>
      <c r="P2963" s="17">
        <v>97.803000027772953</v>
      </c>
      <c r="Q2963" s="17">
        <v>377.61922369595618</v>
      </c>
      <c r="R2963" s="13"/>
      <c r="S2963" s="13"/>
      <c r="T2963" s="13"/>
      <c r="U2963" s="13"/>
      <c r="V2963" s="13"/>
      <c r="W2963" s="13"/>
    </row>
    <row r="2964" spans="1:23" x14ac:dyDescent="0.2">
      <c r="A2964"/>
      <c r="B2964"/>
      <c r="C2964"/>
      <c r="D2964"/>
      <c r="E2964"/>
      <c r="F2964"/>
      <c r="G2964"/>
      <c r="H2964"/>
      <c r="I2964"/>
      <c r="J2964"/>
      <c r="K2964" s="13" t="s">
        <v>234</v>
      </c>
      <c r="L2964" s="13" t="s">
        <v>381</v>
      </c>
      <c r="M2964" s="13" t="s">
        <v>382</v>
      </c>
      <c r="N2964" s="15">
        <v>11</v>
      </c>
      <c r="O2964" s="16">
        <v>0</v>
      </c>
      <c r="P2964" s="17">
        <v>0</v>
      </c>
      <c r="Q2964" s="17">
        <v>0</v>
      </c>
      <c r="R2964" s="13"/>
      <c r="S2964" s="13"/>
      <c r="T2964" s="13"/>
      <c r="U2964" s="13"/>
      <c r="V2964" s="13"/>
      <c r="W2964" s="13"/>
    </row>
    <row r="2965" spans="1:23" x14ac:dyDescent="0.2">
      <c r="A2965"/>
      <c r="B2965"/>
      <c r="C2965"/>
      <c r="D2965"/>
      <c r="E2965"/>
      <c r="F2965"/>
      <c r="G2965"/>
      <c r="H2965"/>
      <c r="I2965"/>
      <c r="J2965"/>
      <c r="K2965" s="13" t="s">
        <v>234</v>
      </c>
      <c r="L2965" s="13" t="s">
        <v>409</v>
      </c>
      <c r="M2965" s="13" t="s">
        <v>410</v>
      </c>
      <c r="N2965" s="15">
        <v>2</v>
      </c>
      <c r="O2965" s="16">
        <v>0</v>
      </c>
      <c r="P2965" s="17">
        <v>0</v>
      </c>
      <c r="Q2965" s="17">
        <v>0</v>
      </c>
      <c r="R2965" s="13"/>
      <c r="S2965" s="13"/>
      <c r="T2965" s="13"/>
      <c r="U2965" s="13"/>
      <c r="V2965" s="13"/>
      <c r="W2965" s="13"/>
    </row>
    <row r="2966" spans="1:23" x14ac:dyDescent="0.2">
      <c r="A2966"/>
      <c r="B2966"/>
      <c r="C2966"/>
      <c r="D2966"/>
      <c r="E2966"/>
      <c r="F2966"/>
      <c r="G2966"/>
      <c r="H2966"/>
      <c r="I2966"/>
      <c r="J2966"/>
      <c r="K2966" s="13" t="s">
        <v>234</v>
      </c>
      <c r="L2966" s="13" t="s">
        <v>411</v>
      </c>
      <c r="M2966" s="13" t="s">
        <v>362</v>
      </c>
      <c r="N2966" s="15">
        <v>0</v>
      </c>
      <c r="O2966" s="16">
        <v>0</v>
      </c>
      <c r="P2966" s="17">
        <v>54.61589999727989</v>
      </c>
      <c r="Q2966" s="17">
        <v>0</v>
      </c>
      <c r="R2966" s="13"/>
      <c r="S2966" s="13"/>
      <c r="T2966" s="13"/>
      <c r="U2966" s="13"/>
      <c r="V2966" s="13"/>
      <c r="W2966" s="13"/>
    </row>
    <row r="2967" spans="1:23" x14ac:dyDescent="0.2">
      <c r="A2967"/>
      <c r="B2967"/>
      <c r="C2967"/>
      <c r="D2967"/>
      <c r="E2967"/>
      <c r="F2967"/>
      <c r="G2967"/>
      <c r="H2967"/>
      <c r="I2967"/>
      <c r="J2967"/>
      <c r="K2967" s="13" t="s">
        <v>234</v>
      </c>
      <c r="L2967" s="13" t="s">
        <v>411</v>
      </c>
      <c r="M2967" s="13" t="s">
        <v>362</v>
      </c>
      <c r="N2967" s="15">
        <v>0</v>
      </c>
      <c r="O2967" s="16">
        <v>44.596028307137253</v>
      </c>
      <c r="P2967" s="17">
        <v>0</v>
      </c>
      <c r="Q2967" s="17">
        <v>0</v>
      </c>
      <c r="R2967" s="13"/>
      <c r="S2967" s="13"/>
      <c r="T2967" s="13"/>
      <c r="U2967" s="13"/>
      <c r="V2967" s="13"/>
      <c r="W2967" s="13"/>
    </row>
    <row r="2968" spans="1:23" x14ac:dyDescent="0.2">
      <c r="A2968"/>
      <c r="B2968"/>
      <c r="C2968"/>
      <c r="D2968"/>
      <c r="E2968"/>
      <c r="F2968"/>
      <c r="G2968"/>
      <c r="H2968"/>
      <c r="I2968"/>
      <c r="J2968"/>
      <c r="K2968" s="13" t="s">
        <v>234</v>
      </c>
      <c r="L2968" s="13" t="s">
        <v>411</v>
      </c>
      <c r="M2968" s="13" t="s">
        <v>362</v>
      </c>
      <c r="N2968" s="15">
        <v>3</v>
      </c>
      <c r="O2968" s="16">
        <v>0</v>
      </c>
      <c r="P2968" s="17">
        <v>0</v>
      </c>
      <c r="Q2968" s="17">
        <v>0</v>
      </c>
      <c r="R2968" s="13"/>
      <c r="S2968" s="13"/>
      <c r="T2968" s="13"/>
      <c r="U2968" s="13"/>
      <c r="V2968" s="13"/>
      <c r="W2968" s="13"/>
    </row>
    <row r="2969" spans="1:23" x14ac:dyDescent="0.2">
      <c r="A2969"/>
      <c r="B2969"/>
      <c r="C2969"/>
      <c r="D2969"/>
      <c r="E2969"/>
      <c r="F2969"/>
      <c r="G2969"/>
      <c r="H2969"/>
      <c r="I2969"/>
      <c r="J2969"/>
      <c r="K2969" s="13" t="s">
        <v>234</v>
      </c>
      <c r="L2969" s="13" t="s">
        <v>413</v>
      </c>
      <c r="M2969" s="13" t="s">
        <v>428</v>
      </c>
      <c r="N2969" s="15">
        <v>1</v>
      </c>
      <c r="O2969" s="16">
        <v>0</v>
      </c>
      <c r="P2969" s="17">
        <v>0</v>
      </c>
      <c r="Q2969" s="17">
        <v>0</v>
      </c>
      <c r="R2969" s="13"/>
      <c r="S2969" s="13"/>
      <c r="T2969" s="13"/>
      <c r="U2969" s="13"/>
      <c r="V2969" s="13"/>
      <c r="W2969" s="13"/>
    </row>
    <row r="2970" spans="1:23" x14ac:dyDescent="0.2">
      <c r="A2970"/>
      <c r="B2970"/>
      <c r="C2970"/>
      <c r="D2970"/>
      <c r="E2970"/>
      <c r="F2970"/>
      <c r="G2970"/>
      <c r="H2970"/>
      <c r="I2970"/>
      <c r="J2970"/>
      <c r="K2970" s="13" t="s">
        <v>234</v>
      </c>
      <c r="L2970" s="13" t="s">
        <v>475</v>
      </c>
      <c r="M2970" s="13" t="s">
        <v>470</v>
      </c>
      <c r="N2970" s="15">
        <v>2</v>
      </c>
      <c r="O2970" s="16">
        <v>0</v>
      </c>
      <c r="P2970" s="17">
        <v>0</v>
      </c>
      <c r="Q2970" s="17">
        <v>0</v>
      </c>
      <c r="R2970" s="13"/>
      <c r="S2970" s="13"/>
      <c r="T2970" s="13"/>
      <c r="U2970" s="13"/>
      <c r="V2970" s="13"/>
      <c r="W2970" s="13"/>
    </row>
    <row r="2971" spans="1:23" x14ac:dyDescent="0.2">
      <c r="A2971"/>
      <c r="B2971"/>
      <c r="C2971"/>
      <c r="D2971"/>
      <c r="E2971"/>
      <c r="F2971"/>
      <c r="G2971"/>
      <c r="H2971"/>
      <c r="I2971"/>
      <c r="J2971"/>
      <c r="K2971" s="13" t="s">
        <v>234</v>
      </c>
      <c r="L2971" s="13" t="s">
        <v>605</v>
      </c>
      <c r="M2971" s="13" t="s">
        <v>429</v>
      </c>
      <c r="N2971" s="15">
        <v>0</v>
      </c>
      <c r="O2971" s="16">
        <v>1.606268968094323</v>
      </c>
      <c r="P2971" s="17">
        <v>0</v>
      </c>
      <c r="Q2971" s="17">
        <v>0</v>
      </c>
      <c r="R2971" s="13"/>
      <c r="S2971" s="13"/>
      <c r="T2971" s="13"/>
      <c r="U2971" s="13"/>
      <c r="V2971" s="13"/>
      <c r="W2971" s="13"/>
    </row>
    <row r="2972" spans="1:23" x14ac:dyDescent="0.2">
      <c r="A2972"/>
      <c r="B2972"/>
      <c r="C2972"/>
      <c r="D2972"/>
      <c r="E2972"/>
      <c r="F2972"/>
      <c r="G2972"/>
      <c r="H2972"/>
      <c r="I2972"/>
      <c r="J2972"/>
      <c r="K2972" s="13" t="s">
        <v>234</v>
      </c>
      <c r="L2972" s="13" t="s">
        <v>606</v>
      </c>
      <c r="M2972" s="13" t="s">
        <v>430</v>
      </c>
      <c r="N2972" s="15">
        <v>4</v>
      </c>
      <c r="O2972" s="16">
        <v>0</v>
      </c>
      <c r="P2972" s="17">
        <v>0</v>
      </c>
      <c r="Q2972" s="17">
        <v>0</v>
      </c>
      <c r="R2972" s="13"/>
      <c r="S2972" s="13"/>
      <c r="T2972" s="13"/>
      <c r="U2972" s="13"/>
      <c r="V2972" s="13"/>
      <c r="W2972" s="13"/>
    </row>
    <row r="2973" spans="1:23" x14ac:dyDescent="0.2">
      <c r="A2973"/>
      <c r="B2973"/>
      <c r="C2973"/>
      <c r="D2973"/>
      <c r="E2973"/>
      <c r="F2973"/>
      <c r="G2973"/>
      <c r="H2973"/>
      <c r="I2973"/>
      <c r="J2973"/>
      <c r="K2973" s="13" t="s">
        <v>234</v>
      </c>
      <c r="L2973" s="13" t="s">
        <v>623</v>
      </c>
      <c r="M2973" s="13" t="s">
        <v>530</v>
      </c>
      <c r="N2973" s="15">
        <v>0</v>
      </c>
      <c r="O2973" s="16">
        <v>83.155828548748616</v>
      </c>
      <c r="P2973" s="17">
        <v>0</v>
      </c>
      <c r="Q2973" s="17">
        <v>0</v>
      </c>
      <c r="R2973" s="13"/>
      <c r="S2973" s="13"/>
      <c r="T2973" s="13"/>
      <c r="U2973" s="13"/>
      <c r="V2973" s="13"/>
      <c r="W2973" s="13"/>
    </row>
    <row r="2974" spans="1:23" x14ac:dyDescent="0.2">
      <c r="A2974"/>
      <c r="B2974"/>
      <c r="C2974"/>
      <c r="D2974"/>
      <c r="E2974"/>
      <c r="F2974"/>
      <c r="G2974"/>
      <c r="H2974"/>
      <c r="I2974"/>
      <c r="J2974"/>
      <c r="K2974" s="13" t="s">
        <v>234</v>
      </c>
      <c r="L2974" s="13" t="s">
        <v>608</v>
      </c>
      <c r="M2974" s="13" t="s">
        <v>432</v>
      </c>
      <c r="N2974" s="15">
        <v>10</v>
      </c>
      <c r="O2974" s="16">
        <v>0</v>
      </c>
      <c r="P2974" s="17">
        <v>0</v>
      </c>
      <c r="Q2974" s="17">
        <v>0</v>
      </c>
      <c r="R2974" s="13"/>
      <c r="S2974" s="13"/>
      <c r="T2974" s="13"/>
      <c r="U2974" s="13"/>
      <c r="V2974" s="13"/>
      <c r="W2974" s="13"/>
    </row>
    <row r="2975" spans="1:23" x14ac:dyDescent="0.2">
      <c r="A2975"/>
      <c r="B2975"/>
      <c r="C2975"/>
      <c r="D2975"/>
      <c r="E2975"/>
      <c r="F2975"/>
      <c r="G2975"/>
      <c r="H2975"/>
      <c r="I2975"/>
      <c r="J2975"/>
      <c r="K2975" s="13" t="s">
        <v>234</v>
      </c>
      <c r="L2975" s="13" t="s">
        <v>523</v>
      </c>
      <c r="M2975" s="13" t="s">
        <v>476</v>
      </c>
      <c r="N2975" s="15">
        <v>0</v>
      </c>
      <c r="O2975" s="16">
        <v>0</v>
      </c>
      <c r="P2975" s="17">
        <v>2.8478000002101065</v>
      </c>
      <c r="Q2975" s="17">
        <v>0</v>
      </c>
      <c r="R2975" s="13"/>
      <c r="S2975" s="13"/>
      <c r="T2975" s="13"/>
      <c r="U2975" s="13"/>
      <c r="V2975" s="13"/>
      <c r="W2975" s="13"/>
    </row>
    <row r="2976" spans="1:23" x14ac:dyDescent="0.2">
      <c r="A2976"/>
      <c r="B2976"/>
      <c r="C2976"/>
      <c r="D2976"/>
      <c r="E2976"/>
      <c r="F2976"/>
      <c r="G2976"/>
      <c r="H2976"/>
      <c r="I2976"/>
      <c r="J2976"/>
      <c r="K2976" s="13" t="s">
        <v>234</v>
      </c>
      <c r="L2976" s="13" t="s">
        <v>622</v>
      </c>
      <c r="M2976" s="13" t="s">
        <v>524</v>
      </c>
      <c r="N2976" s="15">
        <v>0</v>
      </c>
      <c r="O2976" s="16">
        <v>11.029837256254098</v>
      </c>
      <c r="P2976" s="17">
        <v>0</v>
      </c>
      <c r="Q2976" s="17">
        <v>0</v>
      </c>
      <c r="R2976" s="13"/>
      <c r="S2976" s="13"/>
      <c r="T2976" s="13"/>
      <c r="U2976" s="13"/>
      <c r="V2976" s="13"/>
      <c r="W2976" s="13"/>
    </row>
    <row r="2977" spans="1:23" x14ac:dyDescent="0.2">
      <c r="A2977"/>
      <c r="B2977"/>
      <c r="C2977"/>
      <c r="D2977"/>
      <c r="E2977"/>
      <c r="F2977"/>
      <c r="G2977"/>
      <c r="H2977"/>
      <c r="I2977"/>
      <c r="J2977"/>
      <c r="K2977" s="13" t="s">
        <v>234</v>
      </c>
      <c r="L2977" s="13" t="s">
        <v>421</v>
      </c>
      <c r="M2977" s="13" t="s">
        <v>443</v>
      </c>
      <c r="N2977" s="15">
        <v>1</v>
      </c>
      <c r="O2977" s="16">
        <v>0</v>
      </c>
      <c r="P2977" s="17">
        <v>0</v>
      </c>
      <c r="Q2977" s="17">
        <v>0</v>
      </c>
      <c r="R2977" s="13"/>
      <c r="S2977" s="13"/>
      <c r="T2977" s="13"/>
      <c r="U2977" s="13"/>
      <c r="V2977" s="13"/>
      <c r="W2977" s="13"/>
    </row>
    <row r="2978" spans="1:23" x14ac:dyDescent="0.2">
      <c r="A2978"/>
      <c r="B2978"/>
      <c r="C2978"/>
      <c r="D2978"/>
      <c r="E2978"/>
      <c r="F2978"/>
      <c r="G2978"/>
      <c r="H2978"/>
      <c r="I2978"/>
      <c r="J2978"/>
      <c r="K2978" s="13" t="s">
        <v>234</v>
      </c>
      <c r="L2978" s="13" t="s">
        <v>383</v>
      </c>
      <c r="M2978" s="13" t="s">
        <v>420</v>
      </c>
      <c r="N2978" s="15">
        <v>13</v>
      </c>
      <c r="O2978" s="16">
        <v>0</v>
      </c>
      <c r="P2978" s="17">
        <v>0</v>
      </c>
      <c r="Q2978" s="17">
        <v>0</v>
      </c>
      <c r="R2978" s="13"/>
      <c r="S2978" s="13"/>
      <c r="T2978" s="13"/>
      <c r="U2978" s="13"/>
      <c r="V2978" s="13"/>
      <c r="W2978" s="13"/>
    </row>
    <row r="2979" spans="1:23" x14ac:dyDescent="0.2">
      <c r="A2979"/>
      <c r="B2979"/>
      <c r="C2979"/>
      <c r="D2979"/>
      <c r="E2979"/>
      <c r="F2979"/>
      <c r="G2979"/>
      <c r="H2979"/>
      <c r="I2979"/>
      <c r="J2979"/>
      <c r="K2979" s="13" t="s">
        <v>234</v>
      </c>
      <c r="L2979" s="13" t="s">
        <v>528</v>
      </c>
      <c r="M2979" s="13" t="s">
        <v>384</v>
      </c>
      <c r="N2979" s="15">
        <v>0</v>
      </c>
      <c r="O2979" s="16">
        <v>198.97044747625867</v>
      </c>
      <c r="P2979" s="17">
        <v>0</v>
      </c>
      <c r="Q2979" s="17">
        <v>0</v>
      </c>
      <c r="R2979" s="13"/>
      <c r="S2979" s="13"/>
      <c r="T2979" s="13"/>
      <c r="U2979" s="13"/>
      <c r="V2979" s="13"/>
      <c r="W2979" s="13"/>
    </row>
    <row r="2980" spans="1:23" x14ac:dyDescent="0.2">
      <c r="A2980"/>
      <c r="B2980"/>
      <c r="C2980"/>
      <c r="D2980"/>
      <c r="E2980"/>
      <c r="F2980"/>
      <c r="G2980"/>
      <c r="H2980"/>
      <c r="I2980"/>
      <c r="J2980"/>
      <c r="K2980" s="13" t="s">
        <v>234</v>
      </c>
      <c r="L2980" s="13" t="s">
        <v>613</v>
      </c>
      <c r="M2980" s="13" t="s">
        <v>444</v>
      </c>
      <c r="N2980" s="15">
        <v>0</v>
      </c>
      <c r="O2980" s="16">
        <v>63.444865597861892</v>
      </c>
      <c r="P2980" s="17">
        <v>0</v>
      </c>
      <c r="Q2980" s="17">
        <v>0</v>
      </c>
      <c r="R2980" s="13"/>
      <c r="S2980" s="13"/>
      <c r="T2980" s="13"/>
      <c r="U2980" s="13"/>
      <c r="V2980" s="13"/>
      <c r="W2980" s="13"/>
    </row>
    <row r="2981" spans="1:23" x14ac:dyDescent="0.2">
      <c r="A2981"/>
      <c r="B2981"/>
      <c r="C2981"/>
      <c r="D2981"/>
      <c r="E2981"/>
      <c r="F2981"/>
      <c r="G2981"/>
      <c r="H2981"/>
      <c r="I2981"/>
      <c r="J2981"/>
      <c r="K2981" s="13" t="s">
        <v>234</v>
      </c>
      <c r="L2981" s="13" t="s">
        <v>611</v>
      </c>
      <c r="M2981" s="13" t="s">
        <v>423</v>
      </c>
      <c r="N2981" s="15">
        <v>0</v>
      </c>
      <c r="O2981" s="16">
        <v>223.78006744301229</v>
      </c>
      <c r="P2981" s="17">
        <v>0</v>
      </c>
      <c r="Q2981" s="17">
        <v>0</v>
      </c>
      <c r="R2981" s="13"/>
      <c r="S2981" s="13"/>
      <c r="T2981" s="13"/>
      <c r="U2981" s="13"/>
      <c r="V2981" s="13"/>
      <c r="W2981" s="13"/>
    </row>
    <row r="2982" spans="1:23" x14ac:dyDescent="0.2">
      <c r="A2982"/>
      <c r="B2982"/>
      <c r="C2982"/>
      <c r="D2982"/>
      <c r="E2982"/>
      <c r="F2982"/>
      <c r="G2982"/>
      <c r="H2982"/>
      <c r="I2982"/>
      <c r="J2982"/>
      <c r="K2982" s="13" t="s">
        <v>234</v>
      </c>
      <c r="L2982" s="13" t="s">
        <v>446</v>
      </c>
      <c r="M2982" s="13" t="s">
        <v>371</v>
      </c>
      <c r="N2982" s="15">
        <v>14</v>
      </c>
      <c r="O2982" s="16">
        <v>0</v>
      </c>
      <c r="P2982" s="17">
        <v>0</v>
      </c>
      <c r="Q2982" s="17">
        <v>0</v>
      </c>
      <c r="R2982" s="13"/>
      <c r="S2982" s="13"/>
      <c r="T2982" s="13"/>
      <c r="U2982" s="13"/>
      <c r="V2982" s="13"/>
      <c r="W2982" s="13"/>
    </row>
    <row r="2983" spans="1:23" x14ac:dyDescent="0.2">
      <c r="A2983"/>
      <c r="B2983"/>
      <c r="C2983"/>
      <c r="D2983"/>
      <c r="E2983"/>
      <c r="F2983"/>
      <c r="G2983"/>
      <c r="H2983"/>
      <c r="I2983"/>
      <c r="J2983"/>
      <c r="K2983" s="13" t="s">
        <v>234</v>
      </c>
      <c r="L2983" s="13" t="s">
        <v>424</v>
      </c>
      <c r="M2983" s="13" t="s">
        <v>468</v>
      </c>
      <c r="N2983" s="15">
        <v>0</v>
      </c>
      <c r="O2983" s="16">
        <v>0</v>
      </c>
      <c r="P2983" s="17">
        <v>15.083399998288042</v>
      </c>
      <c r="Q2983" s="17">
        <v>0</v>
      </c>
      <c r="R2983" s="13"/>
      <c r="S2983" s="13"/>
      <c r="T2983" s="13"/>
      <c r="U2983" s="13"/>
      <c r="V2983" s="13"/>
      <c r="W2983" s="13"/>
    </row>
    <row r="2984" spans="1:23" x14ac:dyDescent="0.2">
      <c r="A2984"/>
      <c r="B2984"/>
      <c r="C2984"/>
      <c r="D2984"/>
      <c r="E2984"/>
      <c r="F2984"/>
      <c r="G2984"/>
      <c r="H2984"/>
      <c r="I2984"/>
      <c r="J2984"/>
      <c r="K2984" s="13" t="s">
        <v>234</v>
      </c>
      <c r="L2984" s="13" t="s">
        <v>484</v>
      </c>
      <c r="M2984" s="13" t="s">
        <v>529</v>
      </c>
      <c r="N2984" s="15">
        <v>0</v>
      </c>
      <c r="O2984" s="16">
        <v>58.770480510621852</v>
      </c>
      <c r="P2984" s="17">
        <v>0</v>
      </c>
      <c r="Q2984" s="17">
        <v>0</v>
      </c>
      <c r="R2984" s="13"/>
      <c r="S2984" s="13"/>
      <c r="T2984" s="13"/>
      <c r="U2984" s="13"/>
      <c r="V2984" s="13"/>
      <c r="W2984" s="13"/>
    </row>
    <row r="2985" spans="1:23" x14ac:dyDescent="0.2">
      <c r="A2985"/>
      <c r="B2985"/>
      <c r="C2985"/>
      <c r="D2985"/>
      <c r="E2985"/>
      <c r="F2985"/>
      <c r="G2985"/>
      <c r="H2985"/>
      <c r="I2985"/>
      <c r="J2985"/>
      <c r="K2985" s="13" t="s">
        <v>237</v>
      </c>
      <c r="L2985" s="13" t="s">
        <v>435</v>
      </c>
      <c r="M2985" s="13" t="s">
        <v>364</v>
      </c>
      <c r="N2985" s="15">
        <v>0</v>
      </c>
      <c r="O2985" s="16">
        <v>0</v>
      </c>
      <c r="P2985" s="17">
        <v>5.9149499963037204</v>
      </c>
      <c r="Q2985" s="17">
        <v>0</v>
      </c>
      <c r="R2985" s="13"/>
      <c r="S2985" s="13"/>
      <c r="T2985" s="13"/>
      <c r="U2985" s="13"/>
      <c r="V2985" s="13"/>
      <c r="W2985" s="13"/>
    </row>
    <row r="2986" spans="1:23" x14ac:dyDescent="0.2">
      <c r="A2986"/>
      <c r="B2986"/>
      <c r="C2986"/>
      <c r="D2986"/>
      <c r="E2986"/>
      <c r="F2986"/>
      <c r="G2986"/>
      <c r="H2986"/>
      <c r="I2986"/>
      <c r="J2986"/>
      <c r="K2986" s="13" t="s">
        <v>237</v>
      </c>
      <c r="L2986" s="13" t="s">
        <v>389</v>
      </c>
      <c r="M2986" s="13" t="s">
        <v>388</v>
      </c>
      <c r="N2986" s="15">
        <v>0</v>
      </c>
      <c r="O2986" s="16">
        <v>0</v>
      </c>
      <c r="P2986" s="17">
        <v>641.67330001378627</v>
      </c>
      <c r="Q2986" s="17">
        <v>0</v>
      </c>
      <c r="R2986" s="13"/>
      <c r="S2986" s="13"/>
      <c r="T2986" s="13"/>
      <c r="U2986" s="13"/>
      <c r="V2986" s="13"/>
      <c r="W2986" s="13"/>
    </row>
    <row r="2987" spans="1:23" x14ac:dyDescent="0.2">
      <c r="A2987"/>
      <c r="B2987"/>
      <c r="C2987"/>
      <c r="D2987"/>
      <c r="E2987"/>
      <c r="F2987"/>
      <c r="G2987"/>
      <c r="H2987"/>
      <c r="I2987"/>
      <c r="J2987"/>
      <c r="K2987" s="13" t="s">
        <v>237</v>
      </c>
      <c r="L2987" s="13" t="s">
        <v>486</v>
      </c>
      <c r="M2987" s="13" t="s">
        <v>439</v>
      </c>
      <c r="N2987" s="15">
        <v>0</v>
      </c>
      <c r="O2987" s="16">
        <v>0</v>
      </c>
      <c r="P2987" s="17">
        <v>1.7758000001749488</v>
      </c>
      <c r="Q2987" s="17">
        <v>0</v>
      </c>
      <c r="R2987" s="13"/>
      <c r="S2987" s="13"/>
      <c r="T2987" s="13"/>
      <c r="U2987" s="13"/>
      <c r="V2987" s="13"/>
      <c r="W2987" s="13"/>
    </row>
    <row r="2988" spans="1:23" x14ac:dyDescent="0.2">
      <c r="A2988"/>
      <c r="B2988"/>
      <c r="C2988"/>
      <c r="D2988"/>
      <c r="E2988"/>
      <c r="F2988"/>
      <c r="G2988"/>
      <c r="H2988"/>
      <c r="I2988"/>
      <c r="J2988"/>
      <c r="K2988" s="13" t="s">
        <v>237</v>
      </c>
      <c r="L2988" s="13" t="s">
        <v>512</v>
      </c>
      <c r="M2988" s="13" t="s">
        <v>466</v>
      </c>
      <c r="N2988" s="15">
        <v>0</v>
      </c>
      <c r="O2988" s="16">
        <v>0</v>
      </c>
      <c r="P2988" s="17">
        <v>126.97369999885439</v>
      </c>
      <c r="Q2988" s="17">
        <v>0</v>
      </c>
      <c r="R2988" s="13"/>
      <c r="S2988" s="13"/>
      <c r="T2988" s="13"/>
      <c r="U2988" s="13"/>
      <c r="V2988" s="13"/>
      <c r="W2988" s="13"/>
    </row>
    <row r="2989" spans="1:23" x14ac:dyDescent="0.2">
      <c r="A2989"/>
      <c r="B2989"/>
      <c r="C2989"/>
      <c r="D2989"/>
      <c r="E2989"/>
      <c r="F2989"/>
      <c r="G2989"/>
      <c r="H2989"/>
      <c r="I2989"/>
      <c r="J2989"/>
      <c r="K2989" s="13" t="s">
        <v>237</v>
      </c>
      <c r="L2989" s="13" t="s">
        <v>532</v>
      </c>
      <c r="M2989" s="13" t="s">
        <v>620</v>
      </c>
      <c r="N2989" s="15">
        <v>0</v>
      </c>
      <c r="O2989" s="16">
        <v>0</v>
      </c>
      <c r="P2989" s="17">
        <v>5.1180999974318313</v>
      </c>
      <c r="Q2989" s="17">
        <v>0</v>
      </c>
      <c r="R2989" s="13"/>
      <c r="S2989" s="13"/>
      <c r="T2989" s="13"/>
      <c r="U2989" s="13"/>
      <c r="V2989" s="13"/>
      <c r="W2989" s="13"/>
    </row>
    <row r="2990" spans="1:23" x14ac:dyDescent="0.2">
      <c r="A2990"/>
      <c r="B2990"/>
      <c r="C2990"/>
      <c r="D2990"/>
      <c r="E2990"/>
      <c r="F2990"/>
      <c r="G2990"/>
      <c r="H2990"/>
      <c r="I2990"/>
      <c r="J2990"/>
      <c r="K2990" s="13" t="s">
        <v>237</v>
      </c>
      <c r="L2990" s="13" t="s">
        <v>440</v>
      </c>
      <c r="M2990" s="13" t="s">
        <v>441</v>
      </c>
      <c r="N2990" s="15">
        <v>5</v>
      </c>
      <c r="O2990" s="16">
        <v>0</v>
      </c>
      <c r="P2990" s="17">
        <v>0</v>
      </c>
      <c r="Q2990" s="17">
        <v>0</v>
      </c>
      <c r="R2990" s="13"/>
      <c r="S2990" s="13"/>
      <c r="T2990" s="13"/>
      <c r="U2990" s="13"/>
      <c r="V2990" s="13"/>
      <c r="W2990" s="13"/>
    </row>
    <row r="2991" spans="1:23" x14ac:dyDescent="0.2">
      <c r="A2991"/>
      <c r="B2991"/>
      <c r="C2991"/>
      <c r="D2991"/>
      <c r="E2991"/>
      <c r="F2991"/>
      <c r="G2991"/>
      <c r="H2991"/>
      <c r="I2991"/>
      <c r="J2991"/>
      <c r="K2991" s="13" t="s">
        <v>237</v>
      </c>
      <c r="L2991" s="13" t="s">
        <v>395</v>
      </c>
      <c r="M2991" s="13" t="s">
        <v>602</v>
      </c>
      <c r="N2991" s="15">
        <v>2</v>
      </c>
      <c r="O2991" s="16">
        <v>0</v>
      </c>
      <c r="P2991" s="17">
        <v>0</v>
      </c>
      <c r="Q2991" s="17">
        <v>0</v>
      </c>
      <c r="R2991" s="13"/>
      <c r="S2991" s="13"/>
      <c r="T2991" s="13"/>
      <c r="U2991" s="13"/>
      <c r="V2991" s="13"/>
      <c r="W2991" s="13"/>
    </row>
    <row r="2992" spans="1:23" x14ac:dyDescent="0.2">
      <c r="A2992"/>
      <c r="B2992"/>
      <c r="C2992"/>
      <c r="D2992"/>
      <c r="E2992"/>
      <c r="F2992"/>
      <c r="G2992"/>
      <c r="H2992"/>
      <c r="I2992"/>
      <c r="J2992"/>
      <c r="K2992" s="13" t="s">
        <v>237</v>
      </c>
      <c r="L2992" s="13" t="s">
        <v>399</v>
      </c>
      <c r="M2992" s="13" t="s">
        <v>400</v>
      </c>
      <c r="N2992" s="15">
        <v>0</v>
      </c>
      <c r="O2992" s="16">
        <v>0</v>
      </c>
      <c r="P2992" s="17">
        <v>264.9914999916312</v>
      </c>
      <c r="Q2992" s="17">
        <v>0</v>
      </c>
      <c r="R2992" s="13"/>
      <c r="S2992" s="13"/>
      <c r="T2992" s="13"/>
      <c r="U2992" s="13"/>
      <c r="V2992" s="13"/>
      <c r="W2992" s="13"/>
    </row>
    <row r="2993" spans="1:23" x14ac:dyDescent="0.2">
      <c r="A2993"/>
      <c r="B2993"/>
      <c r="C2993"/>
      <c r="D2993"/>
      <c r="E2993"/>
      <c r="F2993"/>
      <c r="G2993"/>
      <c r="H2993"/>
      <c r="I2993"/>
      <c r="J2993"/>
      <c r="K2993" s="13" t="s">
        <v>237</v>
      </c>
      <c r="L2993" s="13" t="s">
        <v>511</v>
      </c>
      <c r="M2993" s="13" t="s">
        <v>377</v>
      </c>
      <c r="N2993" s="15">
        <v>0</v>
      </c>
      <c r="O2993" s="16">
        <v>0</v>
      </c>
      <c r="P2993" s="17">
        <v>21.692523952478936</v>
      </c>
      <c r="Q2993" s="17">
        <v>0</v>
      </c>
      <c r="R2993" s="13"/>
      <c r="S2993" s="13"/>
      <c r="T2993" s="13"/>
      <c r="U2993" s="13"/>
      <c r="V2993" s="13"/>
      <c r="W2993" s="13"/>
    </row>
    <row r="2994" spans="1:23" x14ac:dyDescent="0.2">
      <c r="A2994"/>
      <c r="B2994"/>
      <c r="C2994"/>
      <c r="D2994"/>
      <c r="E2994"/>
      <c r="F2994"/>
      <c r="G2994"/>
      <c r="H2994"/>
      <c r="I2994"/>
      <c r="J2994"/>
      <c r="K2994" s="13" t="s">
        <v>237</v>
      </c>
      <c r="L2994" s="13" t="s">
        <v>402</v>
      </c>
      <c r="M2994" s="13" t="s">
        <v>403</v>
      </c>
      <c r="N2994" s="15">
        <v>0</v>
      </c>
      <c r="O2994" s="16">
        <v>0</v>
      </c>
      <c r="P2994" s="17">
        <v>1780.9236999558848</v>
      </c>
      <c r="Q2994" s="17">
        <v>0</v>
      </c>
      <c r="R2994" s="13"/>
      <c r="S2994" s="13"/>
      <c r="T2994" s="13"/>
      <c r="U2994" s="13"/>
      <c r="V2994" s="13"/>
      <c r="W2994" s="13"/>
    </row>
    <row r="2995" spans="1:23" x14ac:dyDescent="0.2">
      <c r="A2995"/>
      <c r="B2995"/>
      <c r="C2995"/>
      <c r="D2995"/>
      <c r="E2995"/>
      <c r="F2995"/>
      <c r="G2995"/>
      <c r="H2995"/>
      <c r="I2995"/>
      <c r="J2995"/>
      <c r="K2995" s="13" t="s">
        <v>237</v>
      </c>
      <c r="L2995" s="13" t="s">
        <v>404</v>
      </c>
      <c r="M2995" s="13" t="s">
        <v>405</v>
      </c>
      <c r="N2995" s="15">
        <v>0</v>
      </c>
      <c r="O2995" s="16">
        <v>0</v>
      </c>
      <c r="P2995" s="17">
        <v>9.4005999969277543</v>
      </c>
      <c r="Q2995" s="17">
        <v>49.558769233484718</v>
      </c>
      <c r="R2995" s="13"/>
      <c r="S2995" s="13"/>
      <c r="T2995" s="13"/>
      <c r="U2995" s="13"/>
      <c r="V2995" s="13"/>
      <c r="W2995" s="13"/>
    </row>
    <row r="2996" spans="1:23" x14ac:dyDescent="0.2">
      <c r="A2996"/>
      <c r="B2996"/>
      <c r="C2996"/>
      <c r="D2996"/>
      <c r="E2996"/>
      <c r="F2996"/>
      <c r="G2996"/>
      <c r="H2996"/>
      <c r="I2996"/>
      <c r="J2996"/>
      <c r="K2996" s="13" t="s">
        <v>237</v>
      </c>
      <c r="L2996" s="13" t="s">
        <v>381</v>
      </c>
      <c r="M2996" s="13" t="s">
        <v>382</v>
      </c>
      <c r="N2996" s="15">
        <v>47</v>
      </c>
      <c r="O2996" s="16">
        <v>0</v>
      </c>
      <c r="P2996" s="17">
        <v>0</v>
      </c>
      <c r="Q2996" s="17">
        <v>0</v>
      </c>
      <c r="R2996" s="13"/>
      <c r="S2996" s="13"/>
      <c r="T2996" s="13"/>
      <c r="U2996" s="13"/>
      <c r="V2996" s="13"/>
      <c r="W2996" s="13"/>
    </row>
    <row r="2997" spans="1:23" x14ac:dyDescent="0.2">
      <c r="A2997"/>
      <c r="B2997"/>
      <c r="C2997"/>
      <c r="D2997"/>
      <c r="E2997"/>
      <c r="F2997"/>
      <c r="G2997"/>
      <c r="H2997"/>
      <c r="I2997"/>
      <c r="J2997"/>
      <c r="K2997" s="13" t="s">
        <v>237</v>
      </c>
      <c r="L2997" s="13" t="s">
        <v>409</v>
      </c>
      <c r="M2997" s="13" t="s">
        <v>410</v>
      </c>
      <c r="N2997" s="15">
        <v>5</v>
      </c>
      <c r="O2997" s="16">
        <v>0</v>
      </c>
      <c r="P2997" s="17">
        <v>0</v>
      </c>
      <c r="Q2997" s="17">
        <v>0</v>
      </c>
      <c r="R2997" s="13"/>
      <c r="S2997" s="13"/>
      <c r="T2997" s="13"/>
      <c r="U2997" s="13"/>
      <c r="V2997" s="13"/>
      <c r="W2997" s="13"/>
    </row>
    <row r="2998" spans="1:23" x14ac:dyDescent="0.2">
      <c r="A2998"/>
      <c r="B2998"/>
      <c r="C2998"/>
      <c r="D2998"/>
      <c r="E2998"/>
      <c r="F2998"/>
      <c r="G2998"/>
      <c r="H2998"/>
      <c r="I2998"/>
      <c r="J2998"/>
      <c r="K2998" s="13" t="s">
        <v>237</v>
      </c>
      <c r="L2998" s="13" t="s">
        <v>411</v>
      </c>
      <c r="M2998" s="13" t="s">
        <v>362</v>
      </c>
      <c r="N2998" s="15">
        <v>0</v>
      </c>
      <c r="O2998" s="16">
        <v>0</v>
      </c>
      <c r="P2998" s="17">
        <v>27.692849998495983</v>
      </c>
      <c r="Q2998" s="17">
        <v>0</v>
      </c>
      <c r="R2998" s="13"/>
      <c r="S2998" s="13"/>
      <c r="T2998" s="13"/>
      <c r="U2998" s="13"/>
      <c r="V2998" s="13"/>
      <c r="W2998" s="13"/>
    </row>
    <row r="2999" spans="1:23" x14ac:dyDescent="0.2">
      <c r="A2999"/>
      <c r="B2999"/>
      <c r="C2999"/>
      <c r="D2999"/>
      <c r="E2999"/>
      <c r="F2999"/>
      <c r="G2999"/>
      <c r="H2999"/>
      <c r="I2999"/>
      <c r="J2999"/>
      <c r="K2999" s="13" t="s">
        <v>237</v>
      </c>
      <c r="L2999" s="13" t="s">
        <v>411</v>
      </c>
      <c r="M2999" s="13" t="s">
        <v>362</v>
      </c>
      <c r="N2999" s="15">
        <v>0</v>
      </c>
      <c r="O2999" s="16">
        <v>140.98027692978593</v>
      </c>
      <c r="P2999" s="17">
        <v>0</v>
      </c>
      <c r="Q2999" s="17">
        <v>0</v>
      </c>
      <c r="R2999" s="13"/>
      <c r="S2999" s="13"/>
      <c r="T2999" s="13"/>
      <c r="U2999" s="13"/>
      <c r="V2999" s="13"/>
      <c r="W2999" s="13"/>
    </row>
    <row r="3000" spans="1:23" x14ac:dyDescent="0.2">
      <c r="A3000"/>
      <c r="B3000"/>
      <c r="C3000"/>
      <c r="D3000"/>
      <c r="E3000"/>
      <c r="F3000"/>
      <c r="G3000"/>
      <c r="H3000"/>
      <c r="I3000"/>
      <c r="J3000"/>
      <c r="K3000" s="13" t="s">
        <v>237</v>
      </c>
      <c r="L3000" s="13" t="s">
        <v>411</v>
      </c>
      <c r="M3000" s="13" t="s">
        <v>362</v>
      </c>
      <c r="N3000" s="15">
        <v>15</v>
      </c>
      <c r="O3000" s="16">
        <v>0</v>
      </c>
      <c r="P3000" s="17">
        <v>0</v>
      </c>
      <c r="Q3000" s="17">
        <v>0</v>
      </c>
      <c r="R3000" s="13"/>
      <c r="S3000" s="13"/>
      <c r="T3000" s="13"/>
      <c r="U3000" s="13"/>
      <c r="V3000" s="13"/>
      <c r="W3000" s="13"/>
    </row>
    <row r="3001" spans="1:23" x14ac:dyDescent="0.2">
      <c r="A3001"/>
      <c r="B3001"/>
      <c r="C3001"/>
      <c r="D3001"/>
      <c r="E3001"/>
      <c r="F3001"/>
      <c r="G3001"/>
      <c r="H3001"/>
      <c r="I3001"/>
      <c r="J3001"/>
      <c r="K3001" s="13" t="s">
        <v>237</v>
      </c>
      <c r="L3001" s="13" t="s">
        <v>605</v>
      </c>
      <c r="M3001" s="13" t="s">
        <v>429</v>
      </c>
      <c r="N3001" s="15">
        <v>0</v>
      </c>
      <c r="O3001" s="16">
        <v>4.7199999997392297</v>
      </c>
      <c r="P3001" s="17">
        <v>0</v>
      </c>
      <c r="Q3001" s="17">
        <v>0</v>
      </c>
      <c r="R3001" s="13"/>
      <c r="S3001" s="13"/>
      <c r="T3001" s="13"/>
      <c r="U3001" s="13"/>
      <c r="V3001" s="13"/>
      <c r="W3001" s="13"/>
    </row>
    <row r="3002" spans="1:23" x14ac:dyDescent="0.2">
      <c r="A3002"/>
      <c r="B3002"/>
      <c r="C3002"/>
      <c r="D3002"/>
      <c r="E3002"/>
      <c r="F3002"/>
      <c r="G3002"/>
      <c r="H3002"/>
      <c r="I3002"/>
      <c r="J3002"/>
      <c r="K3002" s="13" t="s">
        <v>237</v>
      </c>
      <c r="L3002" s="13" t="s">
        <v>606</v>
      </c>
      <c r="M3002" s="13" t="s">
        <v>430</v>
      </c>
      <c r="N3002" s="15">
        <v>3</v>
      </c>
      <c r="O3002" s="16">
        <v>0</v>
      </c>
      <c r="P3002" s="17">
        <v>0</v>
      </c>
      <c r="Q3002" s="17">
        <v>0</v>
      </c>
      <c r="R3002" s="13"/>
      <c r="S3002" s="13"/>
      <c r="T3002" s="13"/>
      <c r="U3002" s="13"/>
      <c r="V3002" s="13"/>
      <c r="W3002" s="13"/>
    </row>
    <row r="3003" spans="1:23" x14ac:dyDescent="0.2">
      <c r="A3003"/>
      <c r="B3003"/>
      <c r="C3003"/>
      <c r="D3003"/>
      <c r="E3003"/>
      <c r="F3003"/>
      <c r="G3003"/>
      <c r="H3003"/>
      <c r="I3003"/>
      <c r="J3003"/>
      <c r="K3003" s="13" t="s">
        <v>237</v>
      </c>
      <c r="L3003" s="13" t="s">
        <v>623</v>
      </c>
      <c r="M3003" s="13" t="s">
        <v>530</v>
      </c>
      <c r="N3003" s="15">
        <v>0</v>
      </c>
      <c r="O3003" s="16">
        <v>117.26644563777874</v>
      </c>
      <c r="P3003" s="17">
        <v>0</v>
      </c>
      <c r="Q3003" s="17">
        <v>0</v>
      </c>
      <c r="R3003" s="13"/>
      <c r="S3003" s="13"/>
      <c r="T3003" s="13"/>
      <c r="U3003" s="13"/>
      <c r="V3003" s="13"/>
      <c r="W3003" s="13"/>
    </row>
    <row r="3004" spans="1:23" x14ac:dyDescent="0.2">
      <c r="A3004"/>
      <c r="B3004"/>
      <c r="C3004"/>
      <c r="D3004"/>
      <c r="E3004"/>
      <c r="F3004"/>
      <c r="G3004"/>
      <c r="H3004"/>
      <c r="I3004"/>
      <c r="J3004"/>
      <c r="K3004" s="13" t="s">
        <v>237</v>
      </c>
      <c r="L3004" s="13" t="s">
        <v>383</v>
      </c>
      <c r="M3004" s="13" t="s">
        <v>420</v>
      </c>
      <c r="N3004" s="15">
        <v>5</v>
      </c>
      <c r="O3004" s="16">
        <v>0</v>
      </c>
      <c r="P3004" s="17">
        <v>0</v>
      </c>
      <c r="Q3004" s="17">
        <v>0</v>
      </c>
      <c r="R3004" s="13"/>
      <c r="S3004" s="13"/>
      <c r="T3004" s="13"/>
      <c r="U3004" s="13"/>
      <c r="V3004" s="13"/>
      <c r="W3004" s="13"/>
    </row>
    <row r="3005" spans="1:23" x14ac:dyDescent="0.2">
      <c r="A3005"/>
      <c r="B3005"/>
      <c r="C3005"/>
      <c r="D3005"/>
      <c r="E3005"/>
      <c r="F3005"/>
      <c r="G3005"/>
      <c r="H3005"/>
      <c r="I3005"/>
      <c r="J3005"/>
      <c r="K3005" s="13" t="s">
        <v>237</v>
      </c>
      <c r="L3005" s="13" t="s">
        <v>528</v>
      </c>
      <c r="M3005" s="13" t="s">
        <v>384</v>
      </c>
      <c r="N3005" s="15">
        <v>0</v>
      </c>
      <c r="O3005" s="16">
        <v>256.21533115840589</v>
      </c>
      <c r="P3005" s="17">
        <v>0</v>
      </c>
      <c r="Q3005" s="17">
        <v>0</v>
      </c>
      <c r="R3005" s="13"/>
      <c r="S3005" s="13"/>
      <c r="T3005" s="13"/>
      <c r="U3005" s="13"/>
      <c r="V3005" s="13"/>
      <c r="W3005" s="13"/>
    </row>
    <row r="3006" spans="1:23" x14ac:dyDescent="0.2">
      <c r="A3006"/>
      <c r="B3006"/>
      <c r="C3006"/>
      <c r="D3006"/>
      <c r="E3006"/>
      <c r="F3006"/>
      <c r="G3006"/>
      <c r="H3006"/>
      <c r="I3006"/>
      <c r="J3006"/>
      <c r="K3006" s="13" t="s">
        <v>237</v>
      </c>
      <c r="L3006" s="13" t="s">
        <v>613</v>
      </c>
      <c r="M3006" s="13" t="s">
        <v>444</v>
      </c>
      <c r="N3006" s="15">
        <v>0</v>
      </c>
      <c r="O3006" s="16">
        <v>40.762177658096739</v>
      </c>
      <c r="P3006" s="17">
        <v>0</v>
      </c>
      <c r="Q3006" s="17">
        <v>0</v>
      </c>
      <c r="R3006" s="13"/>
      <c r="S3006" s="13"/>
      <c r="T3006" s="13"/>
      <c r="U3006" s="13"/>
      <c r="V3006" s="13"/>
      <c r="W3006" s="13"/>
    </row>
    <row r="3007" spans="1:23" x14ac:dyDescent="0.2">
      <c r="A3007"/>
      <c r="B3007"/>
      <c r="C3007"/>
      <c r="D3007"/>
      <c r="E3007"/>
      <c r="F3007"/>
      <c r="G3007"/>
      <c r="H3007"/>
      <c r="I3007"/>
      <c r="J3007"/>
      <c r="K3007" s="13" t="s">
        <v>237</v>
      </c>
      <c r="L3007" s="13" t="s">
        <v>611</v>
      </c>
      <c r="M3007" s="13" t="s">
        <v>423</v>
      </c>
      <c r="N3007" s="15">
        <v>0</v>
      </c>
      <c r="O3007" s="16">
        <v>38.742755375555262</v>
      </c>
      <c r="P3007" s="17">
        <v>0</v>
      </c>
      <c r="Q3007" s="17">
        <v>0</v>
      </c>
      <c r="R3007" s="13"/>
      <c r="S3007" s="13"/>
      <c r="T3007" s="13"/>
      <c r="U3007" s="13"/>
      <c r="V3007" s="13"/>
      <c r="W3007" s="13"/>
    </row>
    <row r="3008" spans="1:23" x14ac:dyDescent="0.2">
      <c r="A3008"/>
      <c r="B3008"/>
      <c r="C3008"/>
      <c r="D3008"/>
      <c r="E3008"/>
      <c r="F3008"/>
      <c r="G3008"/>
      <c r="H3008"/>
      <c r="I3008"/>
      <c r="J3008"/>
      <c r="K3008" s="13" t="s">
        <v>237</v>
      </c>
      <c r="L3008" s="13" t="s">
        <v>446</v>
      </c>
      <c r="M3008" s="13" t="s">
        <v>371</v>
      </c>
      <c r="N3008" s="15">
        <v>31</v>
      </c>
      <c r="O3008" s="16">
        <v>0</v>
      </c>
      <c r="P3008" s="17">
        <v>0</v>
      </c>
      <c r="Q3008" s="17">
        <v>0</v>
      </c>
      <c r="R3008" s="13"/>
      <c r="S3008" s="13"/>
      <c r="T3008" s="13"/>
      <c r="U3008" s="13"/>
      <c r="V3008" s="13"/>
      <c r="W3008" s="13"/>
    </row>
    <row r="3009" spans="1:23" x14ac:dyDescent="0.2">
      <c r="A3009"/>
      <c r="B3009"/>
      <c r="C3009"/>
      <c r="D3009"/>
      <c r="E3009"/>
      <c r="F3009"/>
      <c r="G3009"/>
      <c r="H3009"/>
      <c r="I3009"/>
      <c r="J3009"/>
      <c r="K3009" s="13" t="s">
        <v>237</v>
      </c>
      <c r="L3009" s="13" t="s">
        <v>424</v>
      </c>
      <c r="M3009" s="13" t="s">
        <v>468</v>
      </c>
      <c r="N3009" s="15">
        <v>0</v>
      </c>
      <c r="O3009" s="16">
        <v>0</v>
      </c>
      <c r="P3009" s="17">
        <v>38.059400003249202</v>
      </c>
      <c r="Q3009" s="17">
        <v>0</v>
      </c>
      <c r="R3009" s="13"/>
      <c r="S3009" s="13"/>
      <c r="T3009" s="13"/>
      <c r="U3009" s="13"/>
      <c r="V3009" s="13"/>
      <c r="W3009" s="13"/>
    </row>
    <row r="3010" spans="1:23" x14ac:dyDescent="0.2">
      <c r="A3010"/>
      <c r="B3010"/>
      <c r="C3010"/>
      <c r="D3010"/>
      <c r="E3010"/>
      <c r="F3010"/>
      <c r="G3010"/>
      <c r="H3010"/>
      <c r="I3010"/>
      <c r="J3010"/>
      <c r="K3010" s="13" t="s">
        <v>237</v>
      </c>
      <c r="L3010" s="13" t="s">
        <v>484</v>
      </c>
      <c r="M3010" s="13" t="s">
        <v>529</v>
      </c>
      <c r="N3010" s="15">
        <v>0</v>
      </c>
      <c r="O3010" s="16">
        <v>79.768423353271317</v>
      </c>
      <c r="P3010" s="17">
        <v>0</v>
      </c>
      <c r="Q3010" s="17">
        <v>0</v>
      </c>
      <c r="R3010" s="13"/>
      <c r="S3010" s="13"/>
      <c r="T3010" s="13"/>
      <c r="U3010" s="13"/>
      <c r="V3010" s="13"/>
      <c r="W3010" s="13"/>
    </row>
    <row r="3011" spans="1:23" x14ac:dyDescent="0.2">
      <c r="A3011"/>
      <c r="B3011"/>
      <c r="C3011"/>
      <c r="D3011"/>
      <c r="E3011"/>
      <c r="F3011"/>
      <c r="G3011"/>
      <c r="H3011"/>
      <c r="I3011"/>
      <c r="J3011"/>
      <c r="K3011" s="13" t="s">
        <v>239</v>
      </c>
      <c r="L3011" s="13" t="s">
        <v>435</v>
      </c>
      <c r="M3011" s="13" t="s">
        <v>364</v>
      </c>
      <c r="N3011" s="15">
        <v>0</v>
      </c>
      <c r="O3011" s="16">
        <v>0</v>
      </c>
      <c r="P3011" s="17">
        <v>75.205199998724439</v>
      </c>
      <c r="Q3011" s="17">
        <v>0</v>
      </c>
      <c r="R3011" s="13"/>
      <c r="S3011" s="13"/>
      <c r="T3011" s="13"/>
      <c r="U3011" s="13"/>
      <c r="V3011" s="13"/>
      <c r="W3011" s="13"/>
    </row>
    <row r="3012" spans="1:23" x14ac:dyDescent="0.2">
      <c r="A3012"/>
      <c r="B3012"/>
      <c r="C3012"/>
      <c r="D3012"/>
      <c r="E3012"/>
      <c r="F3012"/>
      <c r="G3012"/>
      <c r="H3012"/>
      <c r="I3012"/>
      <c r="J3012"/>
      <c r="K3012" s="13" t="s">
        <v>239</v>
      </c>
      <c r="L3012" s="13" t="s">
        <v>635</v>
      </c>
      <c r="M3012" s="13" t="s">
        <v>507</v>
      </c>
      <c r="N3012" s="15">
        <v>0</v>
      </c>
      <c r="O3012" s="16">
        <v>0</v>
      </c>
      <c r="P3012" s="17">
        <v>13.260949994800335</v>
      </c>
      <c r="Q3012" s="17">
        <v>0</v>
      </c>
      <c r="R3012" s="13"/>
      <c r="S3012" s="13"/>
      <c r="T3012" s="13"/>
      <c r="U3012" s="13"/>
      <c r="V3012" s="13"/>
      <c r="W3012" s="13"/>
    </row>
    <row r="3013" spans="1:23" x14ac:dyDescent="0.2">
      <c r="A3013"/>
      <c r="B3013"/>
      <c r="C3013"/>
      <c r="D3013"/>
      <c r="E3013"/>
      <c r="F3013"/>
      <c r="G3013"/>
      <c r="H3013"/>
      <c r="I3013"/>
      <c r="J3013"/>
      <c r="K3013" s="13" t="s">
        <v>239</v>
      </c>
      <c r="L3013" s="13" t="s">
        <v>387</v>
      </c>
      <c r="M3013" s="13" t="s">
        <v>386</v>
      </c>
      <c r="N3013" s="15">
        <v>0</v>
      </c>
      <c r="O3013" s="16">
        <v>0</v>
      </c>
      <c r="P3013" s="17">
        <v>635.22254996252377</v>
      </c>
      <c r="Q3013" s="17">
        <v>0</v>
      </c>
      <c r="R3013" s="13"/>
      <c r="S3013" s="13"/>
      <c r="T3013" s="13"/>
      <c r="U3013" s="13"/>
      <c r="V3013" s="13"/>
      <c r="W3013" s="13"/>
    </row>
    <row r="3014" spans="1:23" x14ac:dyDescent="0.2">
      <c r="A3014"/>
      <c r="B3014"/>
      <c r="C3014"/>
      <c r="D3014"/>
      <c r="E3014"/>
      <c r="F3014"/>
      <c r="G3014"/>
      <c r="H3014"/>
      <c r="I3014"/>
      <c r="J3014"/>
      <c r="K3014" s="13" t="s">
        <v>239</v>
      </c>
      <c r="L3014" s="13" t="s">
        <v>389</v>
      </c>
      <c r="M3014" s="13" t="s">
        <v>388</v>
      </c>
      <c r="N3014" s="15">
        <v>0</v>
      </c>
      <c r="O3014" s="16">
        <v>0</v>
      </c>
      <c r="P3014" s="17">
        <v>637.85124997511571</v>
      </c>
      <c r="Q3014" s="17">
        <v>0</v>
      </c>
      <c r="R3014" s="13"/>
      <c r="S3014" s="13"/>
      <c r="T3014" s="13"/>
      <c r="U3014" s="13"/>
      <c r="V3014" s="13"/>
      <c r="W3014" s="13"/>
    </row>
    <row r="3015" spans="1:23" x14ac:dyDescent="0.2">
      <c r="A3015"/>
      <c r="B3015"/>
      <c r="C3015"/>
      <c r="D3015"/>
      <c r="E3015"/>
      <c r="F3015"/>
      <c r="G3015"/>
      <c r="H3015"/>
      <c r="I3015"/>
      <c r="J3015"/>
      <c r="K3015" s="13" t="s">
        <v>239</v>
      </c>
      <c r="L3015" s="13" t="s">
        <v>391</v>
      </c>
      <c r="M3015" s="13" t="s">
        <v>358</v>
      </c>
      <c r="N3015" s="15">
        <v>0</v>
      </c>
      <c r="O3015" s="16">
        <v>0</v>
      </c>
      <c r="P3015" s="17">
        <v>29.103449994175765</v>
      </c>
      <c r="Q3015" s="17">
        <v>0</v>
      </c>
      <c r="R3015" s="13"/>
      <c r="S3015" s="13"/>
      <c r="T3015" s="13"/>
      <c r="U3015" s="13"/>
      <c r="V3015" s="13"/>
      <c r="W3015" s="13"/>
    </row>
    <row r="3016" spans="1:23" x14ac:dyDescent="0.2">
      <c r="A3016"/>
      <c r="B3016"/>
      <c r="C3016"/>
      <c r="D3016"/>
      <c r="E3016"/>
      <c r="F3016"/>
      <c r="G3016"/>
      <c r="H3016"/>
      <c r="I3016"/>
      <c r="J3016"/>
      <c r="K3016" s="13" t="s">
        <v>239</v>
      </c>
      <c r="L3016" s="13" t="s">
        <v>450</v>
      </c>
      <c r="M3016" s="13" t="s">
        <v>368</v>
      </c>
      <c r="N3016" s="15">
        <v>0</v>
      </c>
      <c r="O3016" s="16">
        <v>0</v>
      </c>
      <c r="P3016" s="17">
        <v>58.740599995055234</v>
      </c>
      <c r="Q3016" s="17">
        <v>0</v>
      </c>
      <c r="R3016" s="13"/>
      <c r="S3016" s="13"/>
      <c r="T3016" s="13"/>
      <c r="U3016" s="13"/>
      <c r="V3016" s="13"/>
      <c r="W3016" s="13"/>
    </row>
    <row r="3017" spans="1:23" x14ac:dyDescent="0.2">
      <c r="A3017"/>
      <c r="B3017"/>
      <c r="C3017"/>
      <c r="D3017"/>
      <c r="E3017"/>
      <c r="F3017"/>
      <c r="G3017"/>
      <c r="H3017"/>
      <c r="I3017"/>
      <c r="J3017"/>
      <c r="K3017" s="13" t="s">
        <v>239</v>
      </c>
      <c r="L3017" s="13" t="s">
        <v>436</v>
      </c>
      <c r="M3017" s="13" t="s">
        <v>487</v>
      </c>
      <c r="N3017" s="15">
        <v>0</v>
      </c>
      <c r="O3017" s="16">
        <v>0</v>
      </c>
      <c r="P3017" s="17">
        <v>4.3835999994292845</v>
      </c>
      <c r="Q3017" s="17">
        <v>0</v>
      </c>
      <c r="R3017" s="13"/>
      <c r="S3017" s="13"/>
      <c r="T3017" s="13"/>
      <c r="U3017" s="13"/>
      <c r="V3017" s="13"/>
      <c r="W3017" s="13"/>
    </row>
    <row r="3018" spans="1:23" x14ac:dyDescent="0.2">
      <c r="A3018"/>
      <c r="B3018"/>
      <c r="C3018"/>
      <c r="D3018"/>
      <c r="E3018"/>
      <c r="F3018"/>
      <c r="G3018"/>
      <c r="H3018"/>
      <c r="I3018"/>
      <c r="J3018"/>
      <c r="K3018" s="13" t="s">
        <v>239</v>
      </c>
      <c r="L3018" s="13" t="s">
        <v>392</v>
      </c>
      <c r="M3018" s="13" t="s">
        <v>437</v>
      </c>
      <c r="N3018" s="15">
        <v>0</v>
      </c>
      <c r="O3018" s="16">
        <v>0</v>
      </c>
      <c r="P3018" s="17">
        <v>10.749550002542255</v>
      </c>
      <c r="Q3018" s="17">
        <v>0</v>
      </c>
      <c r="R3018" s="13"/>
      <c r="S3018" s="13"/>
      <c r="T3018" s="13"/>
      <c r="U3018" s="13"/>
      <c r="V3018" s="13"/>
      <c r="W3018" s="13"/>
    </row>
    <row r="3019" spans="1:23" x14ac:dyDescent="0.2">
      <c r="A3019"/>
      <c r="B3019"/>
      <c r="C3019"/>
      <c r="D3019"/>
      <c r="E3019"/>
      <c r="F3019"/>
      <c r="G3019"/>
      <c r="H3019"/>
      <c r="I3019"/>
      <c r="J3019"/>
      <c r="K3019" s="13" t="s">
        <v>239</v>
      </c>
      <c r="L3019" s="13" t="s">
        <v>486</v>
      </c>
      <c r="M3019" s="13" t="s">
        <v>439</v>
      </c>
      <c r="N3019" s="15">
        <v>0</v>
      </c>
      <c r="O3019" s="16">
        <v>0</v>
      </c>
      <c r="P3019" s="17">
        <v>3.9500000005378402</v>
      </c>
      <c r="Q3019" s="17">
        <v>0</v>
      </c>
      <c r="R3019" s="13"/>
      <c r="S3019" s="13"/>
      <c r="T3019" s="13"/>
      <c r="U3019" s="13"/>
      <c r="V3019" s="13"/>
      <c r="W3019" s="13"/>
    </row>
    <row r="3020" spans="1:23" x14ac:dyDescent="0.2">
      <c r="A3020"/>
      <c r="B3020"/>
      <c r="C3020"/>
      <c r="D3020"/>
      <c r="E3020"/>
      <c r="F3020"/>
      <c r="G3020"/>
      <c r="H3020"/>
      <c r="I3020"/>
      <c r="J3020"/>
      <c r="K3020" s="13" t="s">
        <v>239</v>
      </c>
      <c r="L3020" s="13" t="s">
        <v>512</v>
      </c>
      <c r="M3020" s="13" t="s">
        <v>466</v>
      </c>
      <c r="N3020" s="15">
        <v>0</v>
      </c>
      <c r="O3020" s="16">
        <v>0</v>
      </c>
      <c r="P3020" s="17">
        <v>314.50095000645814</v>
      </c>
      <c r="Q3020" s="17">
        <v>0</v>
      </c>
      <c r="R3020" s="13"/>
      <c r="S3020" s="13"/>
      <c r="T3020" s="13"/>
      <c r="U3020" s="13"/>
      <c r="V3020" s="13"/>
      <c r="W3020" s="13"/>
    </row>
    <row r="3021" spans="1:23" x14ac:dyDescent="0.2">
      <c r="A3021"/>
      <c r="B3021"/>
      <c r="C3021"/>
      <c r="D3021"/>
      <c r="E3021"/>
      <c r="F3021"/>
      <c r="G3021"/>
      <c r="H3021"/>
      <c r="I3021"/>
      <c r="J3021"/>
      <c r="K3021" s="13" t="s">
        <v>239</v>
      </c>
      <c r="L3021" s="13" t="s">
        <v>440</v>
      </c>
      <c r="M3021" s="13" t="s">
        <v>441</v>
      </c>
      <c r="N3021" s="15">
        <v>12</v>
      </c>
      <c r="O3021" s="16">
        <v>0</v>
      </c>
      <c r="P3021" s="17">
        <v>0</v>
      </c>
      <c r="Q3021" s="17">
        <v>0</v>
      </c>
      <c r="R3021" s="13"/>
      <c r="S3021" s="13"/>
      <c r="T3021" s="13"/>
      <c r="U3021" s="13"/>
      <c r="V3021" s="13"/>
      <c r="W3021" s="13"/>
    </row>
    <row r="3022" spans="1:23" x14ac:dyDescent="0.2">
      <c r="A3022"/>
      <c r="B3022"/>
      <c r="C3022"/>
      <c r="D3022"/>
      <c r="E3022"/>
      <c r="F3022"/>
      <c r="G3022"/>
      <c r="H3022"/>
      <c r="I3022"/>
      <c r="J3022"/>
      <c r="K3022" s="13" t="s">
        <v>239</v>
      </c>
      <c r="L3022" s="13" t="s">
        <v>394</v>
      </c>
      <c r="M3022" s="13" t="s">
        <v>359</v>
      </c>
      <c r="N3022" s="15">
        <v>0</v>
      </c>
      <c r="O3022" s="16">
        <v>0</v>
      </c>
      <c r="P3022" s="17">
        <v>44.218799996475624</v>
      </c>
      <c r="Q3022" s="17">
        <v>0</v>
      </c>
      <c r="R3022" s="13"/>
      <c r="S3022" s="13"/>
      <c r="T3022" s="13"/>
      <c r="U3022" s="13"/>
      <c r="V3022" s="13"/>
      <c r="W3022" s="13"/>
    </row>
    <row r="3023" spans="1:23" x14ac:dyDescent="0.2">
      <c r="A3023"/>
      <c r="B3023"/>
      <c r="C3023"/>
      <c r="D3023"/>
      <c r="E3023"/>
      <c r="F3023"/>
      <c r="G3023"/>
      <c r="H3023"/>
      <c r="I3023"/>
      <c r="J3023"/>
      <c r="K3023" s="13" t="s">
        <v>239</v>
      </c>
      <c r="L3023" s="13" t="s">
        <v>397</v>
      </c>
      <c r="M3023" s="13" t="s">
        <v>398</v>
      </c>
      <c r="N3023" s="15">
        <v>0</v>
      </c>
      <c r="O3023" s="16">
        <v>0</v>
      </c>
      <c r="P3023" s="17">
        <v>96.310000006760831</v>
      </c>
      <c r="Q3023" s="17">
        <v>0</v>
      </c>
      <c r="R3023" s="13"/>
      <c r="S3023" s="13"/>
      <c r="T3023" s="13"/>
      <c r="U3023" s="13"/>
      <c r="V3023" s="13"/>
      <c r="W3023" s="13"/>
    </row>
    <row r="3024" spans="1:23" x14ac:dyDescent="0.2">
      <c r="A3024"/>
      <c r="B3024"/>
      <c r="C3024"/>
      <c r="D3024"/>
      <c r="E3024"/>
      <c r="F3024"/>
      <c r="G3024"/>
      <c r="H3024"/>
      <c r="I3024"/>
      <c r="J3024"/>
      <c r="K3024" s="13" t="s">
        <v>239</v>
      </c>
      <c r="L3024" s="13" t="s">
        <v>399</v>
      </c>
      <c r="M3024" s="13" t="s">
        <v>400</v>
      </c>
      <c r="N3024" s="15">
        <v>0</v>
      </c>
      <c r="O3024" s="16">
        <v>0</v>
      </c>
      <c r="P3024" s="17">
        <v>20.329849998933938</v>
      </c>
      <c r="Q3024" s="17">
        <v>0</v>
      </c>
      <c r="R3024" s="13"/>
      <c r="S3024" s="13"/>
      <c r="T3024" s="13"/>
      <c r="U3024" s="13"/>
      <c r="V3024" s="13"/>
      <c r="W3024" s="13"/>
    </row>
    <row r="3025" spans="1:23" x14ac:dyDescent="0.2">
      <c r="A3025"/>
      <c r="B3025"/>
      <c r="C3025"/>
      <c r="D3025"/>
      <c r="E3025"/>
      <c r="F3025"/>
      <c r="G3025"/>
      <c r="H3025"/>
      <c r="I3025"/>
      <c r="J3025"/>
      <c r="K3025" s="13" t="s">
        <v>239</v>
      </c>
      <c r="L3025" s="13" t="s">
        <v>401</v>
      </c>
      <c r="M3025" s="13" t="s">
        <v>360</v>
      </c>
      <c r="N3025" s="15">
        <v>0</v>
      </c>
      <c r="O3025" s="16">
        <v>0</v>
      </c>
      <c r="P3025" s="17">
        <v>655.72974998654263</v>
      </c>
      <c r="Q3025" s="17">
        <v>0</v>
      </c>
      <c r="R3025" s="13"/>
      <c r="S3025" s="13"/>
      <c r="T3025" s="13"/>
      <c r="U3025" s="13"/>
      <c r="V3025" s="13"/>
      <c r="W3025" s="13"/>
    </row>
    <row r="3026" spans="1:23" x14ac:dyDescent="0.2">
      <c r="A3026"/>
      <c r="B3026"/>
      <c r="C3026"/>
      <c r="D3026"/>
      <c r="E3026"/>
      <c r="F3026"/>
      <c r="G3026"/>
      <c r="H3026"/>
      <c r="I3026"/>
      <c r="J3026"/>
      <c r="K3026" s="13" t="s">
        <v>239</v>
      </c>
      <c r="L3026" s="13" t="s">
        <v>511</v>
      </c>
      <c r="M3026" s="13" t="s">
        <v>377</v>
      </c>
      <c r="N3026" s="15">
        <v>0</v>
      </c>
      <c r="O3026" s="16">
        <v>0</v>
      </c>
      <c r="P3026" s="17">
        <v>110.68279719088933</v>
      </c>
      <c r="Q3026" s="17">
        <v>0</v>
      </c>
      <c r="R3026" s="13"/>
      <c r="S3026" s="13"/>
      <c r="T3026" s="13"/>
      <c r="U3026" s="13"/>
      <c r="V3026" s="13"/>
      <c r="W3026" s="13"/>
    </row>
    <row r="3027" spans="1:23" x14ac:dyDescent="0.2">
      <c r="A3027"/>
      <c r="B3027"/>
      <c r="C3027"/>
      <c r="D3027"/>
      <c r="E3027"/>
      <c r="F3027"/>
      <c r="G3027"/>
      <c r="H3027"/>
      <c r="I3027"/>
      <c r="J3027"/>
      <c r="K3027" s="13" t="s">
        <v>239</v>
      </c>
      <c r="L3027" s="13" t="s">
        <v>402</v>
      </c>
      <c r="M3027" s="13" t="s">
        <v>403</v>
      </c>
      <c r="N3027" s="15">
        <v>0</v>
      </c>
      <c r="O3027" s="16">
        <v>0</v>
      </c>
      <c r="P3027" s="17">
        <v>1369.0064012525399</v>
      </c>
      <c r="Q3027" s="17">
        <v>0</v>
      </c>
      <c r="R3027" s="13"/>
      <c r="S3027" s="13"/>
      <c r="T3027" s="13"/>
      <c r="U3027" s="13"/>
      <c r="V3027" s="13"/>
      <c r="W3027" s="13"/>
    </row>
    <row r="3028" spans="1:23" x14ac:dyDescent="0.2">
      <c r="A3028"/>
      <c r="B3028"/>
      <c r="C3028"/>
      <c r="D3028"/>
      <c r="E3028"/>
      <c r="F3028"/>
      <c r="G3028"/>
      <c r="H3028"/>
      <c r="I3028"/>
      <c r="J3028"/>
      <c r="K3028" s="13" t="s">
        <v>239</v>
      </c>
      <c r="L3028" s="13" t="s">
        <v>448</v>
      </c>
      <c r="M3028" s="13" t="s">
        <v>366</v>
      </c>
      <c r="N3028" s="15">
        <v>0</v>
      </c>
      <c r="O3028" s="16">
        <v>0</v>
      </c>
      <c r="P3028" s="17">
        <v>267.64259999334007</v>
      </c>
      <c r="Q3028" s="17">
        <v>0</v>
      </c>
      <c r="R3028" s="13"/>
      <c r="S3028" s="13"/>
      <c r="T3028" s="13"/>
      <c r="U3028" s="13"/>
      <c r="V3028" s="13"/>
      <c r="W3028" s="13"/>
    </row>
    <row r="3029" spans="1:23" x14ac:dyDescent="0.2">
      <c r="A3029"/>
      <c r="B3029"/>
      <c r="C3029"/>
      <c r="D3029"/>
      <c r="E3029"/>
      <c r="F3029"/>
      <c r="G3029"/>
      <c r="H3029"/>
      <c r="I3029"/>
      <c r="J3029"/>
      <c r="K3029" s="13" t="s">
        <v>239</v>
      </c>
      <c r="L3029" s="13" t="s">
        <v>404</v>
      </c>
      <c r="M3029" s="13" t="s">
        <v>405</v>
      </c>
      <c r="N3029" s="15">
        <v>0</v>
      </c>
      <c r="O3029" s="16">
        <v>0</v>
      </c>
      <c r="P3029" s="17">
        <v>10.61349999809498</v>
      </c>
      <c r="Q3029" s="17">
        <v>34.597469878382057</v>
      </c>
      <c r="R3029" s="13"/>
      <c r="S3029" s="13"/>
      <c r="T3029" s="13"/>
      <c r="U3029" s="13"/>
      <c r="V3029" s="13"/>
      <c r="W3029" s="13"/>
    </row>
    <row r="3030" spans="1:23" x14ac:dyDescent="0.2">
      <c r="A3030"/>
      <c r="B3030"/>
      <c r="C3030"/>
      <c r="D3030"/>
      <c r="E3030"/>
      <c r="F3030"/>
      <c r="G3030"/>
      <c r="H3030"/>
      <c r="I3030"/>
      <c r="J3030"/>
      <c r="K3030" s="13" t="s">
        <v>239</v>
      </c>
      <c r="L3030" s="13" t="s">
        <v>406</v>
      </c>
      <c r="M3030" s="13" t="s">
        <v>361</v>
      </c>
      <c r="N3030" s="15">
        <v>0</v>
      </c>
      <c r="O3030" s="16">
        <v>0</v>
      </c>
      <c r="P3030" s="17">
        <v>72.330099992677631</v>
      </c>
      <c r="Q3030" s="17">
        <v>282.03827945306745</v>
      </c>
      <c r="R3030" s="13"/>
      <c r="S3030" s="13"/>
      <c r="T3030" s="13"/>
      <c r="U3030" s="13"/>
      <c r="V3030" s="13"/>
      <c r="W3030" s="13"/>
    </row>
    <row r="3031" spans="1:23" x14ac:dyDescent="0.2">
      <c r="A3031"/>
      <c r="B3031"/>
      <c r="C3031"/>
      <c r="D3031"/>
      <c r="E3031"/>
      <c r="F3031"/>
      <c r="G3031"/>
      <c r="H3031"/>
      <c r="I3031"/>
      <c r="J3031"/>
      <c r="K3031" s="13" t="s">
        <v>239</v>
      </c>
      <c r="L3031" s="13" t="s">
        <v>381</v>
      </c>
      <c r="M3031" s="13" t="s">
        <v>382</v>
      </c>
      <c r="N3031" s="15">
        <v>21</v>
      </c>
      <c r="O3031" s="16">
        <v>0</v>
      </c>
      <c r="P3031" s="17">
        <v>0</v>
      </c>
      <c r="Q3031" s="17">
        <v>0</v>
      </c>
      <c r="R3031" s="13"/>
      <c r="S3031" s="13"/>
      <c r="T3031" s="13"/>
      <c r="U3031" s="13"/>
      <c r="V3031" s="13"/>
      <c r="W3031" s="13"/>
    </row>
    <row r="3032" spans="1:23" x14ac:dyDescent="0.2">
      <c r="A3032"/>
      <c r="B3032"/>
      <c r="C3032"/>
      <c r="D3032"/>
      <c r="E3032"/>
      <c r="F3032"/>
      <c r="G3032"/>
      <c r="H3032"/>
      <c r="I3032"/>
      <c r="J3032"/>
      <c r="K3032" s="13" t="s">
        <v>239</v>
      </c>
      <c r="L3032" s="13" t="s">
        <v>409</v>
      </c>
      <c r="M3032" s="13" t="s">
        <v>410</v>
      </c>
      <c r="N3032" s="15">
        <v>2</v>
      </c>
      <c r="O3032" s="16">
        <v>0</v>
      </c>
      <c r="P3032" s="17">
        <v>0</v>
      </c>
      <c r="Q3032" s="17">
        <v>0</v>
      </c>
      <c r="R3032" s="13"/>
      <c r="S3032" s="13"/>
      <c r="T3032" s="13"/>
      <c r="U3032" s="13"/>
      <c r="V3032" s="13"/>
      <c r="W3032" s="13"/>
    </row>
    <row r="3033" spans="1:23" x14ac:dyDescent="0.2">
      <c r="A3033"/>
      <c r="B3033"/>
      <c r="C3033"/>
      <c r="D3033"/>
      <c r="E3033"/>
      <c r="F3033"/>
      <c r="G3033"/>
      <c r="H3033"/>
      <c r="I3033"/>
      <c r="J3033"/>
      <c r="K3033" s="13" t="s">
        <v>239</v>
      </c>
      <c r="L3033" s="13" t="s">
        <v>411</v>
      </c>
      <c r="M3033" s="13" t="s">
        <v>362</v>
      </c>
      <c r="N3033" s="15">
        <v>0</v>
      </c>
      <c r="O3033" s="16">
        <v>0</v>
      </c>
      <c r="P3033" s="17">
        <v>51.850599993376512</v>
      </c>
      <c r="Q3033" s="17">
        <v>0</v>
      </c>
      <c r="R3033" s="13"/>
      <c r="S3033" s="13"/>
      <c r="T3033" s="13"/>
      <c r="U3033" s="13"/>
      <c r="V3033" s="13"/>
      <c r="W3033" s="13"/>
    </row>
    <row r="3034" spans="1:23" x14ac:dyDescent="0.2">
      <c r="A3034"/>
      <c r="B3034"/>
      <c r="C3034"/>
      <c r="D3034"/>
      <c r="E3034"/>
      <c r="F3034"/>
      <c r="G3034"/>
      <c r="H3034"/>
      <c r="I3034"/>
      <c r="J3034"/>
      <c r="K3034" s="13" t="s">
        <v>239</v>
      </c>
      <c r="L3034" s="13" t="s">
        <v>411</v>
      </c>
      <c r="M3034" s="13" t="s">
        <v>362</v>
      </c>
      <c r="N3034" s="15">
        <v>0</v>
      </c>
      <c r="O3034" s="16">
        <v>76.811612699889892</v>
      </c>
      <c r="P3034" s="17">
        <v>0</v>
      </c>
      <c r="Q3034" s="17">
        <v>0</v>
      </c>
      <c r="R3034" s="13"/>
      <c r="S3034" s="13"/>
      <c r="T3034" s="13"/>
      <c r="U3034" s="13"/>
      <c r="V3034" s="13"/>
      <c r="W3034" s="13"/>
    </row>
    <row r="3035" spans="1:23" x14ac:dyDescent="0.2">
      <c r="A3035"/>
      <c r="B3035"/>
      <c r="C3035"/>
      <c r="D3035"/>
      <c r="E3035"/>
      <c r="F3035"/>
      <c r="G3035"/>
      <c r="H3035"/>
      <c r="I3035"/>
      <c r="J3035"/>
      <c r="K3035" s="13" t="s">
        <v>239</v>
      </c>
      <c r="L3035" s="13" t="s">
        <v>411</v>
      </c>
      <c r="M3035" s="13" t="s">
        <v>362</v>
      </c>
      <c r="N3035" s="15">
        <v>16</v>
      </c>
      <c r="O3035" s="16">
        <v>0</v>
      </c>
      <c r="P3035" s="17">
        <v>0</v>
      </c>
      <c r="Q3035" s="17">
        <v>0</v>
      </c>
      <c r="R3035" s="13"/>
      <c r="S3035" s="13"/>
      <c r="T3035" s="13"/>
      <c r="U3035" s="13"/>
      <c r="V3035" s="13"/>
      <c r="W3035" s="13"/>
    </row>
    <row r="3036" spans="1:23" x14ac:dyDescent="0.2">
      <c r="A3036"/>
      <c r="B3036"/>
      <c r="C3036"/>
      <c r="D3036"/>
      <c r="E3036"/>
      <c r="F3036"/>
      <c r="G3036"/>
      <c r="H3036"/>
      <c r="I3036"/>
      <c r="J3036"/>
      <c r="K3036" s="13" t="s">
        <v>239</v>
      </c>
      <c r="L3036" s="13" t="s">
        <v>413</v>
      </c>
      <c r="M3036" s="13" t="s">
        <v>428</v>
      </c>
      <c r="N3036" s="15">
        <v>1</v>
      </c>
      <c r="O3036" s="16">
        <v>0</v>
      </c>
      <c r="P3036" s="17">
        <v>0</v>
      </c>
      <c r="Q3036" s="17">
        <v>0</v>
      </c>
      <c r="R3036" s="13"/>
      <c r="S3036" s="13"/>
      <c r="T3036" s="13"/>
      <c r="U3036" s="13"/>
      <c r="V3036" s="13"/>
      <c r="W3036" s="13"/>
    </row>
    <row r="3037" spans="1:23" x14ac:dyDescent="0.2">
      <c r="A3037"/>
      <c r="B3037"/>
      <c r="C3037"/>
      <c r="D3037"/>
      <c r="E3037"/>
      <c r="F3037"/>
      <c r="G3037"/>
      <c r="H3037"/>
      <c r="I3037"/>
      <c r="J3037"/>
      <c r="K3037" s="13" t="s">
        <v>239</v>
      </c>
      <c r="L3037" s="13" t="s">
        <v>605</v>
      </c>
      <c r="M3037" s="13" t="s">
        <v>429</v>
      </c>
      <c r="N3037" s="15">
        <v>0</v>
      </c>
      <c r="O3037" s="16">
        <v>4.5651834580664792</v>
      </c>
      <c r="P3037" s="17">
        <v>0</v>
      </c>
      <c r="Q3037" s="17">
        <v>0</v>
      </c>
      <c r="R3037" s="13"/>
      <c r="S3037" s="13"/>
      <c r="T3037" s="13"/>
      <c r="U3037" s="13"/>
      <c r="V3037" s="13"/>
      <c r="W3037" s="13"/>
    </row>
    <row r="3038" spans="1:23" x14ac:dyDescent="0.2">
      <c r="A3038"/>
      <c r="B3038"/>
      <c r="C3038"/>
      <c r="D3038"/>
      <c r="E3038"/>
      <c r="F3038"/>
      <c r="G3038"/>
      <c r="H3038"/>
      <c r="I3038"/>
      <c r="J3038"/>
      <c r="K3038" s="13" t="s">
        <v>239</v>
      </c>
      <c r="L3038" s="13" t="s">
        <v>606</v>
      </c>
      <c r="M3038" s="13" t="s">
        <v>430</v>
      </c>
      <c r="N3038" s="15">
        <v>6</v>
      </c>
      <c r="O3038" s="16">
        <v>0</v>
      </c>
      <c r="P3038" s="17">
        <v>0</v>
      </c>
      <c r="Q3038" s="17">
        <v>0</v>
      </c>
      <c r="R3038" s="13"/>
      <c r="S3038" s="13"/>
      <c r="T3038" s="13"/>
      <c r="U3038" s="13"/>
      <c r="V3038" s="13"/>
      <c r="W3038" s="13"/>
    </row>
    <row r="3039" spans="1:23" x14ac:dyDescent="0.2">
      <c r="A3039"/>
      <c r="B3039"/>
      <c r="C3039"/>
      <c r="D3039"/>
      <c r="E3039"/>
      <c r="F3039"/>
      <c r="G3039"/>
      <c r="H3039"/>
      <c r="I3039"/>
      <c r="J3039"/>
      <c r="K3039" s="13" t="s">
        <v>239</v>
      </c>
      <c r="L3039" s="13" t="s">
        <v>623</v>
      </c>
      <c r="M3039" s="13" t="s">
        <v>530</v>
      </c>
      <c r="N3039" s="15">
        <v>0</v>
      </c>
      <c r="O3039" s="16">
        <v>172.10595220579563</v>
      </c>
      <c r="P3039" s="17">
        <v>0</v>
      </c>
      <c r="Q3039" s="17">
        <v>0</v>
      </c>
      <c r="R3039" s="13"/>
      <c r="S3039" s="13"/>
      <c r="T3039" s="13"/>
      <c r="U3039" s="13"/>
      <c r="V3039" s="13"/>
      <c r="W3039" s="13"/>
    </row>
    <row r="3040" spans="1:23" x14ac:dyDescent="0.2">
      <c r="A3040"/>
      <c r="B3040"/>
      <c r="C3040"/>
      <c r="D3040"/>
      <c r="E3040"/>
      <c r="F3040"/>
      <c r="G3040"/>
      <c r="H3040"/>
      <c r="I3040"/>
      <c r="J3040"/>
      <c r="K3040" s="13" t="s">
        <v>239</v>
      </c>
      <c r="L3040" s="13" t="s">
        <v>607</v>
      </c>
      <c r="M3040" s="13" t="s">
        <v>431</v>
      </c>
      <c r="N3040" s="15">
        <v>5</v>
      </c>
      <c r="O3040" s="16">
        <v>0</v>
      </c>
      <c r="P3040" s="17">
        <v>0</v>
      </c>
      <c r="Q3040" s="17">
        <v>0</v>
      </c>
      <c r="R3040" s="13"/>
      <c r="S3040" s="13"/>
      <c r="T3040" s="13"/>
      <c r="U3040" s="13"/>
      <c r="V3040" s="13"/>
      <c r="W3040" s="13"/>
    </row>
    <row r="3041" spans="1:23" x14ac:dyDescent="0.2">
      <c r="A3041"/>
      <c r="B3041"/>
      <c r="C3041"/>
      <c r="D3041"/>
      <c r="E3041"/>
      <c r="F3041"/>
      <c r="G3041"/>
      <c r="H3041"/>
      <c r="I3041"/>
      <c r="J3041"/>
      <c r="K3041" s="13" t="s">
        <v>239</v>
      </c>
      <c r="L3041" s="13" t="s">
        <v>608</v>
      </c>
      <c r="M3041" s="13" t="s">
        <v>432</v>
      </c>
      <c r="N3041" s="15">
        <v>1</v>
      </c>
      <c r="O3041" s="16">
        <v>0</v>
      </c>
      <c r="P3041" s="17">
        <v>0</v>
      </c>
      <c r="Q3041" s="17">
        <v>0</v>
      </c>
      <c r="R3041" s="13"/>
      <c r="S3041" s="13"/>
      <c r="T3041" s="13"/>
      <c r="U3041" s="13"/>
      <c r="V3041" s="13"/>
      <c r="W3041" s="13"/>
    </row>
    <row r="3042" spans="1:23" x14ac:dyDescent="0.2">
      <c r="A3042"/>
      <c r="B3042"/>
      <c r="C3042"/>
      <c r="D3042"/>
      <c r="E3042"/>
      <c r="F3042"/>
      <c r="G3042"/>
      <c r="H3042"/>
      <c r="I3042"/>
      <c r="J3042"/>
      <c r="K3042" s="13" t="s">
        <v>239</v>
      </c>
      <c r="L3042" s="13" t="s">
        <v>523</v>
      </c>
      <c r="M3042" s="13" t="s">
        <v>476</v>
      </c>
      <c r="N3042" s="15">
        <v>0</v>
      </c>
      <c r="O3042" s="16">
        <v>0</v>
      </c>
      <c r="P3042" s="17">
        <v>3.4531000001355774</v>
      </c>
      <c r="Q3042" s="17">
        <v>0</v>
      </c>
      <c r="R3042" s="13"/>
      <c r="S3042" s="13"/>
      <c r="T3042" s="13"/>
      <c r="U3042" s="13"/>
      <c r="V3042" s="13"/>
      <c r="W3042" s="13"/>
    </row>
    <row r="3043" spans="1:23" x14ac:dyDescent="0.2">
      <c r="A3043"/>
      <c r="B3043"/>
      <c r="C3043"/>
      <c r="D3043"/>
      <c r="E3043"/>
      <c r="F3043"/>
      <c r="G3043"/>
      <c r="H3043"/>
      <c r="I3043"/>
      <c r="J3043"/>
      <c r="K3043" s="13" t="s">
        <v>239</v>
      </c>
      <c r="L3043" s="13" t="s">
        <v>609</v>
      </c>
      <c r="M3043" s="13" t="s">
        <v>416</v>
      </c>
      <c r="N3043" s="15">
        <v>0</v>
      </c>
      <c r="O3043" s="16">
        <v>16.91614816667861</v>
      </c>
      <c r="P3043" s="17">
        <v>0</v>
      </c>
      <c r="Q3043" s="17">
        <v>0</v>
      </c>
      <c r="R3043" s="13"/>
      <c r="S3043" s="13"/>
      <c r="T3043" s="13"/>
      <c r="U3043" s="13"/>
      <c r="V3043" s="13"/>
      <c r="W3043" s="13"/>
    </row>
    <row r="3044" spans="1:23" x14ac:dyDescent="0.2">
      <c r="A3044"/>
      <c r="B3044"/>
      <c r="C3044"/>
      <c r="D3044"/>
      <c r="E3044"/>
      <c r="F3044"/>
      <c r="G3044"/>
      <c r="H3044"/>
      <c r="I3044"/>
      <c r="J3044"/>
      <c r="K3044" s="13" t="s">
        <v>239</v>
      </c>
      <c r="L3044" s="13" t="s">
        <v>622</v>
      </c>
      <c r="M3044" s="13" t="s">
        <v>524</v>
      </c>
      <c r="N3044" s="15">
        <v>0</v>
      </c>
      <c r="O3044" s="16">
        <v>5.6364882689174305</v>
      </c>
      <c r="P3044" s="17">
        <v>0</v>
      </c>
      <c r="Q3044" s="17">
        <v>0</v>
      </c>
      <c r="R3044" s="13"/>
      <c r="S3044" s="13"/>
      <c r="T3044" s="13"/>
      <c r="U3044" s="13"/>
      <c r="V3044" s="13"/>
      <c r="W3044" s="13"/>
    </row>
    <row r="3045" spans="1:23" x14ac:dyDescent="0.2">
      <c r="A3045"/>
      <c r="B3045"/>
      <c r="C3045"/>
      <c r="D3045"/>
      <c r="E3045"/>
      <c r="F3045"/>
      <c r="G3045"/>
      <c r="H3045"/>
      <c r="I3045"/>
      <c r="J3045"/>
      <c r="K3045" s="13" t="s">
        <v>239</v>
      </c>
      <c r="L3045" s="13" t="s">
        <v>383</v>
      </c>
      <c r="M3045" s="13" t="s">
        <v>420</v>
      </c>
      <c r="N3045" s="15">
        <v>8</v>
      </c>
      <c r="O3045" s="16">
        <v>0</v>
      </c>
      <c r="P3045" s="17">
        <v>0</v>
      </c>
      <c r="Q3045" s="17">
        <v>0</v>
      </c>
      <c r="R3045" s="13"/>
      <c r="S3045" s="13"/>
      <c r="T3045" s="13"/>
      <c r="U3045" s="13"/>
      <c r="V3045" s="13"/>
      <c r="W3045" s="13"/>
    </row>
    <row r="3046" spans="1:23" x14ac:dyDescent="0.2">
      <c r="A3046"/>
      <c r="B3046"/>
      <c r="C3046"/>
      <c r="D3046"/>
      <c r="E3046"/>
      <c r="F3046"/>
      <c r="G3046"/>
      <c r="H3046"/>
      <c r="I3046"/>
      <c r="J3046"/>
      <c r="K3046" s="13" t="s">
        <v>239</v>
      </c>
      <c r="L3046" s="13" t="s">
        <v>467</v>
      </c>
      <c r="M3046" s="13" t="s">
        <v>422</v>
      </c>
      <c r="N3046" s="15">
        <v>0</v>
      </c>
      <c r="O3046" s="16">
        <v>5.4165773665018095</v>
      </c>
      <c r="P3046" s="17">
        <v>0</v>
      </c>
      <c r="Q3046" s="17">
        <v>0</v>
      </c>
      <c r="R3046" s="13"/>
      <c r="S3046" s="13"/>
      <c r="T3046" s="13"/>
      <c r="U3046" s="13"/>
      <c r="V3046" s="13"/>
      <c r="W3046" s="13"/>
    </row>
    <row r="3047" spans="1:23" x14ac:dyDescent="0.2">
      <c r="A3047"/>
      <c r="B3047"/>
      <c r="C3047"/>
      <c r="D3047"/>
      <c r="E3047"/>
      <c r="F3047"/>
      <c r="G3047"/>
      <c r="H3047"/>
      <c r="I3047"/>
      <c r="J3047"/>
      <c r="K3047" s="13" t="s">
        <v>239</v>
      </c>
      <c r="L3047" s="13" t="s">
        <v>528</v>
      </c>
      <c r="M3047" s="13" t="s">
        <v>384</v>
      </c>
      <c r="N3047" s="15">
        <v>0</v>
      </c>
      <c r="O3047" s="16">
        <v>247.02056304590548</v>
      </c>
      <c r="P3047" s="17">
        <v>0</v>
      </c>
      <c r="Q3047" s="17">
        <v>0</v>
      </c>
      <c r="R3047" s="13"/>
      <c r="S3047" s="13"/>
      <c r="T3047" s="13"/>
      <c r="U3047" s="13"/>
      <c r="V3047" s="13"/>
      <c r="W3047" s="13"/>
    </row>
    <row r="3048" spans="1:23" x14ac:dyDescent="0.2">
      <c r="A3048"/>
      <c r="B3048"/>
      <c r="C3048"/>
      <c r="D3048"/>
      <c r="E3048"/>
      <c r="F3048"/>
      <c r="G3048"/>
      <c r="H3048"/>
      <c r="I3048"/>
      <c r="J3048"/>
      <c r="K3048" s="13" t="s">
        <v>239</v>
      </c>
      <c r="L3048" s="13" t="s">
        <v>613</v>
      </c>
      <c r="M3048" s="13" t="s">
        <v>444</v>
      </c>
      <c r="N3048" s="15">
        <v>0</v>
      </c>
      <c r="O3048" s="16">
        <v>25.030747725011853</v>
      </c>
      <c r="P3048" s="17">
        <v>0</v>
      </c>
      <c r="Q3048" s="17">
        <v>0</v>
      </c>
      <c r="R3048" s="13"/>
      <c r="S3048" s="13"/>
      <c r="T3048" s="13"/>
      <c r="U3048" s="13"/>
      <c r="V3048" s="13"/>
      <c r="W3048" s="13"/>
    </row>
    <row r="3049" spans="1:23" x14ac:dyDescent="0.2">
      <c r="A3049"/>
      <c r="B3049"/>
      <c r="C3049"/>
      <c r="D3049"/>
      <c r="E3049"/>
      <c r="F3049"/>
      <c r="G3049"/>
      <c r="H3049"/>
      <c r="I3049"/>
      <c r="J3049"/>
      <c r="K3049" s="13" t="s">
        <v>239</v>
      </c>
      <c r="L3049" s="13" t="s">
        <v>611</v>
      </c>
      <c r="M3049" s="13" t="s">
        <v>423</v>
      </c>
      <c r="N3049" s="15">
        <v>0</v>
      </c>
      <c r="O3049" s="16">
        <v>244.84937346087165</v>
      </c>
      <c r="P3049" s="17">
        <v>0</v>
      </c>
      <c r="Q3049" s="17">
        <v>0</v>
      </c>
      <c r="R3049" s="13"/>
      <c r="S3049" s="13"/>
      <c r="T3049" s="13"/>
      <c r="U3049" s="13"/>
      <c r="V3049" s="13"/>
      <c r="W3049" s="13"/>
    </row>
    <row r="3050" spans="1:23" x14ac:dyDescent="0.2">
      <c r="A3050"/>
      <c r="B3050"/>
      <c r="C3050"/>
      <c r="D3050"/>
      <c r="E3050"/>
      <c r="F3050"/>
      <c r="G3050"/>
      <c r="H3050"/>
      <c r="I3050"/>
      <c r="J3050"/>
      <c r="K3050" s="13" t="s">
        <v>239</v>
      </c>
      <c r="L3050" s="13" t="s">
        <v>446</v>
      </c>
      <c r="M3050" s="13" t="s">
        <v>371</v>
      </c>
      <c r="N3050" s="15">
        <v>36</v>
      </c>
      <c r="O3050" s="16">
        <v>0</v>
      </c>
      <c r="P3050" s="17">
        <v>0</v>
      </c>
      <c r="Q3050" s="17">
        <v>0</v>
      </c>
      <c r="R3050" s="13"/>
      <c r="S3050" s="13"/>
      <c r="T3050" s="13"/>
      <c r="U3050" s="13"/>
      <c r="V3050" s="13"/>
      <c r="W3050" s="13"/>
    </row>
    <row r="3051" spans="1:23" x14ac:dyDescent="0.2">
      <c r="A3051"/>
      <c r="B3051"/>
      <c r="C3051"/>
      <c r="D3051"/>
      <c r="E3051"/>
      <c r="F3051"/>
      <c r="G3051"/>
      <c r="H3051"/>
      <c r="I3051"/>
      <c r="J3051"/>
      <c r="K3051" s="13" t="s">
        <v>239</v>
      </c>
      <c r="L3051" s="13" t="s">
        <v>424</v>
      </c>
      <c r="M3051" s="13" t="s">
        <v>468</v>
      </c>
      <c r="N3051" s="15">
        <v>0</v>
      </c>
      <c r="O3051" s="16">
        <v>0</v>
      </c>
      <c r="P3051" s="17">
        <v>35.2089499990999</v>
      </c>
      <c r="Q3051" s="17">
        <v>0</v>
      </c>
      <c r="R3051" s="13"/>
      <c r="S3051" s="13"/>
      <c r="T3051" s="13"/>
      <c r="U3051" s="13"/>
      <c r="V3051" s="13"/>
      <c r="W3051" s="13"/>
    </row>
    <row r="3052" spans="1:23" x14ac:dyDescent="0.2">
      <c r="A3052"/>
      <c r="B3052"/>
      <c r="C3052"/>
      <c r="D3052"/>
      <c r="E3052"/>
      <c r="F3052"/>
      <c r="G3052"/>
      <c r="H3052"/>
      <c r="I3052"/>
      <c r="J3052"/>
      <c r="K3052" s="13" t="s">
        <v>239</v>
      </c>
      <c r="L3052" s="13" t="s">
        <v>484</v>
      </c>
      <c r="M3052" s="13" t="s">
        <v>529</v>
      </c>
      <c r="N3052" s="15">
        <v>0</v>
      </c>
      <c r="O3052" s="16">
        <v>74.951202060578453</v>
      </c>
      <c r="P3052" s="17">
        <v>0</v>
      </c>
      <c r="Q3052" s="17">
        <v>0</v>
      </c>
      <c r="R3052" s="13"/>
      <c r="S3052" s="13"/>
      <c r="T3052" s="13"/>
      <c r="U3052" s="13"/>
      <c r="V3052" s="13"/>
      <c r="W3052" s="13"/>
    </row>
    <row r="3053" spans="1:23" x14ac:dyDescent="0.2">
      <c r="A3053"/>
      <c r="B3053"/>
      <c r="C3053"/>
      <c r="D3053"/>
      <c r="E3053"/>
      <c r="F3053"/>
      <c r="G3053"/>
      <c r="H3053"/>
      <c r="I3053"/>
      <c r="J3053"/>
      <c r="K3053" s="13" t="s">
        <v>241</v>
      </c>
      <c r="L3053" s="13" t="s">
        <v>435</v>
      </c>
      <c r="M3053" s="13" t="s">
        <v>364</v>
      </c>
      <c r="N3053" s="15">
        <v>0</v>
      </c>
      <c r="O3053" s="16">
        <v>0</v>
      </c>
      <c r="P3053" s="17">
        <v>25.269250002338552</v>
      </c>
      <c r="Q3053" s="17">
        <v>0</v>
      </c>
      <c r="R3053" s="13"/>
      <c r="S3053" s="13"/>
      <c r="T3053" s="13"/>
      <c r="U3053" s="13"/>
      <c r="V3053" s="13"/>
      <c r="W3053" s="13"/>
    </row>
    <row r="3054" spans="1:23" x14ac:dyDescent="0.2">
      <c r="A3054"/>
      <c r="B3054"/>
      <c r="C3054"/>
      <c r="D3054"/>
      <c r="E3054"/>
      <c r="F3054"/>
      <c r="G3054"/>
      <c r="H3054"/>
      <c r="I3054"/>
      <c r="J3054"/>
      <c r="K3054" s="13" t="s">
        <v>241</v>
      </c>
      <c r="L3054" s="13" t="s">
        <v>435</v>
      </c>
      <c r="M3054" s="13" t="s">
        <v>364</v>
      </c>
      <c r="N3054" s="15">
        <v>0</v>
      </c>
      <c r="O3054" s="16">
        <v>23.153128112362424</v>
      </c>
      <c r="P3054" s="17">
        <v>0</v>
      </c>
      <c r="Q3054" s="17">
        <v>0</v>
      </c>
      <c r="R3054" s="13"/>
      <c r="S3054" s="13"/>
      <c r="T3054" s="13"/>
      <c r="U3054" s="13"/>
      <c r="V3054" s="13"/>
      <c r="W3054" s="13"/>
    </row>
    <row r="3055" spans="1:23" x14ac:dyDescent="0.2">
      <c r="A3055"/>
      <c r="B3055"/>
      <c r="C3055"/>
      <c r="D3055"/>
      <c r="E3055"/>
      <c r="F3055"/>
      <c r="G3055"/>
      <c r="H3055"/>
      <c r="I3055"/>
      <c r="J3055"/>
      <c r="K3055" s="13" t="s">
        <v>241</v>
      </c>
      <c r="L3055" s="13" t="s">
        <v>389</v>
      </c>
      <c r="M3055" s="13" t="s">
        <v>388</v>
      </c>
      <c r="N3055" s="15">
        <v>0</v>
      </c>
      <c r="O3055" s="16">
        <v>0</v>
      </c>
      <c r="P3055" s="17">
        <v>540.83219994037609</v>
      </c>
      <c r="Q3055" s="17">
        <v>0</v>
      </c>
      <c r="R3055" s="13"/>
      <c r="S3055" s="13"/>
      <c r="T3055" s="13"/>
      <c r="U3055" s="13"/>
      <c r="V3055" s="13"/>
      <c r="W3055" s="13"/>
    </row>
    <row r="3056" spans="1:23" x14ac:dyDescent="0.2">
      <c r="A3056"/>
      <c r="B3056"/>
      <c r="C3056"/>
      <c r="D3056"/>
      <c r="E3056"/>
      <c r="F3056"/>
      <c r="G3056"/>
      <c r="H3056"/>
      <c r="I3056"/>
      <c r="J3056"/>
      <c r="K3056" s="13" t="s">
        <v>241</v>
      </c>
      <c r="L3056" s="13" t="s">
        <v>512</v>
      </c>
      <c r="M3056" s="13" t="s">
        <v>466</v>
      </c>
      <c r="N3056" s="15">
        <v>0</v>
      </c>
      <c r="O3056" s="16">
        <v>0</v>
      </c>
      <c r="P3056" s="17">
        <v>343.72559997999633</v>
      </c>
      <c r="Q3056" s="17">
        <v>0</v>
      </c>
      <c r="R3056" s="13"/>
      <c r="S3056" s="13"/>
      <c r="T3056" s="13"/>
      <c r="U3056" s="13"/>
      <c r="V3056" s="13"/>
      <c r="W3056" s="13"/>
    </row>
    <row r="3057" spans="1:23" x14ac:dyDescent="0.2">
      <c r="A3057"/>
      <c r="B3057"/>
      <c r="C3057"/>
      <c r="D3057"/>
      <c r="E3057"/>
      <c r="F3057"/>
      <c r="G3057"/>
      <c r="H3057"/>
      <c r="I3057"/>
      <c r="J3057"/>
      <c r="K3057" s="13" t="s">
        <v>241</v>
      </c>
      <c r="L3057" s="13" t="s">
        <v>532</v>
      </c>
      <c r="M3057" s="13" t="s">
        <v>620</v>
      </c>
      <c r="N3057" s="15">
        <v>0</v>
      </c>
      <c r="O3057" s="16">
        <v>0</v>
      </c>
      <c r="P3057" s="17">
        <v>17.74669999942342</v>
      </c>
      <c r="Q3057" s="17">
        <v>0</v>
      </c>
      <c r="R3057" s="13"/>
      <c r="S3057" s="13"/>
      <c r="T3057" s="13"/>
      <c r="U3057" s="13"/>
      <c r="V3057" s="13"/>
      <c r="W3057" s="13"/>
    </row>
    <row r="3058" spans="1:23" x14ac:dyDescent="0.2">
      <c r="A3058"/>
      <c r="B3058"/>
      <c r="C3058"/>
      <c r="D3058"/>
      <c r="E3058"/>
      <c r="F3058"/>
      <c r="G3058"/>
      <c r="H3058"/>
      <c r="I3058"/>
      <c r="J3058"/>
      <c r="K3058" s="13" t="s">
        <v>241</v>
      </c>
      <c r="L3058" s="13" t="s">
        <v>513</v>
      </c>
      <c r="M3058" s="13" t="s">
        <v>533</v>
      </c>
      <c r="N3058" s="15">
        <v>0</v>
      </c>
      <c r="O3058" s="16">
        <v>0</v>
      </c>
      <c r="P3058" s="17">
        <v>8.155550002056918</v>
      </c>
      <c r="Q3058" s="17">
        <v>0</v>
      </c>
      <c r="R3058" s="13"/>
      <c r="S3058" s="13"/>
      <c r="T3058" s="13"/>
      <c r="U3058" s="13"/>
      <c r="V3058" s="13"/>
      <c r="W3058" s="13"/>
    </row>
    <row r="3059" spans="1:23" x14ac:dyDescent="0.2">
      <c r="A3059"/>
      <c r="B3059"/>
      <c r="C3059"/>
      <c r="D3059"/>
      <c r="E3059"/>
      <c r="F3059"/>
      <c r="G3059"/>
      <c r="H3059"/>
      <c r="I3059"/>
      <c r="J3059"/>
      <c r="K3059" s="13" t="s">
        <v>241</v>
      </c>
      <c r="L3059" s="13" t="s">
        <v>440</v>
      </c>
      <c r="M3059" s="13" t="s">
        <v>441</v>
      </c>
      <c r="N3059" s="15">
        <v>4</v>
      </c>
      <c r="O3059" s="16">
        <v>0</v>
      </c>
      <c r="P3059" s="17">
        <v>0</v>
      </c>
      <c r="Q3059" s="17">
        <v>0</v>
      </c>
      <c r="R3059" s="13"/>
      <c r="S3059" s="13"/>
      <c r="T3059" s="13"/>
      <c r="U3059" s="13"/>
      <c r="V3059" s="13"/>
      <c r="W3059" s="13"/>
    </row>
    <row r="3060" spans="1:23" x14ac:dyDescent="0.2">
      <c r="A3060"/>
      <c r="B3060"/>
      <c r="C3060"/>
      <c r="D3060"/>
      <c r="E3060"/>
      <c r="F3060"/>
      <c r="G3060"/>
      <c r="H3060"/>
      <c r="I3060"/>
      <c r="J3060"/>
      <c r="K3060" s="13" t="s">
        <v>241</v>
      </c>
      <c r="L3060" s="13" t="s">
        <v>394</v>
      </c>
      <c r="M3060" s="13" t="s">
        <v>359</v>
      </c>
      <c r="N3060" s="15">
        <v>0</v>
      </c>
      <c r="O3060" s="16">
        <v>0</v>
      </c>
      <c r="P3060" s="17">
        <v>6.2377000007966537</v>
      </c>
      <c r="Q3060" s="17">
        <v>0</v>
      </c>
      <c r="R3060" s="13"/>
      <c r="S3060" s="13"/>
      <c r="T3060" s="13"/>
      <c r="U3060" s="13"/>
      <c r="V3060" s="13"/>
      <c r="W3060" s="13"/>
    </row>
    <row r="3061" spans="1:23" x14ac:dyDescent="0.2">
      <c r="A3061"/>
      <c r="B3061"/>
      <c r="C3061"/>
      <c r="D3061"/>
      <c r="E3061"/>
      <c r="F3061"/>
      <c r="G3061"/>
      <c r="H3061"/>
      <c r="I3061"/>
      <c r="J3061"/>
      <c r="K3061" s="13" t="s">
        <v>241</v>
      </c>
      <c r="L3061" s="13" t="s">
        <v>395</v>
      </c>
      <c r="M3061" s="13" t="s">
        <v>602</v>
      </c>
      <c r="N3061" s="15">
        <v>3</v>
      </c>
      <c r="O3061" s="16">
        <v>0</v>
      </c>
      <c r="P3061" s="17">
        <v>0</v>
      </c>
      <c r="Q3061" s="17">
        <v>0</v>
      </c>
      <c r="R3061" s="13"/>
      <c r="S3061" s="13"/>
      <c r="T3061" s="13"/>
      <c r="U3061" s="13"/>
      <c r="V3061" s="13"/>
      <c r="W3061" s="13"/>
    </row>
    <row r="3062" spans="1:23" x14ac:dyDescent="0.2">
      <c r="A3062"/>
      <c r="B3062"/>
      <c r="C3062"/>
      <c r="D3062"/>
      <c r="E3062"/>
      <c r="F3062"/>
      <c r="G3062"/>
      <c r="H3062"/>
      <c r="I3062"/>
      <c r="J3062"/>
      <c r="K3062" s="13" t="s">
        <v>241</v>
      </c>
      <c r="L3062" s="13" t="s">
        <v>399</v>
      </c>
      <c r="M3062" s="13" t="s">
        <v>400</v>
      </c>
      <c r="N3062" s="15">
        <v>0</v>
      </c>
      <c r="O3062" s="16">
        <v>0</v>
      </c>
      <c r="P3062" s="17">
        <v>41.748300003235506</v>
      </c>
      <c r="Q3062" s="17">
        <v>0</v>
      </c>
      <c r="R3062" s="13"/>
      <c r="S3062" s="13"/>
      <c r="T3062" s="13"/>
      <c r="U3062" s="13"/>
      <c r="V3062" s="13"/>
      <c r="W3062" s="13"/>
    </row>
    <row r="3063" spans="1:23" x14ac:dyDescent="0.2">
      <c r="A3063"/>
      <c r="B3063"/>
      <c r="C3063"/>
      <c r="D3063"/>
      <c r="E3063"/>
      <c r="F3063"/>
      <c r="G3063"/>
      <c r="H3063"/>
      <c r="I3063"/>
      <c r="J3063"/>
      <c r="K3063" s="13" t="s">
        <v>241</v>
      </c>
      <c r="L3063" s="13" t="s">
        <v>401</v>
      </c>
      <c r="M3063" s="13" t="s">
        <v>360</v>
      </c>
      <c r="N3063" s="15">
        <v>0</v>
      </c>
      <c r="O3063" s="16">
        <v>0</v>
      </c>
      <c r="P3063" s="17">
        <v>484.08355003939624</v>
      </c>
      <c r="Q3063" s="17">
        <v>0</v>
      </c>
      <c r="R3063" s="13"/>
      <c r="S3063" s="13"/>
      <c r="T3063" s="13"/>
      <c r="U3063" s="13"/>
      <c r="V3063" s="13"/>
      <c r="W3063" s="13"/>
    </row>
    <row r="3064" spans="1:23" x14ac:dyDescent="0.2">
      <c r="A3064"/>
      <c r="B3064"/>
      <c r="C3064"/>
      <c r="D3064"/>
      <c r="E3064"/>
      <c r="F3064"/>
      <c r="G3064"/>
      <c r="H3064"/>
      <c r="I3064"/>
      <c r="J3064"/>
      <c r="K3064" s="13" t="s">
        <v>241</v>
      </c>
      <c r="L3064" s="13" t="s">
        <v>402</v>
      </c>
      <c r="M3064" s="13" t="s">
        <v>403</v>
      </c>
      <c r="N3064" s="15">
        <v>0</v>
      </c>
      <c r="O3064" s="16">
        <v>0</v>
      </c>
      <c r="P3064" s="17">
        <v>495.33444999568741</v>
      </c>
      <c r="Q3064" s="17">
        <v>0</v>
      </c>
      <c r="R3064" s="13"/>
      <c r="S3064" s="13"/>
      <c r="T3064" s="13"/>
      <c r="U3064" s="13"/>
      <c r="V3064" s="13"/>
      <c r="W3064" s="13"/>
    </row>
    <row r="3065" spans="1:23" x14ac:dyDescent="0.2">
      <c r="A3065"/>
      <c r="B3065"/>
      <c r="C3065"/>
      <c r="D3065"/>
      <c r="E3065"/>
      <c r="F3065"/>
      <c r="G3065"/>
      <c r="H3065"/>
      <c r="I3065"/>
      <c r="J3065"/>
      <c r="K3065" s="13" t="s">
        <v>241</v>
      </c>
      <c r="L3065" s="13" t="s">
        <v>456</v>
      </c>
      <c r="M3065" s="13" t="s">
        <v>457</v>
      </c>
      <c r="N3065" s="15">
        <v>0</v>
      </c>
      <c r="O3065" s="16">
        <v>0</v>
      </c>
      <c r="P3065" s="17">
        <v>6.1709499989645078</v>
      </c>
      <c r="Q3065" s="17">
        <v>0</v>
      </c>
      <c r="R3065" s="13"/>
      <c r="S3065" s="13"/>
      <c r="T3065" s="13"/>
      <c r="U3065" s="13"/>
      <c r="V3065" s="13"/>
      <c r="W3065" s="13"/>
    </row>
    <row r="3066" spans="1:23" x14ac:dyDescent="0.2">
      <c r="A3066"/>
      <c r="B3066"/>
      <c r="C3066"/>
      <c r="D3066"/>
      <c r="E3066"/>
      <c r="F3066"/>
      <c r="G3066"/>
      <c r="H3066"/>
      <c r="I3066"/>
      <c r="J3066"/>
      <c r="K3066" s="13" t="s">
        <v>241</v>
      </c>
      <c r="L3066" s="13" t="s">
        <v>381</v>
      </c>
      <c r="M3066" s="13" t="s">
        <v>382</v>
      </c>
      <c r="N3066" s="15">
        <v>13</v>
      </c>
      <c r="O3066" s="16">
        <v>0</v>
      </c>
      <c r="P3066" s="17">
        <v>0</v>
      </c>
      <c r="Q3066" s="17">
        <v>0</v>
      </c>
      <c r="R3066" s="13"/>
      <c r="S3066" s="13"/>
      <c r="T3066" s="13"/>
      <c r="U3066" s="13"/>
      <c r="V3066" s="13"/>
      <c r="W3066" s="13"/>
    </row>
    <row r="3067" spans="1:23" x14ac:dyDescent="0.2">
      <c r="A3067"/>
      <c r="B3067"/>
      <c r="C3067"/>
      <c r="D3067"/>
      <c r="E3067"/>
      <c r="F3067"/>
      <c r="G3067"/>
      <c r="H3067"/>
      <c r="I3067"/>
      <c r="J3067"/>
      <c r="K3067" s="13" t="s">
        <v>241</v>
      </c>
      <c r="L3067" s="13" t="s">
        <v>411</v>
      </c>
      <c r="M3067" s="13" t="s">
        <v>362</v>
      </c>
      <c r="N3067" s="15">
        <v>0</v>
      </c>
      <c r="O3067" s="16">
        <v>43.611529751226904</v>
      </c>
      <c r="P3067" s="17">
        <v>0</v>
      </c>
      <c r="Q3067" s="17">
        <v>0</v>
      </c>
      <c r="R3067" s="13"/>
      <c r="S3067" s="13"/>
      <c r="T3067" s="13"/>
      <c r="U3067" s="13"/>
      <c r="V3067" s="13"/>
      <c r="W3067" s="13"/>
    </row>
    <row r="3068" spans="1:23" x14ac:dyDescent="0.2">
      <c r="A3068"/>
      <c r="B3068"/>
      <c r="C3068"/>
      <c r="D3068"/>
      <c r="E3068"/>
      <c r="F3068"/>
      <c r="G3068"/>
      <c r="H3068"/>
      <c r="I3068"/>
      <c r="J3068"/>
      <c r="K3068" s="13" t="s">
        <v>241</v>
      </c>
      <c r="L3068" s="13" t="s">
        <v>605</v>
      </c>
      <c r="M3068" s="13" t="s">
        <v>429</v>
      </c>
      <c r="N3068" s="15">
        <v>0</v>
      </c>
      <c r="O3068" s="16">
        <v>3.8200000012293458</v>
      </c>
      <c r="P3068" s="17">
        <v>0</v>
      </c>
      <c r="Q3068" s="17">
        <v>0</v>
      </c>
      <c r="R3068" s="13"/>
      <c r="S3068" s="13"/>
      <c r="T3068" s="13"/>
      <c r="U3068" s="13"/>
      <c r="V3068" s="13"/>
      <c r="W3068" s="13"/>
    </row>
    <row r="3069" spans="1:23" x14ac:dyDescent="0.2">
      <c r="A3069"/>
      <c r="B3069"/>
      <c r="C3069"/>
      <c r="D3069"/>
      <c r="E3069"/>
      <c r="F3069"/>
      <c r="G3069"/>
      <c r="H3069"/>
      <c r="I3069"/>
      <c r="J3069"/>
      <c r="K3069" s="13" t="s">
        <v>241</v>
      </c>
      <c r="L3069" s="13" t="s">
        <v>623</v>
      </c>
      <c r="M3069" s="13" t="s">
        <v>530</v>
      </c>
      <c r="N3069" s="15">
        <v>0</v>
      </c>
      <c r="O3069" s="16">
        <v>93.559760431410666</v>
      </c>
      <c r="P3069" s="17">
        <v>0</v>
      </c>
      <c r="Q3069" s="17">
        <v>0</v>
      </c>
      <c r="R3069" s="13"/>
      <c r="S3069" s="13"/>
      <c r="T3069" s="13"/>
      <c r="U3069" s="13"/>
      <c r="V3069" s="13"/>
      <c r="W3069" s="13"/>
    </row>
    <row r="3070" spans="1:23" x14ac:dyDescent="0.2">
      <c r="A3070"/>
      <c r="B3070"/>
      <c r="C3070"/>
      <c r="D3070"/>
      <c r="E3070"/>
      <c r="F3070"/>
      <c r="G3070"/>
      <c r="H3070"/>
      <c r="I3070"/>
      <c r="J3070"/>
      <c r="K3070" s="13" t="s">
        <v>241</v>
      </c>
      <c r="L3070" s="13" t="s">
        <v>607</v>
      </c>
      <c r="M3070" s="13" t="s">
        <v>431</v>
      </c>
      <c r="N3070" s="15">
        <v>7</v>
      </c>
      <c r="O3070" s="16">
        <v>0</v>
      </c>
      <c r="P3070" s="17">
        <v>0</v>
      </c>
      <c r="Q3070" s="17">
        <v>0</v>
      </c>
      <c r="R3070" s="13"/>
      <c r="S3070" s="13"/>
      <c r="T3070" s="13"/>
      <c r="U3070" s="13"/>
      <c r="V3070" s="13"/>
      <c r="W3070" s="13"/>
    </row>
    <row r="3071" spans="1:23" x14ac:dyDescent="0.2">
      <c r="A3071"/>
      <c r="B3071"/>
      <c r="C3071"/>
      <c r="D3071"/>
      <c r="E3071"/>
      <c r="F3071"/>
      <c r="G3071"/>
      <c r="H3071"/>
      <c r="I3071"/>
      <c r="J3071"/>
      <c r="K3071" s="13" t="s">
        <v>241</v>
      </c>
      <c r="L3071" s="13" t="s">
        <v>608</v>
      </c>
      <c r="M3071" s="13" t="s">
        <v>432</v>
      </c>
      <c r="N3071" s="15">
        <v>2</v>
      </c>
      <c r="O3071" s="16">
        <v>0</v>
      </c>
      <c r="P3071" s="17">
        <v>0</v>
      </c>
      <c r="Q3071" s="17">
        <v>0</v>
      </c>
      <c r="R3071" s="13"/>
      <c r="S3071" s="13"/>
      <c r="T3071" s="13"/>
      <c r="U3071" s="13"/>
      <c r="V3071" s="13"/>
      <c r="W3071" s="13"/>
    </row>
    <row r="3072" spans="1:23" x14ac:dyDescent="0.2">
      <c r="A3072"/>
      <c r="B3072"/>
      <c r="C3072"/>
      <c r="D3072"/>
      <c r="E3072"/>
      <c r="F3072"/>
      <c r="G3072"/>
      <c r="H3072"/>
      <c r="I3072"/>
      <c r="J3072"/>
      <c r="K3072" s="13" t="s">
        <v>241</v>
      </c>
      <c r="L3072" s="13" t="s">
        <v>615</v>
      </c>
      <c r="M3072" s="13" t="s">
        <v>449</v>
      </c>
      <c r="N3072" s="15">
        <v>1</v>
      </c>
      <c r="O3072" s="16">
        <v>0</v>
      </c>
      <c r="P3072" s="17">
        <v>0</v>
      </c>
      <c r="Q3072" s="17">
        <v>0</v>
      </c>
      <c r="R3072" s="13"/>
      <c r="S3072" s="13"/>
      <c r="T3072" s="13"/>
      <c r="U3072" s="13"/>
      <c r="V3072" s="13"/>
      <c r="W3072" s="13"/>
    </row>
    <row r="3073" spans="1:23" x14ac:dyDescent="0.2">
      <c r="A3073"/>
      <c r="B3073"/>
      <c r="C3073"/>
      <c r="D3073"/>
      <c r="E3073"/>
      <c r="F3073"/>
      <c r="G3073"/>
      <c r="H3073"/>
      <c r="I3073"/>
      <c r="J3073"/>
      <c r="K3073" s="13" t="s">
        <v>241</v>
      </c>
      <c r="L3073" s="13" t="s">
        <v>383</v>
      </c>
      <c r="M3073" s="13" t="s">
        <v>420</v>
      </c>
      <c r="N3073" s="15">
        <v>11</v>
      </c>
      <c r="O3073" s="16">
        <v>0</v>
      </c>
      <c r="P3073" s="17">
        <v>0</v>
      </c>
      <c r="Q3073" s="17">
        <v>0</v>
      </c>
      <c r="R3073" s="13"/>
      <c r="S3073" s="13"/>
      <c r="T3073" s="13"/>
      <c r="U3073" s="13"/>
      <c r="V3073" s="13"/>
      <c r="W3073" s="13"/>
    </row>
    <row r="3074" spans="1:23" x14ac:dyDescent="0.2">
      <c r="A3074"/>
      <c r="B3074"/>
      <c r="C3074"/>
      <c r="D3074"/>
      <c r="E3074"/>
      <c r="F3074"/>
      <c r="G3074"/>
      <c r="H3074"/>
      <c r="I3074"/>
      <c r="J3074"/>
      <c r="K3074" s="13" t="s">
        <v>241</v>
      </c>
      <c r="L3074" s="13" t="s">
        <v>528</v>
      </c>
      <c r="M3074" s="13" t="s">
        <v>384</v>
      </c>
      <c r="N3074" s="15">
        <v>0</v>
      </c>
      <c r="O3074" s="16">
        <v>197.12815633617996</v>
      </c>
      <c r="P3074" s="17">
        <v>0</v>
      </c>
      <c r="Q3074" s="17">
        <v>0</v>
      </c>
      <c r="R3074" s="13"/>
      <c r="S3074" s="13"/>
      <c r="T3074" s="13"/>
      <c r="U3074" s="13"/>
      <c r="V3074" s="13"/>
      <c r="W3074" s="13"/>
    </row>
    <row r="3075" spans="1:23" x14ac:dyDescent="0.2">
      <c r="A3075"/>
      <c r="B3075"/>
      <c r="C3075"/>
      <c r="D3075"/>
      <c r="E3075"/>
      <c r="F3075"/>
      <c r="G3075"/>
      <c r="H3075"/>
      <c r="I3075"/>
      <c r="J3075"/>
      <c r="K3075" s="13" t="s">
        <v>241</v>
      </c>
      <c r="L3075" s="13" t="s">
        <v>613</v>
      </c>
      <c r="M3075" s="13" t="s">
        <v>444</v>
      </c>
      <c r="N3075" s="15">
        <v>0</v>
      </c>
      <c r="O3075" s="16">
        <v>22.861128473223541</v>
      </c>
      <c r="P3075" s="17">
        <v>0</v>
      </c>
      <c r="Q3075" s="17">
        <v>0</v>
      </c>
      <c r="R3075" s="13"/>
      <c r="S3075" s="13"/>
      <c r="T3075" s="13"/>
      <c r="U3075" s="13"/>
      <c r="V3075" s="13"/>
      <c r="W3075" s="13"/>
    </row>
    <row r="3076" spans="1:23" x14ac:dyDescent="0.2">
      <c r="A3076"/>
      <c r="B3076"/>
      <c r="C3076"/>
      <c r="D3076"/>
      <c r="E3076"/>
      <c r="F3076"/>
      <c r="G3076"/>
      <c r="H3076"/>
      <c r="I3076"/>
      <c r="J3076"/>
      <c r="K3076" s="13" t="s">
        <v>241</v>
      </c>
      <c r="L3076" s="13" t="s">
        <v>611</v>
      </c>
      <c r="M3076" s="13" t="s">
        <v>423</v>
      </c>
      <c r="N3076" s="15">
        <v>0</v>
      </c>
      <c r="O3076" s="16">
        <v>37.896336682500383</v>
      </c>
      <c r="P3076" s="17">
        <v>0</v>
      </c>
      <c r="Q3076" s="17">
        <v>0</v>
      </c>
      <c r="R3076" s="13"/>
      <c r="S3076" s="13"/>
      <c r="T3076" s="13"/>
      <c r="U3076" s="13"/>
      <c r="V3076" s="13"/>
      <c r="W3076" s="13"/>
    </row>
    <row r="3077" spans="1:23" x14ac:dyDescent="0.2">
      <c r="A3077"/>
      <c r="B3077"/>
      <c r="C3077"/>
      <c r="D3077"/>
      <c r="E3077"/>
      <c r="F3077"/>
      <c r="G3077"/>
      <c r="H3077"/>
      <c r="I3077"/>
      <c r="J3077"/>
      <c r="K3077" s="13" t="s">
        <v>241</v>
      </c>
      <c r="L3077" s="13" t="s">
        <v>446</v>
      </c>
      <c r="M3077" s="13" t="s">
        <v>371</v>
      </c>
      <c r="N3077" s="15">
        <v>18</v>
      </c>
      <c r="O3077" s="16">
        <v>0</v>
      </c>
      <c r="P3077" s="17">
        <v>0</v>
      </c>
      <c r="Q3077" s="17">
        <v>0</v>
      </c>
      <c r="R3077" s="13"/>
      <c r="S3077" s="13"/>
      <c r="T3077" s="13"/>
      <c r="U3077" s="13"/>
      <c r="V3077" s="13"/>
      <c r="W3077" s="13"/>
    </row>
    <row r="3078" spans="1:23" x14ac:dyDescent="0.2">
      <c r="A3078"/>
      <c r="B3078"/>
      <c r="C3078"/>
      <c r="D3078"/>
      <c r="E3078"/>
      <c r="F3078"/>
      <c r="G3078"/>
      <c r="H3078"/>
      <c r="I3078"/>
      <c r="J3078"/>
      <c r="K3078" s="13" t="s">
        <v>241</v>
      </c>
      <c r="L3078" s="13" t="s">
        <v>424</v>
      </c>
      <c r="M3078" s="13" t="s">
        <v>468</v>
      </c>
      <c r="N3078" s="15">
        <v>0</v>
      </c>
      <c r="O3078" s="16">
        <v>0</v>
      </c>
      <c r="P3078" s="17">
        <v>23.887450000691999</v>
      </c>
      <c r="Q3078" s="17">
        <v>0</v>
      </c>
      <c r="R3078" s="13"/>
      <c r="S3078" s="13"/>
      <c r="T3078" s="13"/>
      <c r="U3078" s="13"/>
      <c r="V3078" s="13"/>
      <c r="W3078" s="13"/>
    </row>
    <row r="3079" spans="1:23" x14ac:dyDescent="0.2">
      <c r="A3079"/>
      <c r="B3079"/>
      <c r="C3079"/>
      <c r="D3079"/>
      <c r="E3079"/>
      <c r="F3079"/>
      <c r="G3079"/>
      <c r="H3079"/>
      <c r="I3079"/>
      <c r="J3079"/>
      <c r="K3079" s="13" t="s">
        <v>241</v>
      </c>
      <c r="L3079" s="13" t="s">
        <v>484</v>
      </c>
      <c r="M3079" s="13" t="s">
        <v>529</v>
      </c>
      <c r="N3079" s="15">
        <v>0</v>
      </c>
      <c r="O3079" s="16">
        <v>41.566485519358849</v>
      </c>
      <c r="P3079" s="17">
        <v>0</v>
      </c>
      <c r="Q3079" s="17">
        <v>0</v>
      </c>
      <c r="R3079" s="13"/>
      <c r="S3079" s="13"/>
      <c r="T3079" s="13"/>
      <c r="U3079" s="13"/>
      <c r="V3079" s="13"/>
      <c r="W3079" s="13"/>
    </row>
    <row r="3080" spans="1:23" x14ac:dyDescent="0.2">
      <c r="A3080"/>
      <c r="B3080"/>
      <c r="C3080"/>
      <c r="D3080"/>
      <c r="E3080"/>
      <c r="F3080"/>
      <c r="G3080"/>
      <c r="H3080"/>
      <c r="I3080"/>
      <c r="J3080"/>
      <c r="K3080" s="13" t="s">
        <v>243</v>
      </c>
      <c r="L3080" s="13" t="s">
        <v>435</v>
      </c>
      <c r="M3080" s="13" t="s">
        <v>364</v>
      </c>
      <c r="N3080" s="15">
        <v>0</v>
      </c>
      <c r="O3080" s="16">
        <v>0</v>
      </c>
      <c r="P3080" s="17">
        <v>1.6124999990651849</v>
      </c>
      <c r="Q3080" s="17">
        <v>0</v>
      </c>
      <c r="R3080" s="13"/>
      <c r="S3080" s="13"/>
      <c r="T3080" s="13"/>
      <c r="U3080" s="13"/>
      <c r="V3080" s="13"/>
      <c r="W3080" s="13"/>
    </row>
    <row r="3081" spans="1:23" x14ac:dyDescent="0.2">
      <c r="A3081"/>
      <c r="B3081"/>
      <c r="C3081"/>
      <c r="D3081"/>
      <c r="E3081"/>
      <c r="F3081"/>
      <c r="G3081"/>
      <c r="H3081"/>
      <c r="I3081"/>
      <c r="J3081"/>
      <c r="K3081" s="13" t="s">
        <v>243</v>
      </c>
      <c r="L3081" s="13" t="s">
        <v>435</v>
      </c>
      <c r="M3081" s="13" t="s">
        <v>364</v>
      </c>
      <c r="N3081" s="15">
        <v>0</v>
      </c>
      <c r="O3081" s="16">
        <v>51.442349450814959</v>
      </c>
      <c r="P3081" s="17">
        <v>0</v>
      </c>
      <c r="Q3081" s="17">
        <v>0</v>
      </c>
      <c r="R3081" s="13"/>
      <c r="S3081" s="13"/>
      <c r="T3081" s="13"/>
      <c r="U3081" s="13"/>
      <c r="V3081" s="13"/>
      <c r="W3081" s="13"/>
    </row>
    <row r="3082" spans="1:23" x14ac:dyDescent="0.2">
      <c r="A3082"/>
      <c r="B3082"/>
      <c r="C3082"/>
      <c r="D3082"/>
      <c r="E3082"/>
      <c r="F3082"/>
      <c r="G3082"/>
      <c r="H3082"/>
      <c r="I3082"/>
      <c r="J3082"/>
      <c r="K3082" s="13" t="s">
        <v>243</v>
      </c>
      <c r="L3082" s="13" t="s">
        <v>435</v>
      </c>
      <c r="M3082" s="13" t="s">
        <v>364</v>
      </c>
      <c r="N3082" s="15">
        <v>2</v>
      </c>
      <c r="O3082" s="16">
        <v>0</v>
      </c>
      <c r="P3082" s="17">
        <v>0</v>
      </c>
      <c r="Q3082" s="17">
        <v>0</v>
      </c>
      <c r="R3082" s="13"/>
      <c r="S3082" s="13"/>
      <c r="T3082" s="13"/>
      <c r="U3082" s="13"/>
      <c r="V3082" s="13"/>
      <c r="W3082" s="13"/>
    </row>
    <row r="3083" spans="1:23" x14ac:dyDescent="0.2">
      <c r="A3083"/>
      <c r="B3083"/>
      <c r="C3083"/>
      <c r="D3083"/>
      <c r="E3083"/>
      <c r="F3083"/>
      <c r="G3083"/>
      <c r="H3083"/>
      <c r="I3083"/>
      <c r="J3083"/>
      <c r="K3083" s="13" t="s">
        <v>243</v>
      </c>
      <c r="L3083" s="13" t="s">
        <v>389</v>
      </c>
      <c r="M3083" s="13" t="s">
        <v>388</v>
      </c>
      <c r="N3083" s="15">
        <v>0</v>
      </c>
      <c r="O3083" s="16">
        <v>0</v>
      </c>
      <c r="P3083" s="17">
        <v>726.87642562083283</v>
      </c>
      <c r="Q3083" s="17">
        <v>0</v>
      </c>
      <c r="R3083" s="13"/>
      <c r="S3083" s="13"/>
      <c r="T3083" s="13"/>
      <c r="U3083" s="13"/>
      <c r="V3083" s="13"/>
      <c r="W3083" s="13"/>
    </row>
    <row r="3084" spans="1:23" x14ac:dyDescent="0.2">
      <c r="A3084"/>
      <c r="B3084"/>
      <c r="C3084"/>
      <c r="D3084"/>
      <c r="E3084"/>
      <c r="F3084"/>
      <c r="G3084"/>
      <c r="H3084"/>
      <c r="I3084"/>
      <c r="J3084"/>
      <c r="K3084" s="13" t="s">
        <v>243</v>
      </c>
      <c r="L3084" s="13" t="s">
        <v>392</v>
      </c>
      <c r="M3084" s="13" t="s">
        <v>437</v>
      </c>
      <c r="N3084" s="15">
        <v>0</v>
      </c>
      <c r="O3084" s="16">
        <v>0</v>
      </c>
      <c r="P3084" s="17">
        <v>46.581799995416013</v>
      </c>
      <c r="Q3084" s="17">
        <v>0</v>
      </c>
      <c r="R3084" s="13"/>
      <c r="S3084" s="13"/>
      <c r="T3084" s="13"/>
      <c r="U3084" s="13"/>
      <c r="V3084" s="13"/>
      <c r="W3084" s="13"/>
    </row>
    <row r="3085" spans="1:23" x14ac:dyDescent="0.2">
      <c r="A3085"/>
      <c r="B3085"/>
      <c r="C3085"/>
      <c r="D3085"/>
      <c r="E3085"/>
      <c r="F3085"/>
      <c r="G3085"/>
      <c r="H3085"/>
      <c r="I3085"/>
      <c r="J3085"/>
      <c r="K3085" s="13" t="s">
        <v>243</v>
      </c>
      <c r="L3085" s="13" t="s">
        <v>486</v>
      </c>
      <c r="M3085" s="13" t="s">
        <v>439</v>
      </c>
      <c r="N3085" s="15">
        <v>0</v>
      </c>
      <c r="O3085" s="16">
        <v>0</v>
      </c>
      <c r="P3085" s="17">
        <v>52.450549999905569</v>
      </c>
      <c r="Q3085" s="17">
        <v>0</v>
      </c>
      <c r="R3085" s="13"/>
      <c r="S3085" s="13"/>
      <c r="T3085" s="13"/>
      <c r="U3085" s="13"/>
      <c r="V3085" s="13"/>
      <c r="W3085" s="13"/>
    </row>
    <row r="3086" spans="1:23" x14ac:dyDescent="0.2">
      <c r="A3086"/>
      <c r="B3086"/>
      <c r="C3086"/>
      <c r="D3086"/>
      <c r="E3086"/>
      <c r="F3086"/>
      <c r="G3086"/>
      <c r="H3086"/>
      <c r="I3086"/>
      <c r="J3086"/>
      <c r="K3086" s="13" t="s">
        <v>243</v>
      </c>
      <c r="L3086" s="13" t="s">
        <v>512</v>
      </c>
      <c r="M3086" s="13" t="s">
        <v>466</v>
      </c>
      <c r="N3086" s="15">
        <v>0</v>
      </c>
      <c r="O3086" s="16">
        <v>0</v>
      </c>
      <c r="P3086" s="17">
        <v>186.96785000717648</v>
      </c>
      <c r="Q3086" s="17">
        <v>0</v>
      </c>
      <c r="R3086" s="13"/>
      <c r="S3086" s="13"/>
      <c r="T3086" s="13"/>
      <c r="U3086" s="13"/>
      <c r="V3086" s="13"/>
      <c r="W3086" s="13"/>
    </row>
    <row r="3087" spans="1:23" x14ac:dyDescent="0.2">
      <c r="A3087"/>
      <c r="B3087"/>
      <c r="C3087"/>
      <c r="D3087"/>
      <c r="E3087"/>
      <c r="F3087"/>
      <c r="G3087"/>
      <c r="H3087"/>
      <c r="I3087"/>
      <c r="J3087"/>
      <c r="K3087" s="13" t="s">
        <v>243</v>
      </c>
      <c r="L3087" s="13" t="s">
        <v>440</v>
      </c>
      <c r="M3087" s="13" t="s">
        <v>441</v>
      </c>
      <c r="N3087" s="15">
        <v>9</v>
      </c>
      <c r="O3087" s="16">
        <v>0</v>
      </c>
      <c r="P3087" s="17">
        <v>0</v>
      </c>
      <c r="Q3087" s="17">
        <v>0</v>
      </c>
      <c r="R3087" s="13"/>
      <c r="S3087" s="13"/>
      <c r="T3087" s="13"/>
      <c r="U3087" s="13"/>
      <c r="V3087" s="13"/>
      <c r="W3087" s="13"/>
    </row>
    <row r="3088" spans="1:23" x14ac:dyDescent="0.2">
      <c r="A3088"/>
      <c r="B3088"/>
      <c r="C3088"/>
      <c r="D3088"/>
      <c r="E3088"/>
      <c r="F3088"/>
      <c r="G3088"/>
      <c r="H3088"/>
      <c r="I3088"/>
      <c r="J3088"/>
      <c r="K3088" s="13" t="s">
        <v>243</v>
      </c>
      <c r="L3088" s="13" t="s">
        <v>399</v>
      </c>
      <c r="M3088" s="13" t="s">
        <v>400</v>
      </c>
      <c r="N3088" s="15">
        <v>0</v>
      </c>
      <c r="O3088" s="16">
        <v>0</v>
      </c>
      <c r="P3088" s="17">
        <v>2.8165000005103646</v>
      </c>
      <c r="Q3088" s="17">
        <v>0</v>
      </c>
      <c r="R3088" s="13"/>
      <c r="S3088" s="13"/>
      <c r="T3088" s="13"/>
      <c r="U3088" s="13"/>
      <c r="V3088" s="13"/>
      <c r="W3088" s="13"/>
    </row>
    <row r="3089" spans="1:23" x14ac:dyDescent="0.2">
      <c r="A3089"/>
      <c r="B3089"/>
      <c r="C3089"/>
      <c r="D3089"/>
      <c r="E3089"/>
      <c r="F3089"/>
      <c r="G3089"/>
      <c r="H3089"/>
      <c r="I3089"/>
      <c r="J3089"/>
      <c r="K3089" s="13" t="s">
        <v>243</v>
      </c>
      <c r="L3089" s="13" t="s">
        <v>401</v>
      </c>
      <c r="M3089" s="13" t="s">
        <v>360</v>
      </c>
      <c r="N3089" s="15">
        <v>0</v>
      </c>
      <c r="O3089" s="16">
        <v>0</v>
      </c>
      <c r="P3089" s="17">
        <v>44.808150002764329</v>
      </c>
      <c r="Q3089" s="17">
        <v>0</v>
      </c>
      <c r="R3089" s="13"/>
      <c r="S3089" s="13"/>
      <c r="T3089" s="13"/>
      <c r="U3089" s="13"/>
      <c r="V3089" s="13"/>
      <c r="W3089" s="13"/>
    </row>
    <row r="3090" spans="1:23" x14ac:dyDescent="0.2">
      <c r="A3090"/>
      <c r="B3090"/>
      <c r="C3090"/>
      <c r="D3090"/>
      <c r="E3090"/>
      <c r="F3090"/>
      <c r="G3090"/>
      <c r="H3090"/>
      <c r="I3090"/>
      <c r="J3090"/>
      <c r="K3090" s="13" t="s">
        <v>243</v>
      </c>
      <c r="L3090" s="13" t="s">
        <v>402</v>
      </c>
      <c r="M3090" s="13" t="s">
        <v>403</v>
      </c>
      <c r="N3090" s="15">
        <v>0</v>
      </c>
      <c r="O3090" s="16">
        <v>0</v>
      </c>
      <c r="P3090" s="17">
        <v>1196.0174499722857</v>
      </c>
      <c r="Q3090" s="17">
        <v>0</v>
      </c>
      <c r="R3090" s="13"/>
      <c r="S3090" s="13"/>
      <c r="T3090" s="13"/>
      <c r="U3090" s="13"/>
      <c r="V3090" s="13"/>
      <c r="W3090" s="13"/>
    </row>
    <row r="3091" spans="1:23" x14ac:dyDescent="0.2">
      <c r="A3091"/>
      <c r="B3091"/>
      <c r="C3091"/>
      <c r="D3091"/>
      <c r="E3091"/>
      <c r="F3091"/>
      <c r="G3091"/>
      <c r="H3091"/>
      <c r="I3091"/>
      <c r="J3091"/>
      <c r="K3091" s="13" t="s">
        <v>243</v>
      </c>
      <c r="L3091" s="13" t="s">
        <v>448</v>
      </c>
      <c r="M3091" s="13" t="s">
        <v>366</v>
      </c>
      <c r="N3091" s="15">
        <v>0</v>
      </c>
      <c r="O3091" s="16">
        <v>0</v>
      </c>
      <c r="P3091" s="17">
        <v>17.575749997357018</v>
      </c>
      <c r="Q3091" s="17">
        <v>0</v>
      </c>
      <c r="R3091" s="13"/>
      <c r="S3091" s="13"/>
      <c r="T3091" s="13"/>
      <c r="U3091" s="13"/>
      <c r="V3091" s="13"/>
      <c r="W3091" s="13"/>
    </row>
    <row r="3092" spans="1:23" x14ac:dyDescent="0.2">
      <c r="A3092"/>
      <c r="B3092"/>
      <c r="C3092"/>
      <c r="D3092"/>
      <c r="E3092"/>
      <c r="F3092"/>
      <c r="G3092"/>
      <c r="H3092"/>
      <c r="I3092"/>
      <c r="J3092"/>
      <c r="K3092" s="13" t="s">
        <v>243</v>
      </c>
      <c r="L3092" s="13" t="s">
        <v>404</v>
      </c>
      <c r="M3092" s="13" t="s">
        <v>405</v>
      </c>
      <c r="N3092" s="15">
        <v>0</v>
      </c>
      <c r="O3092" s="16">
        <v>0</v>
      </c>
      <c r="P3092" s="17">
        <v>189.80494999834087</v>
      </c>
      <c r="Q3092" s="17">
        <v>853.31218704557523</v>
      </c>
      <c r="R3092" s="13"/>
      <c r="S3092" s="13"/>
      <c r="T3092" s="13"/>
      <c r="U3092" s="13"/>
      <c r="V3092" s="13"/>
      <c r="W3092" s="13"/>
    </row>
    <row r="3093" spans="1:23" x14ac:dyDescent="0.2">
      <c r="A3093"/>
      <c r="B3093"/>
      <c r="C3093"/>
      <c r="D3093"/>
      <c r="E3093"/>
      <c r="F3093"/>
      <c r="G3093"/>
      <c r="H3093"/>
      <c r="I3093"/>
      <c r="J3093"/>
      <c r="K3093" s="13" t="s">
        <v>243</v>
      </c>
      <c r="L3093" s="13" t="s">
        <v>381</v>
      </c>
      <c r="M3093" s="13" t="s">
        <v>382</v>
      </c>
      <c r="N3093" s="15">
        <v>8</v>
      </c>
      <c r="O3093" s="16">
        <v>0</v>
      </c>
      <c r="P3093" s="17">
        <v>0</v>
      </c>
      <c r="Q3093" s="17">
        <v>0</v>
      </c>
      <c r="R3093" s="13"/>
      <c r="S3093" s="13"/>
      <c r="T3093" s="13"/>
      <c r="U3093" s="13"/>
      <c r="V3093" s="13"/>
      <c r="W3093" s="13"/>
    </row>
    <row r="3094" spans="1:23" x14ac:dyDescent="0.2">
      <c r="A3094"/>
      <c r="B3094"/>
      <c r="C3094"/>
      <c r="D3094"/>
      <c r="E3094"/>
      <c r="F3094"/>
      <c r="G3094"/>
      <c r="H3094"/>
      <c r="I3094"/>
      <c r="J3094"/>
      <c r="K3094" s="13" t="s">
        <v>243</v>
      </c>
      <c r="L3094" s="13" t="s">
        <v>409</v>
      </c>
      <c r="M3094" s="13" t="s">
        <v>410</v>
      </c>
      <c r="N3094" s="15">
        <v>1</v>
      </c>
      <c r="O3094" s="16">
        <v>0</v>
      </c>
      <c r="P3094" s="17">
        <v>0</v>
      </c>
      <c r="Q3094" s="17">
        <v>0</v>
      </c>
      <c r="R3094" s="13"/>
      <c r="S3094" s="13"/>
      <c r="T3094" s="13"/>
      <c r="U3094" s="13"/>
      <c r="V3094" s="13"/>
      <c r="W3094" s="13"/>
    </row>
    <row r="3095" spans="1:23" x14ac:dyDescent="0.2">
      <c r="A3095"/>
      <c r="B3095"/>
      <c r="C3095"/>
      <c r="D3095"/>
      <c r="E3095"/>
      <c r="F3095"/>
      <c r="G3095"/>
      <c r="H3095"/>
      <c r="I3095"/>
      <c r="J3095"/>
      <c r="K3095" s="13" t="s">
        <v>243</v>
      </c>
      <c r="L3095" s="13" t="s">
        <v>411</v>
      </c>
      <c r="M3095" s="13" t="s">
        <v>362</v>
      </c>
      <c r="N3095" s="15">
        <v>0</v>
      </c>
      <c r="O3095" s="16">
        <v>37.893565460839113</v>
      </c>
      <c r="P3095" s="17">
        <v>0</v>
      </c>
      <c r="Q3095" s="17">
        <v>0</v>
      </c>
      <c r="R3095" s="13"/>
      <c r="S3095" s="13"/>
      <c r="T3095" s="13"/>
      <c r="U3095" s="13"/>
      <c r="V3095" s="13"/>
      <c r="W3095" s="13"/>
    </row>
    <row r="3096" spans="1:23" x14ac:dyDescent="0.2">
      <c r="A3096"/>
      <c r="B3096"/>
      <c r="C3096"/>
      <c r="D3096"/>
      <c r="E3096"/>
      <c r="F3096"/>
      <c r="G3096"/>
      <c r="H3096"/>
      <c r="I3096"/>
      <c r="J3096"/>
      <c r="K3096" s="13" t="s">
        <v>243</v>
      </c>
      <c r="L3096" s="13" t="s">
        <v>605</v>
      </c>
      <c r="M3096" s="13" t="s">
        <v>429</v>
      </c>
      <c r="N3096" s="15">
        <v>0</v>
      </c>
      <c r="O3096" s="16">
        <v>3.6283329501956878</v>
      </c>
      <c r="P3096" s="17">
        <v>0</v>
      </c>
      <c r="Q3096" s="17">
        <v>0</v>
      </c>
      <c r="R3096" s="13"/>
      <c r="S3096" s="13"/>
      <c r="T3096" s="13"/>
      <c r="U3096" s="13"/>
      <c r="V3096" s="13"/>
      <c r="W3096" s="13"/>
    </row>
    <row r="3097" spans="1:23" x14ac:dyDescent="0.2">
      <c r="A3097"/>
      <c r="B3097"/>
      <c r="C3097"/>
      <c r="D3097"/>
      <c r="E3097"/>
      <c r="F3097"/>
      <c r="G3097"/>
      <c r="H3097"/>
      <c r="I3097"/>
      <c r="J3097"/>
      <c r="K3097" s="13" t="s">
        <v>243</v>
      </c>
      <c r="L3097" s="13" t="s">
        <v>606</v>
      </c>
      <c r="M3097" s="13" t="s">
        <v>430</v>
      </c>
      <c r="N3097" s="15">
        <v>1</v>
      </c>
      <c r="O3097" s="16">
        <v>0</v>
      </c>
      <c r="P3097" s="17">
        <v>0</v>
      </c>
      <c r="Q3097" s="17">
        <v>0</v>
      </c>
      <c r="R3097" s="13"/>
      <c r="S3097" s="13"/>
      <c r="T3097" s="13"/>
      <c r="U3097" s="13"/>
      <c r="V3097" s="13"/>
      <c r="W3097" s="13"/>
    </row>
    <row r="3098" spans="1:23" x14ac:dyDescent="0.2">
      <c r="A3098"/>
      <c r="B3098"/>
      <c r="C3098"/>
      <c r="D3098"/>
      <c r="E3098"/>
      <c r="F3098"/>
      <c r="G3098"/>
      <c r="H3098"/>
      <c r="I3098"/>
      <c r="J3098"/>
      <c r="K3098" s="13" t="s">
        <v>243</v>
      </c>
      <c r="L3098" s="13" t="s">
        <v>623</v>
      </c>
      <c r="M3098" s="13" t="s">
        <v>530</v>
      </c>
      <c r="N3098" s="15">
        <v>0</v>
      </c>
      <c r="O3098" s="16">
        <v>100.85617399747773</v>
      </c>
      <c r="P3098" s="17">
        <v>0</v>
      </c>
      <c r="Q3098" s="17">
        <v>0</v>
      </c>
      <c r="R3098" s="13"/>
      <c r="S3098" s="13"/>
      <c r="T3098" s="13"/>
      <c r="U3098" s="13"/>
      <c r="V3098" s="13"/>
      <c r="W3098" s="13"/>
    </row>
    <row r="3099" spans="1:23" x14ac:dyDescent="0.2">
      <c r="A3099"/>
      <c r="B3099"/>
      <c r="C3099"/>
      <c r="D3099"/>
      <c r="E3099"/>
      <c r="F3099"/>
      <c r="G3099"/>
      <c r="H3099"/>
      <c r="I3099"/>
      <c r="J3099"/>
      <c r="K3099" s="13" t="s">
        <v>243</v>
      </c>
      <c r="L3099" s="13" t="s">
        <v>607</v>
      </c>
      <c r="M3099" s="13" t="s">
        <v>431</v>
      </c>
      <c r="N3099" s="15">
        <v>7</v>
      </c>
      <c r="O3099" s="16">
        <v>0</v>
      </c>
      <c r="P3099" s="17">
        <v>0</v>
      </c>
      <c r="Q3099" s="17">
        <v>0</v>
      </c>
      <c r="R3099" s="13"/>
      <c r="S3099" s="13"/>
      <c r="T3099" s="13"/>
      <c r="U3099" s="13"/>
      <c r="V3099" s="13"/>
      <c r="W3099" s="13"/>
    </row>
    <row r="3100" spans="1:23" x14ac:dyDescent="0.2">
      <c r="A3100"/>
      <c r="B3100"/>
      <c r="C3100"/>
      <c r="D3100"/>
      <c r="E3100"/>
      <c r="F3100"/>
      <c r="G3100"/>
      <c r="H3100"/>
      <c r="I3100"/>
      <c r="J3100"/>
      <c r="K3100" s="13" t="s">
        <v>243</v>
      </c>
      <c r="L3100" s="13" t="s">
        <v>608</v>
      </c>
      <c r="M3100" s="13" t="s">
        <v>432</v>
      </c>
      <c r="N3100" s="15">
        <v>7</v>
      </c>
      <c r="O3100" s="16">
        <v>0</v>
      </c>
      <c r="P3100" s="17">
        <v>0</v>
      </c>
      <c r="Q3100" s="17">
        <v>0</v>
      </c>
      <c r="R3100" s="13"/>
      <c r="S3100" s="13"/>
      <c r="T3100" s="13"/>
      <c r="U3100" s="13"/>
      <c r="V3100" s="13"/>
      <c r="W3100" s="13"/>
    </row>
    <row r="3101" spans="1:23" x14ac:dyDescent="0.2">
      <c r="A3101"/>
      <c r="B3101"/>
      <c r="C3101"/>
      <c r="D3101"/>
      <c r="E3101"/>
      <c r="F3101"/>
      <c r="G3101"/>
      <c r="H3101"/>
      <c r="I3101"/>
      <c r="J3101"/>
      <c r="K3101" s="13" t="s">
        <v>243</v>
      </c>
      <c r="L3101" s="13" t="s">
        <v>615</v>
      </c>
      <c r="M3101" s="13" t="s">
        <v>449</v>
      </c>
      <c r="N3101" s="15">
        <v>1</v>
      </c>
      <c r="O3101" s="16">
        <v>0</v>
      </c>
      <c r="P3101" s="17">
        <v>0</v>
      </c>
      <c r="Q3101" s="17">
        <v>0</v>
      </c>
      <c r="R3101" s="13"/>
      <c r="S3101" s="13"/>
      <c r="T3101" s="13"/>
      <c r="U3101" s="13"/>
      <c r="V3101" s="13"/>
      <c r="W3101" s="13"/>
    </row>
    <row r="3102" spans="1:23" x14ac:dyDescent="0.2">
      <c r="A3102"/>
      <c r="B3102"/>
      <c r="C3102"/>
      <c r="D3102"/>
      <c r="E3102"/>
      <c r="F3102"/>
      <c r="G3102"/>
      <c r="H3102"/>
      <c r="I3102"/>
      <c r="J3102"/>
      <c r="K3102" s="13" t="s">
        <v>243</v>
      </c>
      <c r="L3102" s="13" t="s">
        <v>421</v>
      </c>
      <c r="M3102" s="13" t="s">
        <v>443</v>
      </c>
      <c r="N3102" s="15">
        <v>4</v>
      </c>
      <c r="O3102" s="16">
        <v>0</v>
      </c>
      <c r="P3102" s="17">
        <v>0</v>
      </c>
      <c r="Q3102" s="17">
        <v>0</v>
      </c>
      <c r="R3102" s="13"/>
      <c r="S3102" s="13"/>
      <c r="T3102" s="13"/>
      <c r="U3102" s="13"/>
      <c r="V3102" s="13"/>
      <c r="W3102" s="13"/>
    </row>
    <row r="3103" spans="1:23" x14ac:dyDescent="0.2">
      <c r="A3103"/>
      <c r="B3103"/>
      <c r="C3103"/>
      <c r="D3103"/>
      <c r="E3103"/>
      <c r="F3103"/>
      <c r="G3103"/>
      <c r="H3103"/>
      <c r="I3103"/>
      <c r="J3103"/>
      <c r="K3103" s="13" t="s">
        <v>243</v>
      </c>
      <c r="L3103" s="13" t="s">
        <v>383</v>
      </c>
      <c r="M3103" s="13" t="s">
        <v>420</v>
      </c>
      <c r="N3103" s="15">
        <v>11</v>
      </c>
      <c r="O3103" s="16">
        <v>0</v>
      </c>
      <c r="P3103" s="17">
        <v>0</v>
      </c>
      <c r="Q3103" s="17">
        <v>0</v>
      </c>
      <c r="R3103" s="13"/>
      <c r="S3103" s="13"/>
      <c r="T3103" s="13"/>
      <c r="U3103" s="13"/>
      <c r="V3103" s="13"/>
      <c r="W3103" s="13"/>
    </row>
    <row r="3104" spans="1:23" x14ac:dyDescent="0.2">
      <c r="A3104"/>
      <c r="B3104"/>
      <c r="C3104"/>
      <c r="D3104"/>
      <c r="E3104"/>
      <c r="F3104"/>
      <c r="G3104"/>
      <c r="H3104"/>
      <c r="I3104"/>
      <c r="J3104"/>
      <c r="K3104" s="13" t="s">
        <v>243</v>
      </c>
      <c r="L3104" s="13" t="s">
        <v>528</v>
      </c>
      <c r="M3104" s="13" t="s">
        <v>384</v>
      </c>
      <c r="N3104" s="15">
        <v>0</v>
      </c>
      <c r="O3104" s="16">
        <v>234.72552374667919</v>
      </c>
      <c r="P3104" s="17">
        <v>0</v>
      </c>
      <c r="Q3104" s="17">
        <v>0</v>
      </c>
      <c r="R3104" s="13"/>
      <c r="S3104" s="13"/>
      <c r="T3104" s="13"/>
      <c r="U3104" s="13"/>
      <c r="V3104" s="13"/>
      <c r="W3104" s="13"/>
    </row>
    <row r="3105" spans="1:23" x14ac:dyDescent="0.2">
      <c r="A3105"/>
      <c r="B3105"/>
      <c r="C3105"/>
      <c r="D3105"/>
      <c r="E3105"/>
      <c r="F3105"/>
      <c r="G3105"/>
      <c r="H3105"/>
      <c r="I3105"/>
      <c r="J3105"/>
      <c r="K3105" s="13" t="s">
        <v>243</v>
      </c>
      <c r="L3105" s="13" t="s">
        <v>613</v>
      </c>
      <c r="M3105" s="13" t="s">
        <v>444</v>
      </c>
      <c r="N3105" s="15">
        <v>0</v>
      </c>
      <c r="O3105" s="16">
        <v>48.678733962606486</v>
      </c>
      <c r="P3105" s="17">
        <v>0</v>
      </c>
      <c r="Q3105" s="17">
        <v>0</v>
      </c>
      <c r="R3105" s="13"/>
      <c r="S3105" s="13"/>
      <c r="T3105" s="13"/>
      <c r="U3105" s="13"/>
      <c r="V3105" s="13"/>
      <c r="W3105" s="13"/>
    </row>
    <row r="3106" spans="1:23" x14ac:dyDescent="0.2">
      <c r="A3106"/>
      <c r="B3106"/>
      <c r="C3106"/>
      <c r="D3106"/>
      <c r="E3106"/>
      <c r="F3106"/>
      <c r="G3106"/>
      <c r="H3106"/>
      <c r="I3106"/>
      <c r="J3106"/>
      <c r="K3106" s="13" t="s">
        <v>243</v>
      </c>
      <c r="L3106" s="13" t="s">
        <v>446</v>
      </c>
      <c r="M3106" s="13" t="s">
        <v>371</v>
      </c>
      <c r="N3106" s="15">
        <v>20</v>
      </c>
      <c r="O3106" s="16">
        <v>0</v>
      </c>
      <c r="P3106" s="17">
        <v>0</v>
      </c>
      <c r="Q3106" s="17">
        <v>0</v>
      </c>
      <c r="R3106" s="13"/>
      <c r="S3106" s="13"/>
      <c r="T3106" s="13"/>
      <c r="U3106" s="13"/>
      <c r="V3106" s="13"/>
      <c r="W3106" s="13"/>
    </row>
    <row r="3107" spans="1:23" x14ac:dyDescent="0.2">
      <c r="A3107"/>
      <c r="B3107"/>
      <c r="C3107"/>
      <c r="D3107"/>
      <c r="E3107"/>
      <c r="F3107"/>
      <c r="G3107"/>
      <c r="H3107"/>
      <c r="I3107"/>
      <c r="J3107"/>
      <c r="K3107" s="13" t="s">
        <v>243</v>
      </c>
      <c r="L3107" s="13" t="s">
        <v>424</v>
      </c>
      <c r="M3107" s="13" t="s">
        <v>468</v>
      </c>
      <c r="N3107" s="15">
        <v>0</v>
      </c>
      <c r="O3107" s="16">
        <v>0</v>
      </c>
      <c r="P3107" s="17">
        <v>21.4760499969478</v>
      </c>
      <c r="Q3107" s="17">
        <v>0</v>
      </c>
      <c r="R3107" s="13"/>
      <c r="S3107" s="13"/>
      <c r="T3107" s="13"/>
      <c r="U3107" s="13"/>
      <c r="V3107" s="13"/>
      <c r="W3107" s="13"/>
    </row>
    <row r="3108" spans="1:23" x14ac:dyDescent="0.2">
      <c r="A3108"/>
      <c r="B3108"/>
      <c r="C3108"/>
      <c r="D3108"/>
      <c r="E3108"/>
      <c r="F3108"/>
      <c r="G3108"/>
      <c r="H3108"/>
      <c r="I3108"/>
      <c r="J3108"/>
      <c r="K3108" s="13" t="s">
        <v>243</v>
      </c>
      <c r="L3108" s="13" t="s">
        <v>484</v>
      </c>
      <c r="M3108" s="13" t="s">
        <v>529</v>
      </c>
      <c r="N3108" s="15">
        <v>0</v>
      </c>
      <c r="O3108" s="16">
        <v>82.736649582981357</v>
      </c>
      <c r="P3108" s="17">
        <v>0</v>
      </c>
      <c r="Q3108" s="17">
        <v>0</v>
      </c>
      <c r="R3108" s="13"/>
      <c r="S3108" s="13"/>
      <c r="T3108" s="13"/>
      <c r="U3108" s="13"/>
      <c r="V3108" s="13"/>
      <c r="W3108" s="13"/>
    </row>
    <row r="3109" spans="1:23" x14ac:dyDescent="0.2">
      <c r="A3109"/>
      <c r="B3109"/>
      <c r="C3109"/>
      <c r="D3109"/>
      <c r="E3109"/>
      <c r="F3109"/>
      <c r="G3109"/>
      <c r="H3109"/>
      <c r="I3109"/>
      <c r="J3109"/>
      <c r="K3109" s="13" t="s">
        <v>243</v>
      </c>
      <c r="L3109" s="13" t="s">
        <v>614</v>
      </c>
      <c r="M3109" s="13" t="s">
        <v>447</v>
      </c>
      <c r="N3109" s="15">
        <v>1</v>
      </c>
      <c r="O3109" s="16">
        <v>0</v>
      </c>
      <c r="P3109" s="17">
        <v>0</v>
      </c>
      <c r="Q3109" s="17">
        <v>0</v>
      </c>
      <c r="R3109" s="13"/>
      <c r="S3109" s="13"/>
      <c r="T3109" s="13"/>
      <c r="U3109" s="13"/>
      <c r="V3109" s="13"/>
      <c r="W3109" s="13"/>
    </row>
    <row r="3110" spans="1:23" x14ac:dyDescent="0.2">
      <c r="A3110"/>
      <c r="B3110"/>
      <c r="C3110"/>
      <c r="D3110"/>
      <c r="E3110"/>
      <c r="F3110"/>
      <c r="G3110"/>
      <c r="H3110"/>
      <c r="I3110"/>
      <c r="J3110"/>
      <c r="K3110" s="13" t="s">
        <v>245</v>
      </c>
      <c r="L3110" s="13" t="s">
        <v>435</v>
      </c>
      <c r="M3110" s="13" t="s">
        <v>364</v>
      </c>
      <c r="N3110" s="15">
        <v>0</v>
      </c>
      <c r="O3110" s="16">
        <v>0</v>
      </c>
      <c r="P3110" s="17">
        <v>20.486400001937429</v>
      </c>
      <c r="Q3110" s="17">
        <v>0</v>
      </c>
      <c r="R3110" s="13"/>
      <c r="S3110" s="13"/>
      <c r="T3110" s="13"/>
      <c r="U3110" s="13"/>
      <c r="V3110" s="13"/>
      <c r="W3110" s="13"/>
    </row>
    <row r="3111" spans="1:23" x14ac:dyDescent="0.2">
      <c r="A3111"/>
      <c r="B3111"/>
      <c r="C3111"/>
      <c r="D3111"/>
      <c r="E3111"/>
      <c r="F3111"/>
      <c r="G3111"/>
      <c r="H3111"/>
      <c r="I3111"/>
      <c r="J3111"/>
      <c r="K3111" s="13" t="s">
        <v>245</v>
      </c>
      <c r="L3111" s="13" t="s">
        <v>435</v>
      </c>
      <c r="M3111" s="13" t="s">
        <v>364</v>
      </c>
      <c r="N3111" s="15">
        <v>0</v>
      </c>
      <c r="O3111" s="16">
        <v>43.041845116424902</v>
      </c>
      <c r="P3111" s="17">
        <v>0</v>
      </c>
      <c r="Q3111" s="17">
        <v>0</v>
      </c>
      <c r="R3111" s="13"/>
      <c r="S3111" s="13"/>
      <c r="T3111" s="13"/>
      <c r="U3111" s="13"/>
      <c r="V3111" s="13"/>
      <c r="W3111" s="13"/>
    </row>
    <row r="3112" spans="1:23" x14ac:dyDescent="0.2">
      <c r="A3112"/>
      <c r="B3112"/>
      <c r="C3112"/>
      <c r="D3112"/>
      <c r="E3112"/>
      <c r="F3112"/>
      <c r="G3112"/>
      <c r="H3112"/>
      <c r="I3112"/>
      <c r="J3112"/>
      <c r="K3112" s="13" t="s">
        <v>245</v>
      </c>
      <c r="L3112" s="13" t="s">
        <v>435</v>
      </c>
      <c r="M3112" s="13" t="s">
        <v>364</v>
      </c>
      <c r="N3112" s="15">
        <v>1</v>
      </c>
      <c r="O3112" s="16">
        <v>0</v>
      </c>
      <c r="P3112" s="17">
        <v>0</v>
      </c>
      <c r="Q3112" s="17">
        <v>0</v>
      </c>
      <c r="R3112" s="13"/>
      <c r="S3112" s="13"/>
      <c r="T3112" s="13"/>
      <c r="U3112" s="13"/>
      <c r="V3112" s="13"/>
      <c r="W3112" s="13"/>
    </row>
    <row r="3113" spans="1:23" x14ac:dyDescent="0.2">
      <c r="A3113"/>
      <c r="B3113"/>
      <c r="C3113"/>
      <c r="D3113"/>
      <c r="E3113"/>
      <c r="F3113"/>
      <c r="G3113"/>
      <c r="H3113"/>
      <c r="I3113"/>
      <c r="J3113"/>
      <c r="K3113" s="13" t="s">
        <v>245</v>
      </c>
      <c r="L3113" s="13" t="s">
        <v>389</v>
      </c>
      <c r="M3113" s="13" t="s">
        <v>388</v>
      </c>
      <c r="N3113" s="15">
        <v>0</v>
      </c>
      <c r="O3113" s="16">
        <v>0</v>
      </c>
      <c r="P3113" s="17">
        <v>993.635849948138</v>
      </c>
      <c r="Q3113" s="17">
        <v>0</v>
      </c>
      <c r="R3113" s="13"/>
      <c r="S3113" s="13"/>
      <c r="T3113" s="13"/>
      <c r="U3113" s="13"/>
      <c r="V3113" s="13"/>
      <c r="W3113" s="13"/>
    </row>
    <row r="3114" spans="1:23" x14ac:dyDescent="0.2">
      <c r="A3114"/>
      <c r="B3114"/>
      <c r="C3114"/>
      <c r="D3114"/>
      <c r="E3114"/>
      <c r="F3114"/>
      <c r="G3114"/>
      <c r="H3114"/>
      <c r="I3114"/>
      <c r="J3114"/>
      <c r="K3114" s="13" t="s">
        <v>245</v>
      </c>
      <c r="L3114" s="13" t="s">
        <v>486</v>
      </c>
      <c r="M3114" s="13" t="s">
        <v>439</v>
      </c>
      <c r="N3114" s="15">
        <v>0</v>
      </c>
      <c r="O3114" s="16">
        <v>0</v>
      </c>
      <c r="P3114" s="17">
        <v>15.238799994361514</v>
      </c>
      <c r="Q3114" s="17">
        <v>0</v>
      </c>
      <c r="R3114" s="13"/>
      <c r="S3114" s="13"/>
      <c r="T3114" s="13"/>
      <c r="U3114" s="13"/>
      <c r="V3114" s="13"/>
      <c r="W3114" s="13"/>
    </row>
    <row r="3115" spans="1:23" x14ac:dyDescent="0.2">
      <c r="A3115"/>
      <c r="B3115"/>
      <c r="C3115"/>
      <c r="D3115"/>
      <c r="E3115"/>
      <c r="F3115"/>
      <c r="G3115"/>
      <c r="H3115"/>
      <c r="I3115"/>
      <c r="J3115"/>
      <c r="K3115" s="13" t="s">
        <v>245</v>
      </c>
      <c r="L3115" s="13" t="s">
        <v>513</v>
      </c>
      <c r="M3115" s="13" t="s">
        <v>533</v>
      </c>
      <c r="N3115" s="15">
        <v>0</v>
      </c>
      <c r="O3115" s="16">
        <v>0</v>
      </c>
      <c r="P3115" s="17">
        <v>92.065850001576663</v>
      </c>
      <c r="Q3115" s="17">
        <v>0</v>
      </c>
      <c r="R3115" s="13"/>
      <c r="S3115" s="13"/>
      <c r="T3115" s="13"/>
      <c r="U3115" s="13"/>
      <c r="V3115" s="13"/>
      <c r="W3115" s="13"/>
    </row>
    <row r="3116" spans="1:23" x14ac:dyDescent="0.2">
      <c r="A3116"/>
      <c r="B3116"/>
      <c r="C3116"/>
      <c r="D3116"/>
      <c r="E3116"/>
      <c r="F3116"/>
      <c r="G3116"/>
      <c r="H3116"/>
      <c r="I3116"/>
      <c r="J3116"/>
      <c r="K3116" s="13" t="s">
        <v>245</v>
      </c>
      <c r="L3116" s="13" t="s">
        <v>440</v>
      </c>
      <c r="M3116" s="13" t="s">
        <v>441</v>
      </c>
      <c r="N3116" s="15">
        <v>4</v>
      </c>
      <c r="O3116" s="16">
        <v>0</v>
      </c>
      <c r="P3116" s="17">
        <v>0</v>
      </c>
      <c r="Q3116" s="17">
        <v>0</v>
      </c>
      <c r="R3116" s="13"/>
      <c r="S3116" s="13"/>
      <c r="T3116" s="13"/>
      <c r="U3116" s="13"/>
      <c r="V3116" s="13"/>
      <c r="W3116" s="13"/>
    </row>
    <row r="3117" spans="1:23" x14ac:dyDescent="0.2">
      <c r="A3117"/>
      <c r="B3117"/>
      <c r="C3117"/>
      <c r="D3117"/>
      <c r="E3117"/>
      <c r="F3117"/>
      <c r="G3117"/>
      <c r="H3117"/>
      <c r="I3117"/>
      <c r="J3117"/>
      <c r="K3117" s="13" t="s">
        <v>245</v>
      </c>
      <c r="L3117" s="13" t="s">
        <v>394</v>
      </c>
      <c r="M3117" s="13" t="s">
        <v>359</v>
      </c>
      <c r="N3117" s="15">
        <v>0</v>
      </c>
      <c r="O3117" s="16">
        <v>0</v>
      </c>
      <c r="P3117" s="17">
        <v>31.024599997367687</v>
      </c>
      <c r="Q3117" s="17">
        <v>0</v>
      </c>
      <c r="R3117" s="13"/>
      <c r="S3117" s="13"/>
      <c r="T3117" s="13"/>
      <c r="U3117" s="13"/>
      <c r="V3117" s="13"/>
      <c r="W3117" s="13"/>
    </row>
    <row r="3118" spans="1:23" x14ac:dyDescent="0.2">
      <c r="A3118"/>
      <c r="B3118"/>
      <c r="C3118"/>
      <c r="D3118"/>
      <c r="E3118"/>
      <c r="F3118"/>
      <c r="G3118"/>
      <c r="H3118"/>
      <c r="I3118"/>
      <c r="J3118"/>
      <c r="K3118" s="13" t="s">
        <v>245</v>
      </c>
      <c r="L3118" s="13" t="s">
        <v>395</v>
      </c>
      <c r="M3118" s="13" t="s">
        <v>602</v>
      </c>
      <c r="N3118" s="15">
        <v>4</v>
      </c>
      <c r="O3118" s="16">
        <v>0</v>
      </c>
      <c r="P3118" s="17">
        <v>0</v>
      </c>
      <c r="Q3118" s="17">
        <v>0</v>
      </c>
      <c r="R3118" s="13"/>
      <c r="S3118" s="13"/>
      <c r="T3118" s="13"/>
      <c r="U3118" s="13"/>
      <c r="V3118" s="13"/>
      <c r="W3118" s="13"/>
    </row>
    <row r="3119" spans="1:23" x14ac:dyDescent="0.2">
      <c r="A3119"/>
      <c r="B3119"/>
      <c r="C3119"/>
      <c r="D3119"/>
      <c r="E3119"/>
      <c r="F3119"/>
      <c r="G3119"/>
      <c r="H3119"/>
      <c r="I3119"/>
      <c r="J3119"/>
      <c r="K3119" s="13" t="s">
        <v>245</v>
      </c>
      <c r="L3119" s="13" t="s">
        <v>396</v>
      </c>
      <c r="M3119" s="13" t="s">
        <v>604</v>
      </c>
      <c r="N3119" s="15">
        <v>0</v>
      </c>
      <c r="O3119" s="16">
        <v>16.979396485354066</v>
      </c>
      <c r="P3119" s="17">
        <v>0</v>
      </c>
      <c r="Q3119" s="17">
        <v>25.469094728031099</v>
      </c>
      <c r="R3119" s="13"/>
      <c r="S3119" s="13"/>
      <c r="T3119" s="13"/>
      <c r="U3119" s="13"/>
      <c r="V3119" s="13"/>
      <c r="W3119" s="13"/>
    </row>
    <row r="3120" spans="1:23" x14ac:dyDescent="0.2">
      <c r="A3120"/>
      <c r="B3120"/>
      <c r="C3120"/>
      <c r="D3120"/>
      <c r="E3120"/>
      <c r="F3120"/>
      <c r="G3120"/>
      <c r="H3120"/>
      <c r="I3120"/>
      <c r="J3120"/>
      <c r="K3120" s="13" t="s">
        <v>245</v>
      </c>
      <c r="L3120" s="13" t="s">
        <v>397</v>
      </c>
      <c r="M3120" s="13" t="s">
        <v>398</v>
      </c>
      <c r="N3120" s="15">
        <v>0</v>
      </c>
      <c r="O3120" s="16">
        <v>0</v>
      </c>
      <c r="P3120" s="17">
        <v>59.364400007018716</v>
      </c>
      <c r="Q3120" s="17">
        <v>0</v>
      </c>
      <c r="R3120" s="13"/>
      <c r="S3120" s="13"/>
      <c r="T3120" s="13"/>
      <c r="U3120" s="13"/>
      <c r="V3120" s="13"/>
      <c r="W3120" s="13"/>
    </row>
    <row r="3121" spans="1:23" x14ac:dyDescent="0.2">
      <c r="A3121"/>
      <c r="B3121"/>
      <c r="C3121"/>
      <c r="D3121"/>
      <c r="E3121"/>
      <c r="F3121"/>
      <c r="G3121"/>
      <c r="H3121"/>
      <c r="I3121"/>
      <c r="J3121"/>
      <c r="K3121" s="13" t="s">
        <v>245</v>
      </c>
      <c r="L3121" s="13" t="s">
        <v>399</v>
      </c>
      <c r="M3121" s="13" t="s">
        <v>400</v>
      </c>
      <c r="N3121" s="15">
        <v>0</v>
      </c>
      <c r="O3121" s="16">
        <v>0</v>
      </c>
      <c r="P3121" s="17">
        <v>32.559600002272845</v>
      </c>
      <c r="Q3121" s="17">
        <v>0</v>
      </c>
      <c r="R3121" s="13"/>
      <c r="S3121" s="13"/>
      <c r="T3121" s="13"/>
      <c r="U3121" s="13"/>
      <c r="V3121" s="13"/>
      <c r="W3121" s="13"/>
    </row>
    <row r="3122" spans="1:23" x14ac:dyDescent="0.2">
      <c r="A3122"/>
      <c r="B3122"/>
      <c r="C3122"/>
      <c r="D3122"/>
      <c r="E3122"/>
      <c r="F3122"/>
      <c r="G3122"/>
      <c r="H3122"/>
      <c r="I3122"/>
      <c r="J3122"/>
      <c r="K3122" s="13" t="s">
        <v>245</v>
      </c>
      <c r="L3122" s="13" t="s">
        <v>401</v>
      </c>
      <c r="M3122" s="13" t="s">
        <v>360</v>
      </c>
      <c r="N3122" s="15">
        <v>0</v>
      </c>
      <c r="O3122" s="16">
        <v>0</v>
      </c>
      <c r="P3122" s="17">
        <v>242.38684998092353</v>
      </c>
      <c r="Q3122" s="17">
        <v>0</v>
      </c>
      <c r="R3122" s="13"/>
      <c r="S3122" s="13"/>
      <c r="T3122" s="13"/>
      <c r="U3122" s="13"/>
      <c r="V3122" s="13"/>
      <c r="W3122" s="13"/>
    </row>
    <row r="3123" spans="1:23" x14ac:dyDescent="0.2">
      <c r="A3123"/>
      <c r="B3123"/>
      <c r="C3123"/>
      <c r="D3123"/>
      <c r="E3123"/>
      <c r="F3123"/>
      <c r="G3123"/>
      <c r="H3123"/>
      <c r="I3123"/>
      <c r="J3123"/>
      <c r="K3123" s="13" t="s">
        <v>245</v>
      </c>
      <c r="L3123" s="13" t="s">
        <v>402</v>
      </c>
      <c r="M3123" s="13" t="s">
        <v>403</v>
      </c>
      <c r="N3123" s="15">
        <v>0</v>
      </c>
      <c r="O3123" s="16">
        <v>0</v>
      </c>
      <c r="P3123" s="17">
        <v>940.92460000567348</v>
      </c>
      <c r="Q3123" s="17">
        <v>0</v>
      </c>
      <c r="R3123" s="13"/>
      <c r="S3123" s="13"/>
      <c r="T3123" s="13"/>
      <c r="U3123" s="13"/>
      <c r="V3123" s="13"/>
      <c r="W3123" s="13"/>
    </row>
    <row r="3124" spans="1:23" x14ac:dyDescent="0.2">
      <c r="A3124"/>
      <c r="B3124"/>
      <c r="C3124"/>
      <c r="D3124"/>
      <c r="E3124"/>
      <c r="F3124"/>
      <c r="G3124"/>
      <c r="H3124"/>
      <c r="I3124"/>
      <c r="J3124"/>
      <c r="K3124" s="13" t="s">
        <v>245</v>
      </c>
      <c r="L3124" s="13" t="s">
        <v>448</v>
      </c>
      <c r="M3124" s="13" t="s">
        <v>366</v>
      </c>
      <c r="N3124" s="15">
        <v>0</v>
      </c>
      <c r="O3124" s="16">
        <v>0</v>
      </c>
      <c r="P3124" s="17">
        <v>74.581049997115443</v>
      </c>
      <c r="Q3124" s="17">
        <v>0</v>
      </c>
      <c r="R3124" s="13"/>
      <c r="S3124" s="13"/>
      <c r="T3124" s="13"/>
      <c r="U3124" s="13"/>
      <c r="V3124" s="13"/>
      <c r="W3124" s="13"/>
    </row>
    <row r="3125" spans="1:23" x14ac:dyDescent="0.2">
      <c r="A3125"/>
      <c r="B3125"/>
      <c r="C3125"/>
      <c r="D3125"/>
      <c r="E3125"/>
      <c r="F3125"/>
      <c r="G3125"/>
      <c r="H3125"/>
      <c r="I3125"/>
      <c r="J3125"/>
      <c r="K3125" s="13" t="s">
        <v>245</v>
      </c>
      <c r="L3125" s="13" t="s">
        <v>404</v>
      </c>
      <c r="M3125" s="13" t="s">
        <v>405</v>
      </c>
      <c r="N3125" s="15">
        <v>0</v>
      </c>
      <c r="O3125" s="16">
        <v>0</v>
      </c>
      <c r="P3125" s="17">
        <v>43.835999979377142</v>
      </c>
      <c r="Q3125" s="17">
        <v>282.17080652527773</v>
      </c>
      <c r="R3125" s="13"/>
      <c r="S3125" s="13"/>
      <c r="T3125" s="13"/>
      <c r="U3125" s="13"/>
      <c r="V3125" s="13"/>
      <c r="W3125" s="13"/>
    </row>
    <row r="3126" spans="1:23" x14ac:dyDescent="0.2">
      <c r="A3126"/>
      <c r="B3126"/>
      <c r="C3126"/>
      <c r="D3126"/>
      <c r="E3126"/>
      <c r="F3126"/>
      <c r="G3126"/>
      <c r="H3126"/>
      <c r="I3126"/>
      <c r="J3126"/>
      <c r="K3126" s="13" t="s">
        <v>245</v>
      </c>
      <c r="L3126" s="13" t="s">
        <v>381</v>
      </c>
      <c r="M3126" s="13" t="s">
        <v>382</v>
      </c>
      <c r="N3126" s="15">
        <v>15</v>
      </c>
      <c r="O3126" s="16">
        <v>0</v>
      </c>
      <c r="P3126" s="17">
        <v>0</v>
      </c>
      <c r="Q3126" s="17">
        <v>0</v>
      </c>
      <c r="R3126" s="13"/>
      <c r="S3126" s="13"/>
      <c r="T3126" s="13"/>
      <c r="U3126" s="13"/>
      <c r="V3126" s="13"/>
      <c r="W3126" s="13"/>
    </row>
    <row r="3127" spans="1:23" x14ac:dyDescent="0.2">
      <c r="A3127"/>
      <c r="B3127"/>
      <c r="C3127"/>
      <c r="D3127"/>
      <c r="E3127"/>
      <c r="F3127"/>
      <c r="G3127"/>
      <c r="H3127"/>
      <c r="I3127"/>
      <c r="J3127"/>
      <c r="K3127" s="13" t="s">
        <v>245</v>
      </c>
      <c r="L3127" s="13" t="s">
        <v>409</v>
      </c>
      <c r="M3127" s="13" t="s">
        <v>410</v>
      </c>
      <c r="N3127" s="15">
        <v>1</v>
      </c>
      <c r="O3127" s="16">
        <v>0</v>
      </c>
      <c r="P3127" s="17">
        <v>0</v>
      </c>
      <c r="Q3127" s="17">
        <v>0</v>
      </c>
      <c r="R3127" s="13"/>
      <c r="S3127" s="13"/>
      <c r="T3127" s="13"/>
      <c r="U3127" s="13"/>
      <c r="V3127" s="13"/>
      <c r="W3127" s="13"/>
    </row>
    <row r="3128" spans="1:23" x14ac:dyDescent="0.2">
      <c r="A3128"/>
      <c r="B3128"/>
      <c r="C3128"/>
      <c r="D3128"/>
      <c r="E3128"/>
      <c r="F3128"/>
      <c r="G3128"/>
      <c r="H3128"/>
      <c r="I3128"/>
      <c r="J3128"/>
      <c r="K3128" s="13" t="s">
        <v>245</v>
      </c>
      <c r="L3128" s="13" t="s">
        <v>411</v>
      </c>
      <c r="M3128" s="13" t="s">
        <v>362</v>
      </c>
      <c r="N3128" s="15">
        <v>0</v>
      </c>
      <c r="O3128" s="16">
        <v>185.23990634564944</v>
      </c>
      <c r="P3128" s="17">
        <v>0</v>
      </c>
      <c r="Q3128" s="17">
        <v>0</v>
      </c>
      <c r="R3128" s="13"/>
      <c r="S3128" s="13"/>
      <c r="T3128" s="13"/>
      <c r="U3128" s="13"/>
      <c r="V3128" s="13"/>
      <c r="W3128" s="13"/>
    </row>
    <row r="3129" spans="1:23" x14ac:dyDescent="0.2">
      <c r="A3129"/>
      <c r="B3129"/>
      <c r="C3129"/>
      <c r="D3129"/>
      <c r="E3129"/>
      <c r="F3129"/>
      <c r="G3129"/>
      <c r="H3129"/>
      <c r="I3129"/>
      <c r="J3129"/>
      <c r="K3129" s="13" t="s">
        <v>245</v>
      </c>
      <c r="L3129" s="13" t="s">
        <v>605</v>
      </c>
      <c r="M3129" s="13" t="s">
        <v>429</v>
      </c>
      <c r="N3129" s="15">
        <v>0</v>
      </c>
      <c r="O3129" s="16">
        <v>4.0609974728930345</v>
      </c>
      <c r="P3129" s="17">
        <v>0</v>
      </c>
      <c r="Q3129" s="17">
        <v>0</v>
      </c>
      <c r="R3129" s="13"/>
      <c r="S3129" s="13"/>
      <c r="T3129" s="13"/>
      <c r="U3129" s="13"/>
      <c r="V3129" s="13"/>
      <c r="W3129" s="13"/>
    </row>
    <row r="3130" spans="1:23" x14ac:dyDescent="0.2">
      <c r="A3130"/>
      <c r="B3130"/>
      <c r="C3130"/>
      <c r="D3130"/>
      <c r="E3130"/>
      <c r="F3130"/>
      <c r="G3130"/>
      <c r="H3130"/>
      <c r="I3130"/>
      <c r="J3130"/>
      <c r="K3130" s="13" t="s">
        <v>245</v>
      </c>
      <c r="L3130" s="13" t="s">
        <v>606</v>
      </c>
      <c r="M3130" s="13" t="s">
        <v>430</v>
      </c>
      <c r="N3130" s="15">
        <v>1</v>
      </c>
      <c r="O3130" s="16">
        <v>0</v>
      </c>
      <c r="P3130" s="17">
        <v>0</v>
      </c>
      <c r="Q3130" s="17">
        <v>0</v>
      </c>
      <c r="R3130" s="13"/>
      <c r="S3130" s="13"/>
      <c r="T3130" s="13"/>
      <c r="U3130" s="13"/>
      <c r="V3130" s="13"/>
      <c r="W3130" s="13"/>
    </row>
    <row r="3131" spans="1:23" x14ac:dyDescent="0.2">
      <c r="A3131"/>
      <c r="B3131"/>
      <c r="C3131"/>
      <c r="D3131"/>
      <c r="E3131"/>
      <c r="F3131"/>
      <c r="G3131"/>
      <c r="H3131"/>
      <c r="I3131"/>
      <c r="J3131"/>
      <c r="K3131" s="13" t="s">
        <v>245</v>
      </c>
      <c r="L3131" s="13" t="s">
        <v>623</v>
      </c>
      <c r="M3131" s="13" t="s">
        <v>530</v>
      </c>
      <c r="N3131" s="15">
        <v>0</v>
      </c>
      <c r="O3131" s="16">
        <v>14.218686449842622</v>
      </c>
      <c r="P3131" s="17">
        <v>0</v>
      </c>
      <c r="Q3131" s="17">
        <v>0</v>
      </c>
      <c r="R3131" s="13"/>
      <c r="S3131" s="13"/>
      <c r="T3131" s="13"/>
      <c r="U3131" s="13"/>
      <c r="V3131" s="13"/>
      <c r="W3131" s="13"/>
    </row>
    <row r="3132" spans="1:23" x14ac:dyDescent="0.2">
      <c r="A3132"/>
      <c r="B3132"/>
      <c r="C3132"/>
      <c r="D3132"/>
      <c r="E3132"/>
      <c r="F3132"/>
      <c r="G3132"/>
      <c r="H3132"/>
      <c r="I3132"/>
      <c r="J3132"/>
      <c r="K3132" s="13" t="s">
        <v>245</v>
      </c>
      <c r="L3132" s="13" t="s">
        <v>608</v>
      </c>
      <c r="M3132" s="13" t="s">
        <v>432</v>
      </c>
      <c r="N3132" s="15">
        <v>5</v>
      </c>
      <c r="O3132" s="16">
        <v>0</v>
      </c>
      <c r="P3132" s="17">
        <v>0</v>
      </c>
      <c r="Q3132" s="17">
        <v>0</v>
      </c>
      <c r="R3132" s="13"/>
      <c r="S3132" s="13"/>
      <c r="T3132" s="13"/>
      <c r="U3132" s="13"/>
      <c r="V3132" s="13"/>
      <c r="W3132" s="13"/>
    </row>
    <row r="3133" spans="1:23" x14ac:dyDescent="0.2">
      <c r="A3133"/>
      <c r="B3133"/>
      <c r="C3133"/>
      <c r="D3133"/>
      <c r="E3133"/>
      <c r="F3133"/>
      <c r="G3133"/>
      <c r="H3133"/>
      <c r="I3133"/>
      <c r="J3133"/>
      <c r="K3133" s="13" t="s">
        <v>245</v>
      </c>
      <c r="L3133" s="13" t="s">
        <v>523</v>
      </c>
      <c r="M3133" s="13" t="s">
        <v>476</v>
      </c>
      <c r="N3133" s="15">
        <v>0</v>
      </c>
      <c r="O3133" s="16">
        <v>0</v>
      </c>
      <c r="P3133" s="17">
        <v>2.3643999988551023</v>
      </c>
      <c r="Q3133" s="17">
        <v>0</v>
      </c>
      <c r="R3133" s="13"/>
      <c r="S3133" s="13"/>
      <c r="T3133" s="13"/>
      <c r="U3133" s="13"/>
      <c r="V3133" s="13"/>
      <c r="W3133" s="13"/>
    </row>
    <row r="3134" spans="1:23" x14ac:dyDescent="0.2">
      <c r="A3134"/>
      <c r="B3134"/>
      <c r="C3134"/>
      <c r="D3134"/>
      <c r="E3134"/>
      <c r="F3134"/>
      <c r="G3134"/>
      <c r="H3134"/>
      <c r="I3134"/>
      <c r="J3134"/>
      <c r="K3134" s="13" t="s">
        <v>245</v>
      </c>
      <c r="L3134" s="13" t="s">
        <v>622</v>
      </c>
      <c r="M3134" s="13" t="s">
        <v>524</v>
      </c>
      <c r="N3134" s="15">
        <v>0</v>
      </c>
      <c r="O3134" s="16">
        <v>19.589325187681805</v>
      </c>
      <c r="P3134" s="17">
        <v>0</v>
      </c>
      <c r="Q3134" s="17">
        <v>0</v>
      </c>
      <c r="R3134" s="13"/>
      <c r="S3134" s="13"/>
      <c r="T3134" s="13"/>
      <c r="U3134" s="13"/>
      <c r="V3134" s="13"/>
      <c r="W3134" s="13"/>
    </row>
    <row r="3135" spans="1:23" x14ac:dyDescent="0.2">
      <c r="A3135"/>
      <c r="B3135"/>
      <c r="C3135"/>
      <c r="D3135"/>
      <c r="E3135"/>
      <c r="F3135"/>
      <c r="G3135"/>
      <c r="H3135"/>
      <c r="I3135"/>
      <c r="J3135"/>
      <c r="K3135" s="13" t="s">
        <v>245</v>
      </c>
      <c r="L3135" s="13" t="s">
        <v>383</v>
      </c>
      <c r="M3135" s="13" t="s">
        <v>420</v>
      </c>
      <c r="N3135" s="15">
        <v>4</v>
      </c>
      <c r="O3135" s="16">
        <v>0</v>
      </c>
      <c r="P3135" s="17">
        <v>0</v>
      </c>
      <c r="Q3135" s="17">
        <v>0</v>
      </c>
      <c r="R3135" s="13"/>
      <c r="S3135" s="13"/>
      <c r="T3135" s="13"/>
      <c r="U3135" s="13"/>
      <c r="V3135" s="13"/>
      <c r="W3135" s="13"/>
    </row>
    <row r="3136" spans="1:23" x14ac:dyDescent="0.2">
      <c r="A3136"/>
      <c r="B3136"/>
      <c r="C3136"/>
      <c r="D3136"/>
      <c r="E3136"/>
      <c r="F3136"/>
      <c r="G3136"/>
      <c r="H3136"/>
      <c r="I3136"/>
      <c r="J3136"/>
      <c r="K3136" s="13" t="s">
        <v>245</v>
      </c>
      <c r="L3136" s="13" t="s">
        <v>528</v>
      </c>
      <c r="M3136" s="13" t="s">
        <v>384</v>
      </c>
      <c r="N3136" s="15">
        <v>0</v>
      </c>
      <c r="O3136" s="16">
        <v>212.15093136998087</v>
      </c>
      <c r="P3136" s="17">
        <v>0</v>
      </c>
      <c r="Q3136" s="17">
        <v>0</v>
      </c>
      <c r="R3136" s="13"/>
      <c r="S3136" s="13"/>
      <c r="T3136" s="13"/>
      <c r="U3136" s="13"/>
      <c r="V3136" s="13"/>
      <c r="W3136" s="13"/>
    </row>
    <row r="3137" spans="1:23" x14ac:dyDescent="0.2">
      <c r="A3137"/>
      <c r="B3137"/>
      <c r="C3137"/>
      <c r="D3137"/>
      <c r="E3137"/>
      <c r="F3137"/>
      <c r="G3137"/>
      <c r="H3137"/>
      <c r="I3137"/>
      <c r="J3137"/>
      <c r="K3137" s="13" t="s">
        <v>245</v>
      </c>
      <c r="L3137" s="13" t="s">
        <v>613</v>
      </c>
      <c r="M3137" s="13" t="s">
        <v>444</v>
      </c>
      <c r="N3137" s="15">
        <v>0</v>
      </c>
      <c r="O3137" s="16">
        <v>2.7172191882553416</v>
      </c>
      <c r="P3137" s="17">
        <v>0</v>
      </c>
      <c r="Q3137" s="17">
        <v>0</v>
      </c>
      <c r="R3137" s="13"/>
      <c r="S3137" s="13"/>
      <c r="T3137" s="13"/>
      <c r="U3137" s="13"/>
      <c r="V3137" s="13"/>
      <c r="W3137" s="13"/>
    </row>
    <row r="3138" spans="1:23" x14ac:dyDescent="0.2">
      <c r="A3138"/>
      <c r="B3138"/>
      <c r="C3138"/>
      <c r="D3138"/>
      <c r="E3138"/>
      <c r="F3138"/>
      <c r="G3138"/>
      <c r="H3138"/>
      <c r="I3138"/>
      <c r="J3138"/>
      <c r="K3138" s="13" t="s">
        <v>245</v>
      </c>
      <c r="L3138" s="13" t="s">
        <v>611</v>
      </c>
      <c r="M3138" s="13" t="s">
        <v>423</v>
      </c>
      <c r="N3138" s="15">
        <v>0</v>
      </c>
      <c r="O3138" s="16">
        <v>3.4536502429689375</v>
      </c>
      <c r="P3138" s="17">
        <v>0</v>
      </c>
      <c r="Q3138" s="17">
        <v>0</v>
      </c>
      <c r="R3138" s="13"/>
      <c r="S3138" s="13"/>
      <c r="T3138" s="13"/>
      <c r="U3138" s="13"/>
      <c r="V3138" s="13"/>
      <c r="W3138" s="13"/>
    </row>
    <row r="3139" spans="1:23" x14ac:dyDescent="0.2">
      <c r="A3139"/>
      <c r="B3139"/>
      <c r="C3139"/>
      <c r="D3139"/>
      <c r="E3139"/>
      <c r="F3139"/>
      <c r="G3139"/>
      <c r="H3139"/>
      <c r="I3139"/>
      <c r="J3139"/>
      <c r="K3139" s="13" t="s">
        <v>245</v>
      </c>
      <c r="L3139" s="13" t="s">
        <v>446</v>
      </c>
      <c r="M3139" s="13" t="s">
        <v>371</v>
      </c>
      <c r="N3139" s="15">
        <v>13</v>
      </c>
      <c r="O3139" s="16">
        <v>0</v>
      </c>
      <c r="P3139" s="17">
        <v>0</v>
      </c>
      <c r="Q3139" s="17">
        <v>0</v>
      </c>
      <c r="R3139" s="13"/>
      <c r="S3139" s="13"/>
      <c r="T3139" s="13"/>
      <c r="U3139" s="13"/>
      <c r="V3139" s="13"/>
      <c r="W3139" s="13"/>
    </row>
    <row r="3140" spans="1:23" x14ac:dyDescent="0.2">
      <c r="A3140"/>
      <c r="B3140"/>
      <c r="C3140"/>
      <c r="D3140"/>
      <c r="E3140"/>
      <c r="F3140"/>
      <c r="G3140"/>
      <c r="H3140"/>
      <c r="I3140"/>
      <c r="J3140"/>
      <c r="K3140" s="13" t="s">
        <v>245</v>
      </c>
      <c r="L3140" s="13" t="s">
        <v>424</v>
      </c>
      <c r="M3140" s="13" t="s">
        <v>468</v>
      </c>
      <c r="N3140" s="15">
        <v>0</v>
      </c>
      <c r="O3140" s="16">
        <v>0</v>
      </c>
      <c r="P3140" s="17">
        <v>18.53400000128569</v>
      </c>
      <c r="Q3140" s="17">
        <v>0</v>
      </c>
      <c r="R3140" s="13"/>
      <c r="S3140" s="13"/>
      <c r="T3140" s="13"/>
      <c r="U3140" s="13"/>
      <c r="V3140" s="13"/>
      <c r="W3140" s="13"/>
    </row>
    <row r="3141" spans="1:23" x14ac:dyDescent="0.2">
      <c r="A3141"/>
      <c r="B3141"/>
      <c r="C3141"/>
      <c r="D3141"/>
      <c r="E3141"/>
      <c r="F3141"/>
      <c r="G3141"/>
      <c r="H3141"/>
      <c r="I3141"/>
      <c r="J3141"/>
      <c r="K3141" s="13" t="s">
        <v>247</v>
      </c>
      <c r="L3141" s="13" t="s">
        <v>435</v>
      </c>
      <c r="M3141" s="13" t="s">
        <v>364</v>
      </c>
      <c r="N3141" s="15">
        <v>1</v>
      </c>
      <c r="O3141" s="16">
        <v>0</v>
      </c>
      <c r="P3141" s="17">
        <v>0</v>
      </c>
      <c r="Q3141" s="17">
        <v>0</v>
      </c>
      <c r="R3141" s="13"/>
      <c r="S3141" s="13"/>
      <c r="T3141" s="13"/>
      <c r="U3141" s="13"/>
      <c r="V3141" s="13"/>
      <c r="W3141" s="13"/>
    </row>
    <row r="3142" spans="1:23" x14ac:dyDescent="0.2">
      <c r="A3142"/>
      <c r="B3142"/>
      <c r="C3142"/>
      <c r="D3142"/>
      <c r="E3142"/>
      <c r="F3142"/>
      <c r="G3142"/>
      <c r="H3142"/>
      <c r="I3142"/>
      <c r="J3142"/>
      <c r="K3142" s="13" t="s">
        <v>247</v>
      </c>
      <c r="L3142" s="13" t="s">
        <v>635</v>
      </c>
      <c r="M3142" s="13" t="s">
        <v>507</v>
      </c>
      <c r="N3142" s="15">
        <v>0</v>
      </c>
      <c r="O3142" s="16">
        <v>0</v>
      </c>
      <c r="P3142" s="17">
        <v>21.951400007551559</v>
      </c>
      <c r="Q3142" s="17">
        <v>0</v>
      </c>
      <c r="R3142" s="13"/>
      <c r="S3142" s="13"/>
      <c r="T3142" s="13"/>
      <c r="U3142" s="13"/>
      <c r="V3142" s="13"/>
      <c r="W3142" s="13"/>
    </row>
    <row r="3143" spans="1:23" x14ac:dyDescent="0.2">
      <c r="A3143"/>
      <c r="B3143"/>
      <c r="C3143"/>
      <c r="D3143"/>
      <c r="E3143"/>
      <c r="F3143"/>
      <c r="G3143"/>
      <c r="H3143"/>
      <c r="I3143"/>
      <c r="J3143"/>
      <c r="K3143" s="13" t="s">
        <v>247</v>
      </c>
      <c r="L3143" s="13" t="s">
        <v>387</v>
      </c>
      <c r="M3143" s="13" t="s">
        <v>386</v>
      </c>
      <c r="N3143" s="15">
        <v>0</v>
      </c>
      <c r="O3143" s="16">
        <v>0</v>
      </c>
      <c r="P3143" s="17">
        <v>386.65241331826275</v>
      </c>
      <c r="Q3143" s="17">
        <v>0</v>
      </c>
      <c r="R3143" s="13"/>
      <c r="S3143" s="13"/>
      <c r="T3143" s="13"/>
      <c r="U3143" s="13"/>
      <c r="V3143" s="13"/>
      <c r="W3143" s="13"/>
    </row>
    <row r="3144" spans="1:23" x14ac:dyDescent="0.2">
      <c r="A3144"/>
      <c r="B3144"/>
      <c r="C3144"/>
      <c r="D3144"/>
      <c r="E3144"/>
      <c r="F3144"/>
      <c r="G3144"/>
      <c r="H3144"/>
      <c r="I3144"/>
      <c r="J3144"/>
      <c r="K3144" s="13" t="s">
        <v>247</v>
      </c>
      <c r="L3144" s="13" t="s">
        <v>389</v>
      </c>
      <c r="M3144" s="13" t="s">
        <v>388</v>
      </c>
      <c r="N3144" s="15">
        <v>0</v>
      </c>
      <c r="O3144" s="16">
        <v>0</v>
      </c>
      <c r="P3144" s="17">
        <v>278.53814999970797</v>
      </c>
      <c r="Q3144" s="17">
        <v>0</v>
      </c>
      <c r="R3144" s="13"/>
      <c r="S3144" s="13"/>
      <c r="T3144" s="13"/>
      <c r="U3144" s="13"/>
      <c r="V3144" s="13"/>
      <c r="W3144" s="13"/>
    </row>
    <row r="3145" spans="1:23" x14ac:dyDescent="0.2">
      <c r="A3145"/>
      <c r="B3145"/>
      <c r="C3145"/>
      <c r="D3145"/>
      <c r="E3145"/>
      <c r="F3145"/>
      <c r="G3145"/>
      <c r="H3145"/>
      <c r="I3145"/>
      <c r="J3145"/>
      <c r="K3145" s="13" t="s">
        <v>247</v>
      </c>
      <c r="L3145" s="13" t="s">
        <v>391</v>
      </c>
      <c r="M3145" s="13" t="s">
        <v>358</v>
      </c>
      <c r="N3145" s="15">
        <v>0</v>
      </c>
      <c r="O3145" s="16">
        <v>0</v>
      </c>
      <c r="P3145" s="17">
        <v>95.663749989001658</v>
      </c>
      <c r="Q3145" s="17">
        <v>0</v>
      </c>
      <c r="R3145" s="13"/>
      <c r="S3145" s="13"/>
      <c r="T3145" s="13"/>
      <c r="U3145" s="13"/>
      <c r="V3145" s="13"/>
      <c r="W3145" s="13"/>
    </row>
    <row r="3146" spans="1:23" x14ac:dyDescent="0.2">
      <c r="A3146"/>
      <c r="B3146"/>
      <c r="C3146"/>
      <c r="D3146"/>
      <c r="E3146"/>
      <c r="F3146"/>
      <c r="G3146"/>
      <c r="H3146"/>
      <c r="I3146"/>
      <c r="J3146"/>
      <c r="K3146" s="13" t="s">
        <v>247</v>
      </c>
      <c r="L3146" s="13" t="s">
        <v>486</v>
      </c>
      <c r="M3146" s="13" t="s">
        <v>439</v>
      </c>
      <c r="N3146" s="15">
        <v>0</v>
      </c>
      <c r="O3146" s="16">
        <v>0</v>
      </c>
      <c r="P3146" s="17">
        <v>28.520372188444888</v>
      </c>
      <c r="Q3146" s="17">
        <v>0</v>
      </c>
      <c r="R3146" s="13"/>
      <c r="S3146" s="13"/>
      <c r="T3146" s="13"/>
      <c r="U3146" s="13"/>
      <c r="V3146" s="13"/>
      <c r="W3146" s="13"/>
    </row>
    <row r="3147" spans="1:23" x14ac:dyDescent="0.2">
      <c r="A3147"/>
      <c r="B3147"/>
      <c r="C3147"/>
      <c r="D3147"/>
      <c r="E3147"/>
      <c r="F3147"/>
      <c r="G3147"/>
      <c r="H3147"/>
      <c r="I3147"/>
      <c r="J3147"/>
      <c r="K3147" s="13" t="s">
        <v>247</v>
      </c>
      <c r="L3147" s="13" t="s">
        <v>512</v>
      </c>
      <c r="M3147" s="13" t="s">
        <v>466</v>
      </c>
      <c r="N3147" s="15">
        <v>0</v>
      </c>
      <c r="O3147" s="16">
        <v>0</v>
      </c>
      <c r="P3147" s="17">
        <v>83.415400004166074</v>
      </c>
      <c r="Q3147" s="17">
        <v>0</v>
      </c>
      <c r="R3147" s="13"/>
      <c r="S3147" s="13"/>
      <c r="T3147" s="13"/>
      <c r="U3147" s="13"/>
      <c r="V3147" s="13"/>
      <c r="W3147" s="13"/>
    </row>
    <row r="3148" spans="1:23" x14ac:dyDescent="0.2">
      <c r="A3148"/>
      <c r="B3148"/>
      <c r="C3148"/>
      <c r="D3148"/>
      <c r="E3148"/>
      <c r="F3148"/>
      <c r="G3148"/>
      <c r="H3148"/>
      <c r="I3148"/>
      <c r="J3148"/>
      <c r="K3148" s="13" t="s">
        <v>247</v>
      </c>
      <c r="L3148" s="13" t="s">
        <v>513</v>
      </c>
      <c r="M3148" s="13" t="s">
        <v>533</v>
      </c>
      <c r="N3148" s="15">
        <v>0</v>
      </c>
      <c r="O3148" s="16">
        <v>0</v>
      </c>
      <c r="P3148" s="17">
        <v>111.27294999645133</v>
      </c>
      <c r="Q3148" s="17">
        <v>0</v>
      </c>
      <c r="R3148" s="13"/>
      <c r="S3148" s="13"/>
      <c r="T3148" s="13"/>
      <c r="U3148" s="13"/>
      <c r="V3148" s="13"/>
      <c r="W3148" s="13"/>
    </row>
    <row r="3149" spans="1:23" x14ac:dyDescent="0.2">
      <c r="A3149"/>
      <c r="B3149"/>
      <c r="C3149"/>
      <c r="D3149"/>
      <c r="E3149"/>
      <c r="F3149"/>
      <c r="G3149"/>
      <c r="H3149"/>
      <c r="I3149"/>
      <c r="J3149"/>
      <c r="K3149" s="13" t="s">
        <v>247</v>
      </c>
      <c r="L3149" s="13" t="s">
        <v>394</v>
      </c>
      <c r="M3149" s="13" t="s">
        <v>359</v>
      </c>
      <c r="N3149" s="15">
        <v>0</v>
      </c>
      <c r="O3149" s="16">
        <v>0</v>
      </c>
      <c r="P3149" s="17">
        <v>9.6389999962827417</v>
      </c>
      <c r="Q3149" s="17">
        <v>0</v>
      </c>
      <c r="R3149" s="13"/>
      <c r="S3149" s="13"/>
      <c r="T3149" s="13"/>
      <c r="U3149" s="13"/>
      <c r="V3149" s="13"/>
      <c r="W3149" s="13"/>
    </row>
    <row r="3150" spans="1:23" x14ac:dyDescent="0.2">
      <c r="A3150"/>
      <c r="B3150"/>
      <c r="C3150"/>
      <c r="D3150"/>
      <c r="E3150"/>
      <c r="F3150"/>
      <c r="G3150"/>
      <c r="H3150"/>
      <c r="I3150"/>
      <c r="J3150"/>
      <c r="K3150" s="13" t="s">
        <v>247</v>
      </c>
      <c r="L3150" s="13" t="s">
        <v>395</v>
      </c>
      <c r="M3150" s="13" t="s">
        <v>602</v>
      </c>
      <c r="N3150" s="15">
        <v>1</v>
      </c>
      <c r="O3150" s="16">
        <v>0</v>
      </c>
      <c r="P3150" s="17">
        <v>0</v>
      </c>
      <c r="Q3150" s="17">
        <v>0</v>
      </c>
      <c r="R3150" s="13"/>
      <c r="S3150" s="13"/>
      <c r="T3150" s="13"/>
      <c r="U3150" s="13"/>
      <c r="V3150" s="13"/>
      <c r="W3150" s="13"/>
    </row>
    <row r="3151" spans="1:23" x14ac:dyDescent="0.2">
      <c r="A3151"/>
      <c r="B3151"/>
      <c r="C3151"/>
      <c r="D3151"/>
      <c r="E3151"/>
      <c r="F3151"/>
      <c r="G3151"/>
      <c r="H3151"/>
      <c r="I3151"/>
      <c r="J3151"/>
      <c r="K3151" s="13" t="s">
        <v>247</v>
      </c>
      <c r="L3151" s="13" t="s">
        <v>399</v>
      </c>
      <c r="M3151" s="13" t="s">
        <v>400</v>
      </c>
      <c r="N3151" s="15">
        <v>0</v>
      </c>
      <c r="O3151" s="16">
        <v>0</v>
      </c>
      <c r="P3151" s="17">
        <v>1.6852500001587907</v>
      </c>
      <c r="Q3151" s="17">
        <v>0</v>
      </c>
      <c r="R3151" s="13"/>
      <c r="S3151" s="13"/>
      <c r="T3151" s="13"/>
      <c r="U3151" s="13"/>
      <c r="V3151" s="13"/>
      <c r="W3151" s="13"/>
    </row>
    <row r="3152" spans="1:23" x14ac:dyDescent="0.2">
      <c r="A3152"/>
      <c r="B3152"/>
      <c r="C3152"/>
      <c r="D3152"/>
      <c r="E3152"/>
      <c r="F3152"/>
      <c r="G3152"/>
      <c r="H3152"/>
      <c r="I3152"/>
      <c r="J3152"/>
      <c r="K3152" s="13" t="s">
        <v>247</v>
      </c>
      <c r="L3152" s="13" t="s">
        <v>401</v>
      </c>
      <c r="M3152" s="13" t="s">
        <v>360</v>
      </c>
      <c r="N3152" s="15">
        <v>0</v>
      </c>
      <c r="O3152" s="16">
        <v>0</v>
      </c>
      <c r="P3152" s="17">
        <v>145.85732857770284</v>
      </c>
      <c r="Q3152" s="17">
        <v>0</v>
      </c>
      <c r="R3152" s="13"/>
      <c r="S3152" s="13"/>
      <c r="T3152" s="13"/>
      <c r="U3152" s="13"/>
      <c r="V3152" s="13"/>
      <c r="W3152" s="13"/>
    </row>
    <row r="3153" spans="1:23" x14ac:dyDescent="0.2">
      <c r="A3153"/>
      <c r="B3153"/>
      <c r="C3153"/>
      <c r="D3153"/>
      <c r="E3153"/>
      <c r="F3153"/>
      <c r="G3153"/>
      <c r="H3153"/>
      <c r="I3153"/>
      <c r="J3153"/>
      <c r="K3153" s="13" t="s">
        <v>247</v>
      </c>
      <c r="L3153" s="13" t="s">
        <v>511</v>
      </c>
      <c r="M3153" s="13" t="s">
        <v>377</v>
      </c>
      <c r="N3153" s="15">
        <v>0</v>
      </c>
      <c r="O3153" s="16">
        <v>0</v>
      </c>
      <c r="P3153" s="17">
        <v>25.11355001633445</v>
      </c>
      <c r="Q3153" s="17">
        <v>0</v>
      </c>
      <c r="R3153" s="13"/>
      <c r="S3153" s="13"/>
      <c r="T3153" s="13"/>
      <c r="U3153" s="13"/>
      <c r="V3153" s="13"/>
      <c r="W3153" s="13"/>
    </row>
    <row r="3154" spans="1:23" x14ac:dyDescent="0.2">
      <c r="A3154"/>
      <c r="B3154"/>
      <c r="C3154"/>
      <c r="D3154"/>
      <c r="E3154"/>
      <c r="F3154"/>
      <c r="G3154"/>
      <c r="H3154"/>
      <c r="I3154"/>
      <c r="J3154"/>
      <c r="K3154" s="13" t="s">
        <v>247</v>
      </c>
      <c r="L3154" s="13" t="s">
        <v>402</v>
      </c>
      <c r="M3154" s="13" t="s">
        <v>403</v>
      </c>
      <c r="N3154" s="15">
        <v>0</v>
      </c>
      <c r="O3154" s="16">
        <v>0</v>
      </c>
      <c r="P3154" s="17">
        <v>1388.3079999451688</v>
      </c>
      <c r="Q3154" s="17">
        <v>0</v>
      </c>
      <c r="R3154" s="13"/>
      <c r="S3154" s="13"/>
      <c r="T3154" s="13"/>
      <c r="U3154" s="13"/>
      <c r="V3154" s="13"/>
      <c r="W3154" s="13"/>
    </row>
    <row r="3155" spans="1:23" x14ac:dyDescent="0.2">
      <c r="A3155"/>
      <c r="B3155"/>
      <c r="C3155"/>
      <c r="D3155"/>
      <c r="E3155"/>
      <c r="F3155"/>
      <c r="G3155"/>
      <c r="H3155"/>
      <c r="I3155"/>
      <c r="J3155"/>
      <c r="K3155" s="13" t="s">
        <v>247</v>
      </c>
      <c r="L3155" s="13" t="s">
        <v>404</v>
      </c>
      <c r="M3155" s="13" t="s">
        <v>405</v>
      </c>
      <c r="N3155" s="15">
        <v>0</v>
      </c>
      <c r="O3155" s="16">
        <v>0</v>
      </c>
      <c r="P3155" s="17">
        <v>15.423349995885133</v>
      </c>
      <c r="Q3155" s="17">
        <v>91.000340760258808</v>
      </c>
      <c r="R3155" s="13"/>
      <c r="S3155" s="13"/>
      <c r="T3155" s="13"/>
      <c r="U3155" s="13"/>
      <c r="V3155" s="13"/>
      <c r="W3155" s="13"/>
    </row>
    <row r="3156" spans="1:23" x14ac:dyDescent="0.2">
      <c r="A3156"/>
      <c r="B3156"/>
      <c r="C3156"/>
      <c r="D3156"/>
      <c r="E3156"/>
      <c r="F3156"/>
      <c r="G3156"/>
      <c r="H3156"/>
      <c r="I3156"/>
      <c r="J3156"/>
      <c r="K3156" s="13" t="s">
        <v>247</v>
      </c>
      <c r="L3156" s="13" t="s">
        <v>406</v>
      </c>
      <c r="M3156" s="13" t="s">
        <v>361</v>
      </c>
      <c r="N3156" s="15">
        <v>0</v>
      </c>
      <c r="O3156" s="16">
        <v>0</v>
      </c>
      <c r="P3156" s="17">
        <v>15.402700002657554</v>
      </c>
      <c r="Q3156" s="17">
        <v>41.102273440280079</v>
      </c>
      <c r="R3156" s="13"/>
      <c r="S3156" s="13"/>
      <c r="T3156" s="13"/>
      <c r="U3156" s="13"/>
      <c r="V3156" s="13"/>
      <c r="W3156" s="13"/>
    </row>
    <row r="3157" spans="1:23" x14ac:dyDescent="0.2">
      <c r="A3157"/>
      <c r="B3157"/>
      <c r="C3157"/>
      <c r="D3157"/>
      <c r="E3157"/>
      <c r="F3157"/>
      <c r="G3157"/>
      <c r="H3157"/>
      <c r="I3157"/>
      <c r="J3157"/>
      <c r="K3157" s="13" t="s">
        <v>247</v>
      </c>
      <c r="L3157" s="13" t="s">
        <v>381</v>
      </c>
      <c r="M3157" s="13" t="s">
        <v>382</v>
      </c>
      <c r="N3157" s="15">
        <v>8</v>
      </c>
      <c r="O3157" s="16">
        <v>0</v>
      </c>
      <c r="P3157" s="17">
        <v>0</v>
      </c>
      <c r="Q3157" s="17">
        <v>0</v>
      </c>
      <c r="R3157" s="13"/>
      <c r="S3157" s="13"/>
      <c r="T3157" s="13"/>
      <c r="U3157" s="13"/>
      <c r="V3157" s="13"/>
      <c r="W3157" s="13"/>
    </row>
    <row r="3158" spans="1:23" x14ac:dyDescent="0.2">
      <c r="A3158"/>
      <c r="B3158"/>
      <c r="C3158"/>
      <c r="D3158"/>
      <c r="E3158"/>
      <c r="F3158"/>
      <c r="G3158"/>
      <c r="H3158"/>
      <c r="I3158"/>
      <c r="J3158"/>
      <c r="K3158" s="13" t="s">
        <v>247</v>
      </c>
      <c r="L3158" s="13" t="s">
        <v>409</v>
      </c>
      <c r="M3158" s="13" t="s">
        <v>410</v>
      </c>
      <c r="N3158" s="15">
        <v>1</v>
      </c>
      <c r="O3158" s="16">
        <v>0</v>
      </c>
      <c r="P3158" s="17">
        <v>0</v>
      </c>
      <c r="Q3158" s="17">
        <v>0</v>
      </c>
      <c r="R3158" s="13"/>
      <c r="S3158" s="13"/>
      <c r="T3158" s="13"/>
      <c r="U3158" s="13"/>
      <c r="V3158" s="13"/>
      <c r="W3158" s="13"/>
    </row>
    <row r="3159" spans="1:23" x14ac:dyDescent="0.2">
      <c r="A3159"/>
      <c r="B3159"/>
      <c r="C3159"/>
      <c r="D3159"/>
      <c r="E3159"/>
      <c r="F3159"/>
      <c r="G3159"/>
      <c r="H3159"/>
      <c r="I3159"/>
      <c r="J3159"/>
      <c r="K3159" s="13" t="s">
        <v>247</v>
      </c>
      <c r="L3159" s="13" t="s">
        <v>411</v>
      </c>
      <c r="M3159" s="13" t="s">
        <v>362</v>
      </c>
      <c r="N3159" s="15">
        <v>0</v>
      </c>
      <c r="O3159" s="16">
        <v>135.02776153120001</v>
      </c>
      <c r="P3159" s="17">
        <v>0</v>
      </c>
      <c r="Q3159" s="17">
        <v>0</v>
      </c>
      <c r="R3159" s="13"/>
      <c r="S3159" s="13"/>
      <c r="T3159" s="13"/>
      <c r="U3159" s="13"/>
      <c r="V3159" s="13"/>
      <c r="W3159" s="13"/>
    </row>
    <row r="3160" spans="1:23" x14ac:dyDescent="0.2">
      <c r="A3160"/>
      <c r="B3160"/>
      <c r="C3160"/>
      <c r="D3160"/>
      <c r="E3160"/>
      <c r="F3160"/>
      <c r="G3160"/>
      <c r="H3160"/>
      <c r="I3160"/>
      <c r="J3160"/>
      <c r="K3160" s="13" t="s">
        <v>247</v>
      </c>
      <c r="L3160" s="13" t="s">
        <v>413</v>
      </c>
      <c r="M3160" s="13" t="s">
        <v>428</v>
      </c>
      <c r="N3160" s="15">
        <v>2</v>
      </c>
      <c r="O3160" s="16">
        <v>0</v>
      </c>
      <c r="P3160" s="17">
        <v>0</v>
      </c>
      <c r="Q3160" s="17">
        <v>0</v>
      </c>
      <c r="R3160" s="13"/>
      <c r="S3160" s="13"/>
      <c r="T3160" s="13"/>
      <c r="U3160" s="13"/>
      <c r="V3160" s="13"/>
      <c r="W3160" s="13"/>
    </row>
    <row r="3161" spans="1:23" x14ac:dyDescent="0.2">
      <c r="A3161"/>
      <c r="B3161"/>
      <c r="C3161"/>
      <c r="D3161"/>
      <c r="E3161"/>
      <c r="F3161"/>
      <c r="G3161"/>
      <c r="H3161"/>
      <c r="I3161"/>
      <c r="J3161"/>
      <c r="K3161" s="13" t="s">
        <v>247</v>
      </c>
      <c r="L3161" s="13" t="s">
        <v>606</v>
      </c>
      <c r="M3161" s="13" t="s">
        <v>430</v>
      </c>
      <c r="N3161" s="15">
        <v>4</v>
      </c>
      <c r="O3161" s="16">
        <v>0</v>
      </c>
      <c r="P3161" s="17">
        <v>0</v>
      </c>
      <c r="Q3161" s="17">
        <v>0</v>
      </c>
      <c r="R3161" s="13"/>
      <c r="S3161" s="13"/>
      <c r="T3161" s="13"/>
      <c r="U3161" s="13"/>
      <c r="V3161" s="13"/>
      <c r="W3161" s="13"/>
    </row>
    <row r="3162" spans="1:23" x14ac:dyDescent="0.2">
      <c r="A3162"/>
      <c r="B3162"/>
      <c r="C3162"/>
      <c r="D3162"/>
      <c r="E3162"/>
      <c r="F3162"/>
      <c r="G3162"/>
      <c r="H3162"/>
      <c r="I3162"/>
      <c r="J3162"/>
      <c r="K3162" s="13" t="s">
        <v>247</v>
      </c>
      <c r="L3162" s="13" t="s">
        <v>623</v>
      </c>
      <c r="M3162" s="13" t="s">
        <v>530</v>
      </c>
      <c r="N3162" s="15">
        <v>0</v>
      </c>
      <c r="O3162" s="16">
        <v>99.104526355883351</v>
      </c>
      <c r="P3162" s="17">
        <v>0</v>
      </c>
      <c r="Q3162" s="17">
        <v>0</v>
      </c>
      <c r="R3162" s="13"/>
      <c r="S3162" s="13"/>
      <c r="T3162" s="13"/>
      <c r="U3162" s="13"/>
      <c r="V3162" s="13"/>
      <c r="W3162" s="13"/>
    </row>
    <row r="3163" spans="1:23" x14ac:dyDescent="0.2">
      <c r="A3163"/>
      <c r="B3163"/>
      <c r="C3163"/>
      <c r="D3163"/>
      <c r="E3163"/>
      <c r="F3163"/>
      <c r="G3163"/>
      <c r="H3163"/>
      <c r="I3163"/>
      <c r="J3163"/>
      <c r="K3163" s="13" t="s">
        <v>247</v>
      </c>
      <c r="L3163" s="13" t="s">
        <v>624</v>
      </c>
      <c r="M3163" s="13" t="s">
        <v>531</v>
      </c>
      <c r="N3163" s="15">
        <v>1</v>
      </c>
      <c r="O3163" s="16">
        <v>0</v>
      </c>
      <c r="P3163" s="17">
        <v>0</v>
      </c>
      <c r="Q3163" s="17">
        <v>0</v>
      </c>
      <c r="R3163" s="13"/>
      <c r="S3163" s="13"/>
      <c r="T3163" s="13"/>
      <c r="U3163" s="13"/>
      <c r="V3163" s="13"/>
      <c r="W3163" s="13"/>
    </row>
    <row r="3164" spans="1:23" x14ac:dyDescent="0.2">
      <c r="A3164"/>
      <c r="B3164"/>
      <c r="C3164"/>
      <c r="D3164"/>
      <c r="E3164"/>
      <c r="F3164"/>
      <c r="G3164"/>
      <c r="H3164"/>
      <c r="I3164"/>
      <c r="J3164"/>
      <c r="K3164" s="13" t="s">
        <v>247</v>
      </c>
      <c r="L3164" s="13" t="s">
        <v>608</v>
      </c>
      <c r="M3164" s="13" t="s">
        <v>432</v>
      </c>
      <c r="N3164" s="15">
        <v>5</v>
      </c>
      <c r="O3164" s="16">
        <v>0</v>
      </c>
      <c r="P3164" s="17">
        <v>0</v>
      </c>
      <c r="Q3164" s="17">
        <v>0</v>
      </c>
      <c r="R3164" s="13"/>
      <c r="S3164" s="13"/>
      <c r="T3164" s="13"/>
      <c r="U3164" s="13"/>
      <c r="V3164" s="13"/>
      <c r="W3164" s="13"/>
    </row>
    <row r="3165" spans="1:23" x14ac:dyDescent="0.2">
      <c r="A3165"/>
      <c r="B3165"/>
      <c r="C3165"/>
      <c r="D3165"/>
      <c r="E3165"/>
      <c r="F3165"/>
      <c r="G3165"/>
      <c r="H3165"/>
      <c r="I3165"/>
      <c r="J3165"/>
      <c r="K3165" s="13" t="s">
        <v>247</v>
      </c>
      <c r="L3165" s="13" t="s">
        <v>523</v>
      </c>
      <c r="M3165" s="13" t="s">
        <v>476</v>
      </c>
      <c r="N3165" s="15">
        <v>0</v>
      </c>
      <c r="O3165" s="16">
        <v>0</v>
      </c>
      <c r="P3165" s="17">
        <v>2.4579000001765317</v>
      </c>
      <c r="Q3165" s="17">
        <v>0</v>
      </c>
      <c r="R3165" s="13"/>
      <c r="S3165" s="13"/>
      <c r="T3165" s="13"/>
      <c r="U3165" s="13"/>
      <c r="V3165" s="13"/>
      <c r="W3165" s="13"/>
    </row>
    <row r="3166" spans="1:23" x14ac:dyDescent="0.2">
      <c r="A3166"/>
      <c r="B3166"/>
      <c r="C3166"/>
      <c r="D3166"/>
      <c r="E3166"/>
      <c r="F3166"/>
      <c r="G3166"/>
      <c r="H3166"/>
      <c r="I3166"/>
      <c r="J3166"/>
      <c r="K3166" s="13" t="s">
        <v>247</v>
      </c>
      <c r="L3166" s="13" t="s">
        <v>419</v>
      </c>
      <c r="M3166" s="13" t="s">
        <v>442</v>
      </c>
      <c r="N3166" s="15">
        <v>0</v>
      </c>
      <c r="O3166" s="16">
        <v>17.900628216612652</v>
      </c>
      <c r="P3166" s="17">
        <v>0</v>
      </c>
      <c r="Q3166" s="17">
        <v>0</v>
      </c>
      <c r="R3166" s="13"/>
      <c r="S3166" s="13"/>
      <c r="T3166" s="13"/>
      <c r="U3166" s="13"/>
      <c r="V3166" s="13"/>
      <c r="W3166" s="13"/>
    </row>
    <row r="3167" spans="1:23" x14ac:dyDescent="0.2">
      <c r="A3167"/>
      <c r="B3167"/>
      <c r="C3167"/>
      <c r="D3167"/>
      <c r="E3167"/>
      <c r="F3167"/>
      <c r="G3167"/>
      <c r="H3167"/>
      <c r="I3167"/>
      <c r="J3167"/>
      <c r="K3167" s="13" t="s">
        <v>247</v>
      </c>
      <c r="L3167" s="13" t="s">
        <v>622</v>
      </c>
      <c r="M3167" s="13" t="s">
        <v>524</v>
      </c>
      <c r="N3167" s="15">
        <v>0</v>
      </c>
      <c r="O3167" s="16">
        <v>6.5195589602000101</v>
      </c>
      <c r="P3167" s="17">
        <v>0</v>
      </c>
      <c r="Q3167" s="17">
        <v>0</v>
      </c>
      <c r="R3167" s="13"/>
      <c r="S3167" s="13"/>
      <c r="T3167" s="13"/>
      <c r="U3167" s="13"/>
      <c r="V3167" s="13"/>
      <c r="W3167" s="13"/>
    </row>
    <row r="3168" spans="1:23" x14ac:dyDescent="0.2">
      <c r="A3168"/>
      <c r="B3168"/>
      <c r="C3168"/>
      <c r="D3168"/>
      <c r="E3168"/>
      <c r="F3168"/>
      <c r="G3168"/>
      <c r="H3168"/>
      <c r="I3168"/>
      <c r="J3168"/>
      <c r="K3168" s="13" t="s">
        <v>247</v>
      </c>
      <c r="L3168" s="13" t="s">
        <v>383</v>
      </c>
      <c r="M3168" s="13" t="s">
        <v>420</v>
      </c>
      <c r="N3168" s="15">
        <v>9</v>
      </c>
      <c r="O3168" s="16">
        <v>0</v>
      </c>
      <c r="P3168" s="17">
        <v>0</v>
      </c>
      <c r="Q3168" s="17">
        <v>0</v>
      </c>
      <c r="R3168" s="13"/>
      <c r="S3168" s="13"/>
      <c r="T3168" s="13"/>
      <c r="U3168" s="13"/>
      <c r="V3168" s="13"/>
      <c r="W3168" s="13"/>
    </row>
    <row r="3169" spans="1:23" x14ac:dyDescent="0.2">
      <c r="A3169"/>
      <c r="B3169"/>
      <c r="C3169"/>
      <c r="D3169"/>
      <c r="E3169"/>
      <c r="F3169"/>
      <c r="G3169"/>
      <c r="H3169"/>
      <c r="I3169"/>
      <c r="J3169"/>
      <c r="K3169" s="13" t="s">
        <v>247</v>
      </c>
      <c r="L3169" s="13" t="s">
        <v>528</v>
      </c>
      <c r="M3169" s="13" t="s">
        <v>384</v>
      </c>
      <c r="N3169" s="15">
        <v>0</v>
      </c>
      <c r="O3169" s="16">
        <v>200.59867026073181</v>
      </c>
      <c r="P3169" s="17">
        <v>0</v>
      </c>
      <c r="Q3169" s="17">
        <v>0</v>
      </c>
      <c r="R3169" s="13"/>
      <c r="S3169" s="13"/>
      <c r="T3169" s="13"/>
      <c r="U3169" s="13"/>
      <c r="V3169" s="13"/>
      <c r="W3169" s="13"/>
    </row>
    <row r="3170" spans="1:23" x14ac:dyDescent="0.2">
      <c r="A3170"/>
      <c r="B3170"/>
      <c r="C3170"/>
      <c r="D3170"/>
      <c r="E3170"/>
      <c r="F3170"/>
      <c r="G3170"/>
      <c r="H3170"/>
      <c r="I3170"/>
      <c r="J3170"/>
      <c r="K3170" s="13" t="s">
        <v>247</v>
      </c>
      <c r="L3170" s="13" t="s">
        <v>613</v>
      </c>
      <c r="M3170" s="13" t="s">
        <v>444</v>
      </c>
      <c r="N3170" s="15">
        <v>0</v>
      </c>
      <c r="O3170" s="16">
        <v>6.1858210446844364</v>
      </c>
      <c r="P3170" s="17">
        <v>0</v>
      </c>
      <c r="Q3170" s="17">
        <v>0</v>
      </c>
      <c r="R3170" s="13"/>
      <c r="S3170" s="13"/>
      <c r="T3170" s="13"/>
      <c r="U3170" s="13"/>
      <c r="V3170" s="13"/>
      <c r="W3170" s="13"/>
    </row>
    <row r="3171" spans="1:23" x14ac:dyDescent="0.2">
      <c r="A3171"/>
      <c r="B3171"/>
      <c r="C3171"/>
      <c r="D3171"/>
      <c r="E3171"/>
      <c r="F3171"/>
      <c r="G3171"/>
      <c r="H3171"/>
      <c r="I3171"/>
      <c r="J3171"/>
      <c r="K3171" s="13" t="s">
        <v>247</v>
      </c>
      <c r="L3171" s="13" t="s">
        <v>611</v>
      </c>
      <c r="M3171" s="13" t="s">
        <v>423</v>
      </c>
      <c r="N3171" s="15">
        <v>0</v>
      </c>
      <c r="O3171" s="16">
        <v>13.710457291850608</v>
      </c>
      <c r="P3171" s="17">
        <v>0</v>
      </c>
      <c r="Q3171" s="17">
        <v>0</v>
      </c>
      <c r="R3171" s="13"/>
      <c r="S3171" s="13"/>
      <c r="T3171" s="13"/>
      <c r="U3171" s="13"/>
      <c r="V3171" s="13"/>
      <c r="W3171" s="13"/>
    </row>
    <row r="3172" spans="1:23" x14ac:dyDescent="0.2">
      <c r="A3172"/>
      <c r="B3172"/>
      <c r="C3172"/>
      <c r="D3172"/>
      <c r="E3172"/>
      <c r="F3172"/>
      <c r="G3172"/>
      <c r="H3172"/>
      <c r="I3172"/>
      <c r="J3172"/>
      <c r="K3172" s="13" t="s">
        <v>247</v>
      </c>
      <c r="L3172" s="13" t="s">
        <v>446</v>
      </c>
      <c r="M3172" s="13" t="s">
        <v>371</v>
      </c>
      <c r="N3172" s="15">
        <v>13</v>
      </c>
      <c r="O3172" s="16">
        <v>0</v>
      </c>
      <c r="P3172" s="17">
        <v>0</v>
      </c>
      <c r="Q3172" s="17">
        <v>0</v>
      </c>
      <c r="R3172" s="13"/>
      <c r="S3172" s="13"/>
      <c r="T3172" s="13"/>
      <c r="U3172" s="13"/>
      <c r="V3172" s="13"/>
      <c r="W3172" s="13"/>
    </row>
    <row r="3173" spans="1:23" x14ac:dyDescent="0.2">
      <c r="A3173"/>
      <c r="B3173"/>
      <c r="C3173"/>
      <c r="D3173"/>
      <c r="E3173"/>
      <c r="F3173"/>
      <c r="G3173"/>
      <c r="H3173"/>
      <c r="I3173"/>
      <c r="J3173"/>
      <c r="K3173" s="13" t="s">
        <v>247</v>
      </c>
      <c r="L3173" s="13" t="s">
        <v>424</v>
      </c>
      <c r="M3173" s="13" t="s">
        <v>468</v>
      </c>
      <c r="N3173" s="15">
        <v>0</v>
      </c>
      <c r="O3173" s="16">
        <v>0</v>
      </c>
      <c r="P3173" s="17">
        <v>22.667350004417681</v>
      </c>
      <c r="Q3173" s="17">
        <v>0</v>
      </c>
      <c r="R3173" s="13"/>
      <c r="S3173" s="13"/>
      <c r="T3173" s="13"/>
      <c r="U3173" s="13"/>
      <c r="V3173" s="13"/>
      <c r="W3173" s="13"/>
    </row>
    <row r="3174" spans="1:23" x14ac:dyDescent="0.2">
      <c r="A3174"/>
      <c r="B3174"/>
      <c r="C3174"/>
      <c r="D3174"/>
      <c r="E3174"/>
      <c r="F3174"/>
      <c r="G3174"/>
      <c r="H3174"/>
      <c r="I3174"/>
      <c r="J3174"/>
      <c r="K3174" s="13" t="s">
        <v>247</v>
      </c>
      <c r="L3174" s="13" t="s">
        <v>484</v>
      </c>
      <c r="M3174" s="13" t="s">
        <v>529</v>
      </c>
      <c r="N3174" s="15">
        <v>0</v>
      </c>
      <c r="O3174" s="16">
        <v>91.464476605233273</v>
      </c>
      <c r="P3174" s="17">
        <v>0</v>
      </c>
      <c r="Q3174" s="17">
        <v>0</v>
      </c>
      <c r="R3174" s="13"/>
      <c r="S3174" s="13"/>
      <c r="T3174" s="13"/>
      <c r="U3174" s="13"/>
      <c r="V3174" s="13"/>
      <c r="W3174" s="13"/>
    </row>
    <row r="3175" spans="1:23" x14ac:dyDescent="0.2">
      <c r="A3175"/>
      <c r="B3175"/>
      <c r="C3175"/>
      <c r="D3175"/>
      <c r="E3175"/>
      <c r="F3175"/>
      <c r="G3175"/>
      <c r="H3175"/>
      <c r="I3175"/>
      <c r="J3175"/>
      <c r="K3175" s="13" t="s">
        <v>247</v>
      </c>
      <c r="L3175" s="13" t="s">
        <v>469</v>
      </c>
      <c r="M3175" s="13" t="s">
        <v>426</v>
      </c>
      <c r="N3175" s="15">
        <v>1</v>
      </c>
      <c r="O3175" s="16">
        <v>0</v>
      </c>
      <c r="P3175" s="17">
        <v>0</v>
      </c>
      <c r="Q3175" s="17">
        <v>0</v>
      </c>
      <c r="R3175" s="13"/>
      <c r="S3175" s="13"/>
      <c r="T3175" s="13"/>
      <c r="U3175" s="13"/>
      <c r="V3175" s="13"/>
      <c r="W3175" s="13"/>
    </row>
    <row r="3176" spans="1:23" x14ac:dyDescent="0.2">
      <c r="A3176"/>
      <c r="B3176"/>
      <c r="C3176"/>
      <c r="D3176"/>
      <c r="E3176"/>
      <c r="F3176"/>
      <c r="G3176"/>
      <c r="H3176"/>
      <c r="I3176"/>
      <c r="J3176"/>
      <c r="K3176" s="13" t="s">
        <v>249</v>
      </c>
      <c r="L3176" s="13" t="s">
        <v>387</v>
      </c>
      <c r="M3176" s="13" t="s">
        <v>386</v>
      </c>
      <c r="N3176" s="15">
        <v>0</v>
      </c>
      <c r="O3176" s="16">
        <v>0</v>
      </c>
      <c r="P3176" s="17">
        <v>843.44659995684913</v>
      </c>
      <c r="Q3176" s="17">
        <v>0</v>
      </c>
      <c r="R3176" s="13"/>
      <c r="S3176" s="13"/>
      <c r="T3176" s="13"/>
      <c r="U3176" s="13"/>
      <c r="V3176" s="13"/>
      <c r="W3176" s="13"/>
    </row>
    <row r="3177" spans="1:23" x14ac:dyDescent="0.2">
      <c r="A3177"/>
      <c r="B3177"/>
      <c r="C3177"/>
      <c r="D3177"/>
      <c r="E3177"/>
      <c r="F3177"/>
      <c r="G3177"/>
      <c r="H3177"/>
      <c r="I3177"/>
      <c r="J3177"/>
      <c r="K3177" s="13" t="s">
        <v>249</v>
      </c>
      <c r="L3177" s="13" t="s">
        <v>389</v>
      </c>
      <c r="M3177" s="13" t="s">
        <v>388</v>
      </c>
      <c r="N3177" s="15">
        <v>0</v>
      </c>
      <c r="O3177" s="16">
        <v>0</v>
      </c>
      <c r="P3177" s="17">
        <v>846.53955003874592</v>
      </c>
      <c r="Q3177" s="17">
        <v>0</v>
      </c>
      <c r="R3177" s="13"/>
      <c r="S3177" s="13"/>
      <c r="T3177" s="13"/>
      <c r="U3177" s="13"/>
      <c r="V3177" s="13"/>
      <c r="W3177" s="13"/>
    </row>
    <row r="3178" spans="1:23" x14ac:dyDescent="0.2">
      <c r="A3178"/>
      <c r="B3178"/>
      <c r="C3178"/>
      <c r="D3178"/>
      <c r="E3178"/>
      <c r="F3178"/>
      <c r="G3178"/>
      <c r="H3178"/>
      <c r="I3178"/>
      <c r="J3178"/>
      <c r="K3178" s="13" t="s">
        <v>249</v>
      </c>
      <c r="L3178" s="13" t="s">
        <v>391</v>
      </c>
      <c r="M3178" s="13" t="s">
        <v>358</v>
      </c>
      <c r="N3178" s="15">
        <v>0</v>
      </c>
      <c r="O3178" s="16">
        <v>0</v>
      </c>
      <c r="P3178" s="17">
        <v>64.829150017056719</v>
      </c>
      <c r="Q3178" s="17">
        <v>0</v>
      </c>
      <c r="R3178" s="13"/>
      <c r="S3178" s="13"/>
      <c r="T3178" s="13"/>
      <c r="U3178" s="13"/>
      <c r="V3178" s="13"/>
      <c r="W3178" s="13"/>
    </row>
    <row r="3179" spans="1:23" x14ac:dyDescent="0.2">
      <c r="A3179"/>
      <c r="B3179"/>
      <c r="C3179"/>
      <c r="D3179"/>
      <c r="E3179"/>
      <c r="F3179"/>
      <c r="G3179"/>
      <c r="H3179"/>
      <c r="I3179"/>
      <c r="J3179"/>
      <c r="K3179" s="13" t="s">
        <v>249</v>
      </c>
      <c r="L3179" s="13" t="s">
        <v>450</v>
      </c>
      <c r="M3179" s="13" t="s">
        <v>368</v>
      </c>
      <c r="N3179" s="15">
        <v>0</v>
      </c>
      <c r="O3179" s="16">
        <v>0</v>
      </c>
      <c r="P3179" s="17">
        <v>95.331049994795876</v>
      </c>
      <c r="Q3179" s="17">
        <v>0</v>
      </c>
      <c r="R3179" s="13"/>
      <c r="S3179" s="13"/>
      <c r="T3179" s="13"/>
      <c r="U3179" s="13"/>
      <c r="V3179" s="13"/>
      <c r="W3179" s="13"/>
    </row>
    <row r="3180" spans="1:23" x14ac:dyDescent="0.2">
      <c r="A3180"/>
      <c r="B3180"/>
      <c r="C3180"/>
      <c r="D3180"/>
      <c r="E3180"/>
      <c r="F3180"/>
      <c r="G3180"/>
      <c r="H3180"/>
      <c r="I3180"/>
      <c r="J3180"/>
      <c r="K3180" s="13" t="s">
        <v>249</v>
      </c>
      <c r="L3180" s="13" t="s">
        <v>486</v>
      </c>
      <c r="M3180" s="13" t="s">
        <v>439</v>
      </c>
      <c r="N3180" s="15">
        <v>0</v>
      </c>
      <c r="O3180" s="16">
        <v>0</v>
      </c>
      <c r="P3180" s="17">
        <v>99.965400001026367</v>
      </c>
      <c r="Q3180" s="17">
        <v>0</v>
      </c>
      <c r="R3180" s="13"/>
      <c r="S3180" s="13"/>
      <c r="T3180" s="13"/>
      <c r="U3180" s="13"/>
      <c r="V3180" s="13"/>
      <c r="W3180" s="13"/>
    </row>
    <row r="3181" spans="1:23" x14ac:dyDescent="0.2">
      <c r="A3181"/>
      <c r="B3181"/>
      <c r="C3181"/>
      <c r="D3181"/>
      <c r="E3181"/>
      <c r="F3181"/>
      <c r="G3181"/>
      <c r="H3181"/>
      <c r="I3181"/>
      <c r="J3181"/>
      <c r="K3181" s="13" t="s">
        <v>249</v>
      </c>
      <c r="L3181" s="13" t="s">
        <v>512</v>
      </c>
      <c r="M3181" s="13" t="s">
        <v>466</v>
      </c>
      <c r="N3181" s="15">
        <v>0</v>
      </c>
      <c r="O3181" s="16">
        <v>0</v>
      </c>
      <c r="P3181" s="17">
        <v>26.235400003847108</v>
      </c>
      <c r="Q3181" s="17">
        <v>0</v>
      </c>
      <c r="R3181" s="13"/>
      <c r="S3181" s="13"/>
      <c r="T3181" s="13"/>
      <c r="U3181" s="13"/>
      <c r="V3181" s="13"/>
      <c r="W3181" s="13"/>
    </row>
    <row r="3182" spans="1:23" x14ac:dyDescent="0.2">
      <c r="A3182"/>
      <c r="B3182"/>
      <c r="C3182"/>
      <c r="D3182"/>
      <c r="E3182"/>
      <c r="F3182"/>
      <c r="G3182"/>
      <c r="H3182"/>
      <c r="I3182"/>
      <c r="J3182"/>
      <c r="K3182" s="13" t="s">
        <v>249</v>
      </c>
      <c r="L3182" s="13" t="s">
        <v>532</v>
      </c>
      <c r="M3182" s="13" t="s">
        <v>620</v>
      </c>
      <c r="N3182" s="15">
        <v>0</v>
      </c>
      <c r="O3182" s="16">
        <v>0</v>
      </c>
      <c r="P3182" s="17">
        <v>449.79489999115106</v>
      </c>
      <c r="Q3182" s="17">
        <v>0</v>
      </c>
      <c r="R3182" s="13"/>
      <c r="S3182" s="13"/>
      <c r="T3182" s="13"/>
      <c r="U3182" s="13"/>
      <c r="V3182" s="13"/>
      <c r="W3182" s="13"/>
    </row>
    <row r="3183" spans="1:23" x14ac:dyDescent="0.2">
      <c r="A3183"/>
      <c r="B3183"/>
      <c r="C3183"/>
      <c r="D3183"/>
      <c r="E3183"/>
      <c r="F3183"/>
      <c r="G3183"/>
      <c r="H3183"/>
      <c r="I3183"/>
      <c r="J3183"/>
      <c r="K3183" s="13" t="s">
        <v>249</v>
      </c>
      <c r="L3183" s="13" t="s">
        <v>513</v>
      </c>
      <c r="M3183" s="13" t="s">
        <v>533</v>
      </c>
      <c r="N3183" s="15">
        <v>0</v>
      </c>
      <c r="O3183" s="16">
        <v>0</v>
      </c>
      <c r="P3183" s="17">
        <v>54.701349995931473</v>
      </c>
      <c r="Q3183" s="17">
        <v>0</v>
      </c>
      <c r="R3183" s="13"/>
      <c r="S3183" s="13"/>
      <c r="T3183" s="13"/>
      <c r="U3183" s="13"/>
      <c r="V3183" s="13"/>
      <c r="W3183" s="13"/>
    </row>
    <row r="3184" spans="1:23" x14ac:dyDescent="0.2">
      <c r="A3184"/>
      <c r="B3184"/>
      <c r="C3184"/>
      <c r="D3184"/>
      <c r="E3184"/>
      <c r="F3184"/>
      <c r="G3184"/>
      <c r="H3184"/>
      <c r="I3184"/>
      <c r="J3184"/>
      <c r="K3184" s="13" t="s">
        <v>249</v>
      </c>
      <c r="L3184" s="13" t="s">
        <v>394</v>
      </c>
      <c r="M3184" s="13" t="s">
        <v>359</v>
      </c>
      <c r="N3184" s="15">
        <v>0</v>
      </c>
      <c r="O3184" s="16">
        <v>0</v>
      </c>
      <c r="P3184" s="17">
        <v>8.3157999975614239</v>
      </c>
      <c r="Q3184" s="17">
        <v>0</v>
      </c>
      <c r="R3184" s="13"/>
      <c r="S3184" s="13"/>
      <c r="T3184" s="13"/>
      <c r="U3184" s="13"/>
      <c r="V3184" s="13"/>
      <c r="W3184" s="13"/>
    </row>
    <row r="3185" spans="1:23" x14ac:dyDescent="0.2">
      <c r="A3185"/>
      <c r="B3185"/>
      <c r="C3185"/>
      <c r="D3185"/>
      <c r="E3185"/>
      <c r="F3185"/>
      <c r="G3185"/>
      <c r="H3185"/>
      <c r="I3185"/>
      <c r="J3185"/>
      <c r="K3185" s="13" t="s">
        <v>249</v>
      </c>
      <c r="L3185" s="13" t="s">
        <v>397</v>
      </c>
      <c r="M3185" s="13" t="s">
        <v>398</v>
      </c>
      <c r="N3185" s="15">
        <v>0</v>
      </c>
      <c r="O3185" s="16">
        <v>0</v>
      </c>
      <c r="P3185" s="17">
        <v>38.559299996741395</v>
      </c>
      <c r="Q3185" s="17">
        <v>0</v>
      </c>
      <c r="R3185" s="13"/>
      <c r="S3185" s="13"/>
      <c r="T3185" s="13"/>
      <c r="U3185" s="13"/>
      <c r="V3185" s="13"/>
      <c r="W3185" s="13"/>
    </row>
    <row r="3186" spans="1:23" x14ac:dyDescent="0.2">
      <c r="A3186"/>
      <c r="B3186"/>
      <c r="C3186"/>
      <c r="D3186"/>
      <c r="E3186"/>
      <c r="F3186"/>
      <c r="G3186"/>
      <c r="H3186"/>
      <c r="I3186"/>
      <c r="J3186"/>
      <c r="K3186" s="13" t="s">
        <v>249</v>
      </c>
      <c r="L3186" s="13" t="s">
        <v>399</v>
      </c>
      <c r="M3186" s="13" t="s">
        <v>400</v>
      </c>
      <c r="N3186" s="15">
        <v>0</v>
      </c>
      <c r="O3186" s="16">
        <v>0</v>
      </c>
      <c r="P3186" s="17">
        <v>34.029449997854606</v>
      </c>
      <c r="Q3186" s="17">
        <v>0</v>
      </c>
      <c r="R3186" s="13"/>
      <c r="S3186" s="13"/>
      <c r="T3186" s="13"/>
      <c r="U3186" s="13"/>
      <c r="V3186" s="13"/>
      <c r="W3186" s="13"/>
    </row>
    <row r="3187" spans="1:23" x14ac:dyDescent="0.2">
      <c r="A3187"/>
      <c r="B3187"/>
      <c r="C3187"/>
      <c r="D3187"/>
      <c r="E3187"/>
      <c r="F3187"/>
      <c r="G3187"/>
      <c r="H3187"/>
      <c r="I3187"/>
      <c r="J3187"/>
      <c r="K3187" s="13" t="s">
        <v>249</v>
      </c>
      <c r="L3187" s="13" t="s">
        <v>401</v>
      </c>
      <c r="M3187" s="13" t="s">
        <v>360</v>
      </c>
      <c r="N3187" s="15">
        <v>0</v>
      </c>
      <c r="O3187" s="16">
        <v>0</v>
      </c>
      <c r="P3187" s="17">
        <v>495.13834997236938</v>
      </c>
      <c r="Q3187" s="17">
        <v>0</v>
      </c>
      <c r="R3187" s="13"/>
      <c r="S3187" s="13"/>
      <c r="T3187" s="13"/>
      <c r="U3187" s="13"/>
      <c r="V3187" s="13"/>
      <c r="W3187" s="13"/>
    </row>
    <row r="3188" spans="1:23" x14ac:dyDescent="0.2">
      <c r="A3188"/>
      <c r="B3188"/>
      <c r="C3188"/>
      <c r="D3188"/>
      <c r="E3188"/>
      <c r="F3188"/>
      <c r="G3188"/>
      <c r="H3188"/>
      <c r="I3188"/>
      <c r="J3188"/>
      <c r="K3188" s="13" t="s">
        <v>249</v>
      </c>
      <c r="L3188" s="13" t="s">
        <v>511</v>
      </c>
      <c r="M3188" s="13" t="s">
        <v>377</v>
      </c>
      <c r="N3188" s="15">
        <v>0</v>
      </c>
      <c r="O3188" s="16">
        <v>0</v>
      </c>
      <c r="P3188" s="17">
        <v>31.878399999359061</v>
      </c>
      <c r="Q3188" s="17">
        <v>0</v>
      </c>
      <c r="R3188" s="13"/>
      <c r="S3188" s="13"/>
      <c r="T3188" s="13"/>
      <c r="U3188" s="13"/>
      <c r="V3188" s="13"/>
      <c r="W3188" s="13"/>
    </row>
    <row r="3189" spans="1:23" x14ac:dyDescent="0.2">
      <c r="A3189"/>
      <c r="B3189"/>
      <c r="C3189"/>
      <c r="D3189"/>
      <c r="E3189"/>
      <c r="F3189"/>
      <c r="G3189"/>
      <c r="H3189"/>
      <c r="I3189"/>
      <c r="J3189"/>
      <c r="K3189" s="13" t="s">
        <v>249</v>
      </c>
      <c r="L3189" s="13" t="s">
        <v>402</v>
      </c>
      <c r="M3189" s="13" t="s">
        <v>403</v>
      </c>
      <c r="N3189" s="15">
        <v>0</v>
      </c>
      <c r="O3189" s="16">
        <v>0</v>
      </c>
      <c r="P3189" s="17">
        <v>2473.9742999388391</v>
      </c>
      <c r="Q3189" s="17">
        <v>0</v>
      </c>
      <c r="R3189" s="13"/>
      <c r="S3189" s="13"/>
      <c r="T3189" s="13"/>
      <c r="U3189" s="13"/>
      <c r="V3189" s="13"/>
      <c r="W3189" s="13"/>
    </row>
    <row r="3190" spans="1:23" x14ac:dyDescent="0.2">
      <c r="A3190"/>
      <c r="B3190"/>
      <c r="C3190"/>
      <c r="D3190"/>
      <c r="E3190"/>
      <c r="F3190"/>
      <c r="G3190"/>
      <c r="H3190"/>
      <c r="I3190"/>
      <c r="J3190"/>
      <c r="K3190" s="13" t="s">
        <v>249</v>
      </c>
      <c r="L3190" s="13" t="s">
        <v>473</v>
      </c>
      <c r="M3190" s="13" t="s">
        <v>474</v>
      </c>
      <c r="N3190" s="15">
        <v>0</v>
      </c>
      <c r="O3190" s="16">
        <v>0</v>
      </c>
      <c r="P3190" s="17">
        <v>15.488600000492163</v>
      </c>
      <c r="Q3190" s="17">
        <v>0</v>
      </c>
      <c r="R3190" s="13"/>
      <c r="S3190" s="13"/>
      <c r="T3190" s="13"/>
      <c r="U3190" s="13"/>
      <c r="V3190" s="13"/>
      <c r="W3190" s="13"/>
    </row>
    <row r="3191" spans="1:23" x14ac:dyDescent="0.2">
      <c r="A3191"/>
      <c r="B3191"/>
      <c r="C3191"/>
      <c r="D3191"/>
      <c r="E3191"/>
      <c r="F3191"/>
      <c r="G3191"/>
      <c r="H3191"/>
      <c r="I3191"/>
      <c r="J3191"/>
      <c r="K3191" s="13" t="s">
        <v>249</v>
      </c>
      <c r="L3191" s="13" t="s">
        <v>448</v>
      </c>
      <c r="M3191" s="13" t="s">
        <v>366</v>
      </c>
      <c r="N3191" s="15">
        <v>0</v>
      </c>
      <c r="O3191" s="16">
        <v>0</v>
      </c>
      <c r="P3191" s="17">
        <v>130.35789999828538</v>
      </c>
      <c r="Q3191" s="17">
        <v>0</v>
      </c>
      <c r="R3191" s="13"/>
      <c r="S3191" s="13"/>
      <c r="T3191" s="13"/>
      <c r="U3191" s="13"/>
      <c r="V3191" s="13"/>
      <c r="W3191" s="13"/>
    </row>
    <row r="3192" spans="1:23" x14ac:dyDescent="0.2">
      <c r="A3192"/>
      <c r="B3192"/>
      <c r="C3192"/>
      <c r="D3192"/>
      <c r="E3192"/>
      <c r="F3192"/>
      <c r="G3192"/>
      <c r="H3192"/>
      <c r="I3192"/>
      <c r="J3192"/>
      <c r="K3192" s="13" t="s">
        <v>249</v>
      </c>
      <c r="L3192" s="13" t="s">
        <v>404</v>
      </c>
      <c r="M3192" s="13" t="s">
        <v>405</v>
      </c>
      <c r="N3192" s="15">
        <v>0</v>
      </c>
      <c r="O3192" s="16">
        <v>0</v>
      </c>
      <c r="P3192" s="17">
        <v>415.34005002174945</v>
      </c>
      <c r="Q3192" s="17">
        <v>956.6263248364836</v>
      </c>
      <c r="R3192" s="13"/>
      <c r="S3192" s="13"/>
      <c r="T3192" s="13"/>
      <c r="U3192" s="13"/>
      <c r="V3192" s="13"/>
      <c r="W3192" s="13"/>
    </row>
    <row r="3193" spans="1:23" x14ac:dyDescent="0.2">
      <c r="A3193"/>
      <c r="B3193"/>
      <c r="C3193"/>
      <c r="D3193"/>
      <c r="E3193"/>
      <c r="F3193"/>
      <c r="G3193"/>
      <c r="H3193"/>
      <c r="I3193"/>
      <c r="J3193"/>
      <c r="K3193" s="13" t="s">
        <v>249</v>
      </c>
      <c r="L3193" s="13" t="s">
        <v>406</v>
      </c>
      <c r="M3193" s="13" t="s">
        <v>361</v>
      </c>
      <c r="N3193" s="15">
        <v>0</v>
      </c>
      <c r="O3193" s="16">
        <v>0</v>
      </c>
      <c r="P3193" s="17">
        <v>7.9747499958429247</v>
      </c>
      <c r="Q3193" s="17">
        <v>7.9747499958429247</v>
      </c>
      <c r="R3193" s="13"/>
      <c r="S3193" s="13"/>
      <c r="T3193" s="13"/>
      <c r="U3193" s="13"/>
      <c r="V3193" s="13"/>
      <c r="W3193" s="13"/>
    </row>
    <row r="3194" spans="1:23" x14ac:dyDescent="0.2">
      <c r="A3194"/>
      <c r="B3194"/>
      <c r="C3194"/>
      <c r="D3194"/>
      <c r="E3194"/>
      <c r="F3194"/>
      <c r="G3194"/>
      <c r="H3194"/>
      <c r="I3194"/>
      <c r="J3194"/>
      <c r="K3194" s="13" t="s">
        <v>249</v>
      </c>
      <c r="L3194" s="13" t="s">
        <v>381</v>
      </c>
      <c r="M3194" s="13" t="s">
        <v>382</v>
      </c>
      <c r="N3194" s="15">
        <v>55</v>
      </c>
      <c r="O3194" s="16">
        <v>0</v>
      </c>
      <c r="P3194" s="17">
        <v>0</v>
      </c>
      <c r="Q3194" s="17">
        <v>0</v>
      </c>
      <c r="R3194" s="13"/>
      <c r="S3194" s="13"/>
      <c r="T3194" s="13"/>
      <c r="U3194" s="13"/>
      <c r="V3194" s="13"/>
      <c r="W3194" s="13"/>
    </row>
    <row r="3195" spans="1:23" x14ac:dyDescent="0.2">
      <c r="A3195"/>
      <c r="B3195"/>
      <c r="C3195"/>
      <c r="D3195"/>
      <c r="E3195"/>
      <c r="F3195"/>
      <c r="G3195"/>
      <c r="H3195"/>
      <c r="I3195"/>
      <c r="J3195"/>
      <c r="K3195" s="13" t="s">
        <v>249</v>
      </c>
      <c r="L3195" s="13" t="s">
        <v>452</v>
      </c>
      <c r="M3195" s="13" t="s">
        <v>453</v>
      </c>
      <c r="N3195" s="15">
        <v>11</v>
      </c>
      <c r="O3195" s="16">
        <v>0</v>
      </c>
      <c r="P3195" s="17">
        <v>0</v>
      </c>
      <c r="Q3195" s="17">
        <v>0</v>
      </c>
      <c r="R3195" s="13"/>
      <c r="S3195" s="13"/>
      <c r="T3195" s="13"/>
      <c r="U3195" s="13"/>
      <c r="V3195" s="13"/>
      <c r="W3195" s="13"/>
    </row>
    <row r="3196" spans="1:23" x14ac:dyDescent="0.2">
      <c r="A3196"/>
      <c r="B3196"/>
      <c r="C3196"/>
      <c r="D3196"/>
      <c r="E3196"/>
      <c r="F3196"/>
      <c r="G3196"/>
      <c r="H3196"/>
      <c r="I3196"/>
      <c r="J3196"/>
      <c r="K3196" s="13" t="s">
        <v>249</v>
      </c>
      <c r="L3196" s="13" t="s">
        <v>471</v>
      </c>
      <c r="M3196" s="13" t="s">
        <v>472</v>
      </c>
      <c r="N3196" s="15">
        <v>0</v>
      </c>
      <c r="O3196" s="16">
        <v>0</v>
      </c>
      <c r="P3196" s="17">
        <v>129.90390000216095</v>
      </c>
      <c r="Q3196" s="17">
        <v>0</v>
      </c>
      <c r="R3196" s="13"/>
      <c r="S3196" s="13"/>
      <c r="T3196" s="13"/>
      <c r="U3196" s="13"/>
      <c r="V3196" s="13"/>
      <c r="W3196" s="13"/>
    </row>
    <row r="3197" spans="1:23" x14ac:dyDescent="0.2">
      <c r="A3197"/>
      <c r="B3197"/>
      <c r="C3197"/>
      <c r="D3197"/>
      <c r="E3197"/>
      <c r="F3197"/>
      <c r="G3197"/>
      <c r="H3197"/>
      <c r="I3197"/>
      <c r="J3197"/>
      <c r="K3197" s="13" t="s">
        <v>249</v>
      </c>
      <c r="L3197" s="13" t="s">
        <v>411</v>
      </c>
      <c r="M3197" s="13" t="s">
        <v>362</v>
      </c>
      <c r="N3197" s="15">
        <v>0</v>
      </c>
      <c r="O3197" s="16">
        <v>71.230765500216734</v>
      </c>
      <c r="P3197" s="17">
        <v>0</v>
      </c>
      <c r="Q3197" s="17">
        <v>0</v>
      </c>
      <c r="R3197" s="13"/>
      <c r="S3197" s="13"/>
      <c r="T3197" s="13"/>
      <c r="U3197" s="13"/>
      <c r="V3197" s="13"/>
      <c r="W3197" s="13"/>
    </row>
    <row r="3198" spans="1:23" x14ac:dyDescent="0.2">
      <c r="A3198"/>
      <c r="B3198"/>
      <c r="C3198"/>
      <c r="D3198"/>
      <c r="E3198"/>
      <c r="F3198"/>
      <c r="G3198"/>
      <c r="H3198"/>
      <c r="I3198"/>
      <c r="J3198"/>
      <c r="K3198" s="13" t="s">
        <v>249</v>
      </c>
      <c r="L3198" s="13" t="s">
        <v>411</v>
      </c>
      <c r="M3198" s="13" t="s">
        <v>362</v>
      </c>
      <c r="N3198" s="15">
        <v>2</v>
      </c>
      <c r="O3198" s="16">
        <v>0</v>
      </c>
      <c r="P3198" s="17">
        <v>0</v>
      </c>
      <c r="Q3198" s="17">
        <v>0</v>
      </c>
      <c r="R3198" s="13"/>
      <c r="S3198" s="13"/>
      <c r="T3198" s="13"/>
      <c r="U3198" s="13"/>
      <c r="V3198" s="13"/>
      <c r="W3198" s="13"/>
    </row>
    <row r="3199" spans="1:23" x14ac:dyDescent="0.2">
      <c r="A3199"/>
      <c r="B3199"/>
      <c r="C3199"/>
      <c r="D3199"/>
      <c r="E3199"/>
      <c r="F3199"/>
      <c r="G3199"/>
      <c r="H3199"/>
      <c r="I3199"/>
      <c r="J3199"/>
      <c r="K3199" s="13" t="s">
        <v>249</v>
      </c>
      <c r="L3199" s="13" t="s">
        <v>605</v>
      </c>
      <c r="M3199" s="13" t="s">
        <v>429</v>
      </c>
      <c r="N3199" s="15">
        <v>0</v>
      </c>
      <c r="O3199" s="16">
        <v>5.0808084637410715</v>
      </c>
      <c r="P3199" s="17">
        <v>0</v>
      </c>
      <c r="Q3199" s="17">
        <v>0</v>
      </c>
      <c r="R3199" s="13"/>
      <c r="S3199" s="13"/>
      <c r="T3199" s="13"/>
      <c r="U3199" s="13"/>
      <c r="V3199" s="13"/>
      <c r="W3199" s="13"/>
    </row>
    <row r="3200" spans="1:23" x14ac:dyDescent="0.2">
      <c r="A3200"/>
      <c r="B3200"/>
      <c r="C3200"/>
      <c r="D3200"/>
      <c r="E3200"/>
      <c r="F3200"/>
      <c r="G3200"/>
      <c r="H3200"/>
      <c r="I3200"/>
      <c r="J3200"/>
      <c r="K3200" s="13" t="s">
        <v>249</v>
      </c>
      <c r="L3200" s="13" t="s">
        <v>606</v>
      </c>
      <c r="M3200" s="13" t="s">
        <v>430</v>
      </c>
      <c r="N3200" s="15">
        <v>8</v>
      </c>
      <c r="O3200" s="16">
        <v>0</v>
      </c>
      <c r="P3200" s="17">
        <v>0</v>
      </c>
      <c r="Q3200" s="17">
        <v>0</v>
      </c>
      <c r="R3200" s="13"/>
      <c r="S3200" s="13"/>
      <c r="T3200" s="13"/>
      <c r="U3200" s="13"/>
      <c r="V3200" s="13"/>
      <c r="W3200" s="13"/>
    </row>
    <row r="3201" spans="1:23" x14ac:dyDescent="0.2">
      <c r="A3201"/>
      <c r="B3201"/>
      <c r="C3201"/>
      <c r="D3201"/>
      <c r="E3201"/>
      <c r="F3201"/>
      <c r="G3201"/>
      <c r="H3201"/>
      <c r="I3201"/>
      <c r="J3201"/>
      <c r="K3201" s="13" t="s">
        <v>249</v>
      </c>
      <c r="L3201" s="13" t="s">
        <v>623</v>
      </c>
      <c r="M3201" s="13" t="s">
        <v>530</v>
      </c>
      <c r="N3201" s="15">
        <v>0</v>
      </c>
      <c r="O3201" s="16">
        <v>150.94562651341468</v>
      </c>
      <c r="P3201" s="17">
        <v>0</v>
      </c>
      <c r="Q3201" s="17">
        <v>0</v>
      </c>
      <c r="R3201" s="13"/>
      <c r="S3201" s="13"/>
      <c r="T3201" s="13"/>
      <c r="U3201" s="13"/>
      <c r="V3201" s="13"/>
      <c r="W3201" s="13"/>
    </row>
    <row r="3202" spans="1:23" x14ac:dyDescent="0.2">
      <c r="A3202"/>
      <c r="B3202"/>
      <c r="C3202"/>
      <c r="D3202"/>
      <c r="E3202"/>
      <c r="F3202"/>
      <c r="G3202"/>
      <c r="H3202"/>
      <c r="I3202"/>
      <c r="J3202"/>
      <c r="K3202" s="13" t="s">
        <v>249</v>
      </c>
      <c r="L3202" s="13" t="s">
        <v>607</v>
      </c>
      <c r="M3202" s="13" t="s">
        <v>431</v>
      </c>
      <c r="N3202" s="15">
        <v>2</v>
      </c>
      <c r="O3202" s="16">
        <v>0</v>
      </c>
      <c r="P3202" s="17">
        <v>0</v>
      </c>
      <c r="Q3202" s="17">
        <v>0</v>
      </c>
      <c r="R3202" s="13"/>
      <c r="S3202" s="13"/>
      <c r="T3202" s="13"/>
      <c r="U3202" s="13"/>
      <c r="V3202" s="13"/>
      <c r="W3202" s="13"/>
    </row>
    <row r="3203" spans="1:23" x14ac:dyDescent="0.2">
      <c r="A3203"/>
      <c r="B3203"/>
      <c r="C3203"/>
      <c r="D3203"/>
      <c r="E3203"/>
      <c r="F3203"/>
      <c r="G3203"/>
      <c r="H3203"/>
      <c r="I3203"/>
      <c r="J3203"/>
      <c r="K3203" s="13" t="s">
        <v>249</v>
      </c>
      <c r="L3203" s="13" t="s">
        <v>615</v>
      </c>
      <c r="M3203" s="13" t="s">
        <v>449</v>
      </c>
      <c r="N3203" s="15">
        <v>1</v>
      </c>
      <c r="O3203" s="16">
        <v>0</v>
      </c>
      <c r="P3203" s="17">
        <v>0</v>
      </c>
      <c r="Q3203" s="17">
        <v>0</v>
      </c>
      <c r="R3203" s="13"/>
      <c r="S3203" s="13"/>
      <c r="T3203" s="13"/>
      <c r="U3203" s="13"/>
      <c r="V3203" s="13"/>
      <c r="W3203" s="13"/>
    </row>
    <row r="3204" spans="1:23" x14ac:dyDescent="0.2">
      <c r="A3204"/>
      <c r="B3204"/>
      <c r="C3204"/>
      <c r="D3204"/>
      <c r="E3204"/>
      <c r="F3204"/>
      <c r="G3204"/>
      <c r="H3204"/>
      <c r="I3204"/>
      <c r="J3204"/>
      <c r="K3204" s="13" t="s">
        <v>249</v>
      </c>
      <c r="L3204" s="13" t="s">
        <v>383</v>
      </c>
      <c r="M3204" s="13" t="s">
        <v>420</v>
      </c>
      <c r="N3204" s="15">
        <v>7</v>
      </c>
      <c r="O3204" s="16">
        <v>0</v>
      </c>
      <c r="P3204" s="17">
        <v>0</v>
      </c>
      <c r="Q3204" s="17">
        <v>0</v>
      </c>
      <c r="R3204" s="13"/>
      <c r="S3204" s="13"/>
      <c r="T3204" s="13"/>
      <c r="U3204" s="13"/>
      <c r="V3204" s="13"/>
      <c r="W3204" s="13"/>
    </row>
    <row r="3205" spans="1:23" x14ac:dyDescent="0.2">
      <c r="A3205"/>
      <c r="B3205"/>
      <c r="C3205"/>
      <c r="D3205"/>
      <c r="E3205"/>
      <c r="F3205"/>
      <c r="G3205"/>
      <c r="H3205"/>
      <c r="I3205"/>
      <c r="J3205"/>
      <c r="K3205" s="13" t="s">
        <v>249</v>
      </c>
      <c r="L3205" s="13" t="s">
        <v>528</v>
      </c>
      <c r="M3205" s="13" t="s">
        <v>384</v>
      </c>
      <c r="N3205" s="15">
        <v>0</v>
      </c>
      <c r="O3205" s="16">
        <v>285.51292768608033</v>
      </c>
      <c r="P3205" s="17">
        <v>0</v>
      </c>
      <c r="Q3205" s="17">
        <v>0</v>
      </c>
      <c r="R3205" s="13"/>
      <c r="S3205" s="13"/>
      <c r="T3205" s="13"/>
      <c r="U3205" s="13"/>
      <c r="V3205" s="13"/>
      <c r="W3205" s="13"/>
    </row>
    <row r="3206" spans="1:23" x14ac:dyDescent="0.2">
      <c r="A3206"/>
      <c r="B3206"/>
      <c r="C3206"/>
      <c r="D3206"/>
      <c r="E3206"/>
      <c r="F3206"/>
      <c r="G3206"/>
      <c r="H3206"/>
      <c r="I3206"/>
      <c r="J3206"/>
      <c r="K3206" s="13" t="s">
        <v>249</v>
      </c>
      <c r="L3206" s="13" t="s">
        <v>613</v>
      </c>
      <c r="M3206" s="13" t="s">
        <v>444</v>
      </c>
      <c r="N3206" s="15">
        <v>0</v>
      </c>
      <c r="O3206" s="16">
        <v>20.912488538094681</v>
      </c>
      <c r="P3206" s="17">
        <v>0</v>
      </c>
      <c r="Q3206" s="17">
        <v>0</v>
      </c>
      <c r="R3206" s="13"/>
      <c r="S3206" s="13"/>
      <c r="T3206" s="13"/>
      <c r="U3206" s="13"/>
      <c r="V3206" s="13"/>
      <c r="W3206" s="13"/>
    </row>
    <row r="3207" spans="1:23" x14ac:dyDescent="0.2">
      <c r="A3207"/>
      <c r="B3207"/>
      <c r="C3207"/>
      <c r="D3207"/>
      <c r="E3207"/>
      <c r="F3207"/>
      <c r="G3207"/>
      <c r="H3207"/>
      <c r="I3207"/>
      <c r="J3207"/>
      <c r="K3207" s="13" t="s">
        <v>249</v>
      </c>
      <c r="L3207" s="13" t="s">
        <v>611</v>
      </c>
      <c r="M3207" s="13" t="s">
        <v>423</v>
      </c>
      <c r="N3207" s="15">
        <v>0</v>
      </c>
      <c r="O3207" s="16">
        <v>34.987561130632379</v>
      </c>
      <c r="P3207" s="17">
        <v>0</v>
      </c>
      <c r="Q3207" s="17">
        <v>0</v>
      </c>
      <c r="R3207" s="13"/>
      <c r="S3207" s="13"/>
      <c r="T3207" s="13"/>
      <c r="U3207" s="13"/>
      <c r="V3207" s="13"/>
      <c r="W3207" s="13"/>
    </row>
    <row r="3208" spans="1:23" x14ac:dyDescent="0.2">
      <c r="A3208"/>
      <c r="B3208"/>
      <c r="C3208"/>
      <c r="D3208"/>
      <c r="E3208"/>
      <c r="F3208"/>
      <c r="G3208"/>
      <c r="H3208"/>
      <c r="I3208"/>
      <c r="J3208"/>
      <c r="K3208" s="13" t="s">
        <v>249</v>
      </c>
      <c r="L3208" s="13" t="s">
        <v>446</v>
      </c>
      <c r="M3208" s="13" t="s">
        <v>371</v>
      </c>
      <c r="N3208" s="15">
        <v>18</v>
      </c>
      <c r="O3208" s="16">
        <v>0</v>
      </c>
      <c r="P3208" s="17">
        <v>0</v>
      </c>
      <c r="Q3208" s="17">
        <v>0</v>
      </c>
      <c r="R3208" s="13"/>
      <c r="S3208" s="13"/>
      <c r="T3208" s="13"/>
      <c r="U3208" s="13"/>
      <c r="V3208" s="13"/>
      <c r="W3208" s="13"/>
    </row>
    <row r="3209" spans="1:23" x14ac:dyDescent="0.2">
      <c r="A3209"/>
      <c r="B3209"/>
      <c r="C3209"/>
      <c r="D3209"/>
      <c r="E3209"/>
      <c r="F3209"/>
      <c r="G3209"/>
      <c r="H3209"/>
      <c r="I3209"/>
      <c r="J3209"/>
      <c r="K3209" s="13" t="s">
        <v>249</v>
      </c>
      <c r="L3209" s="13" t="s">
        <v>424</v>
      </c>
      <c r="M3209" s="13" t="s">
        <v>468</v>
      </c>
      <c r="N3209" s="15">
        <v>0</v>
      </c>
      <c r="O3209" s="16">
        <v>0</v>
      </c>
      <c r="P3209" s="17">
        <v>41.161199996696041</v>
      </c>
      <c r="Q3209" s="17">
        <v>0</v>
      </c>
      <c r="R3209" s="13"/>
      <c r="S3209" s="13"/>
      <c r="T3209" s="13"/>
      <c r="U3209" s="13"/>
      <c r="V3209" s="13"/>
      <c r="W3209" s="13"/>
    </row>
    <row r="3210" spans="1:23" x14ac:dyDescent="0.2">
      <c r="A3210"/>
      <c r="B3210"/>
      <c r="C3210"/>
      <c r="D3210"/>
      <c r="E3210"/>
      <c r="F3210"/>
      <c r="G3210"/>
      <c r="H3210"/>
      <c r="I3210"/>
      <c r="J3210"/>
      <c r="K3210" s="13" t="s">
        <v>249</v>
      </c>
      <c r="L3210" s="13" t="s">
        <v>484</v>
      </c>
      <c r="M3210" s="13" t="s">
        <v>529</v>
      </c>
      <c r="N3210" s="15">
        <v>0</v>
      </c>
      <c r="O3210" s="16">
        <v>41.02975243336369</v>
      </c>
      <c r="P3210" s="17">
        <v>0</v>
      </c>
      <c r="Q3210" s="17">
        <v>0</v>
      </c>
      <c r="R3210" s="13"/>
      <c r="S3210" s="13"/>
      <c r="T3210" s="13"/>
      <c r="U3210" s="13"/>
      <c r="V3210" s="13"/>
      <c r="W3210" s="13"/>
    </row>
    <row r="3211" spans="1:23" x14ac:dyDescent="0.2">
      <c r="A3211"/>
      <c r="B3211"/>
      <c r="C3211"/>
      <c r="D3211"/>
      <c r="E3211"/>
      <c r="F3211"/>
      <c r="G3211"/>
      <c r="H3211"/>
      <c r="I3211"/>
      <c r="J3211"/>
      <c r="K3211" s="13" t="s">
        <v>249</v>
      </c>
      <c r="L3211" s="13" t="s">
        <v>469</v>
      </c>
      <c r="M3211" s="13" t="s">
        <v>426</v>
      </c>
      <c r="N3211" s="15">
        <v>2</v>
      </c>
      <c r="O3211" s="16">
        <v>0</v>
      </c>
      <c r="P3211" s="17">
        <v>0</v>
      </c>
      <c r="Q3211" s="17">
        <v>0</v>
      </c>
      <c r="R3211" s="13"/>
      <c r="S3211" s="13"/>
      <c r="T3211" s="13"/>
      <c r="U3211" s="13"/>
      <c r="V3211" s="13"/>
      <c r="W3211" s="13"/>
    </row>
    <row r="3212" spans="1:23" x14ac:dyDescent="0.2">
      <c r="A3212"/>
      <c r="B3212"/>
      <c r="C3212"/>
      <c r="D3212"/>
      <c r="E3212"/>
      <c r="F3212"/>
      <c r="G3212"/>
      <c r="H3212"/>
      <c r="I3212"/>
      <c r="J3212"/>
      <c r="K3212" s="13" t="s">
        <v>251</v>
      </c>
      <c r="L3212" s="13" t="s">
        <v>435</v>
      </c>
      <c r="M3212" s="13" t="s">
        <v>364</v>
      </c>
      <c r="N3212" s="15">
        <v>0</v>
      </c>
      <c r="O3212" s="16">
        <v>68.519261057583591</v>
      </c>
      <c r="P3212" s="17">
        <v>0</v>
      </c>
      <c r="Q3212" s="17">
        <v>0</v>
      </c>
      <c r="R3212" s="13"/>
      <c r="S3212" s="13"/>
      <c r="T3212" s="13"/>
      <c r="U3212" s="13"/>
      <c r="V3212" s="13"/>
      <c r="W3212" s="13"/>
    </row>
    <row r="3213" spans="1:23" x14ac:dyDescent="0.2">
      <c r="A3213"/>
      <c r="B3213"/>
      <c r="C3213"/>
      <c r="D3213"/>
      <c r="E3213"/>
      <c r="F3213"/>
      <c r="G3213"/>
      <c r="H3213"/>
      <c r="I3213"/>
      <c r="J3213"/>
      <c r="K3213" s="13" t="s">
        <v>251</v>
      </c>
      <c r="L3213" s="13" t="s">
        <v>435</v>
      </c>
      <c r="M3213" s="13" t="s">
        <v>364</v>
      </c>
      <c r="N3213" s="15">
        <v>1</v>
      </c>
      <c r="O3213" s="16">
        <v>0</v>
      </c>
      <c r="P3213" s="17">
        <v>0</v>
      </c>
      <c r="Q3213" s="17">
        <v>0</v>
      </c>
      <c r="R3213" s="13"/>
      <c r="S3213" s="13"/>
      <c r="T3213" s="13"/>
      <c r="U3213" s="13"/>
      <c r="V3213" s="13"/>
      <c r="W3213" s="13"/>
    </row>
    <row r="3214" spans="1:23" x14ac:dyDescent="0.2">
      <c r="A3214"/>
      <c r="B3214"/>
      <c r="C3214"/>
      <c r="D3214"/>
      <c r="E3214"/>
      <c r="F3214"/>
      <c r="G3214"/>
      <c r="H3214"/>
      <c r="I3214"/>
      <c r="J3214"/>
      <c r="K3214" s="13" t="s">
        <v>251</v>
      </c>
      <c r="L3214" s="13" t="s">
        <v>389</v>
      </c>
      <c r="M3214" s="13" t="s">
        <v>388</v>
      </c>
      <c r="N3214" s="15">
        <v>0</v>
      </c>
      <c r="O3214" s="16">
        <v>0</v>
      </c>
      <c r="P3214" s="17">
        <v>814.36795001147993</v>
      </c>
      <c r="Q3214" s="17">
        <v>0</v>
      </c>
      <c r="R3214" s="13"/>
      <c r="S3214" s="13"/>
      <c r="T3214" s="13"/>
      <c r="U3214" s="13"/>
      <c r="V3214" s="13"/>
      <c r="W3214" s="13"/>
    </row>
    <row r="3215" spans="1:23" x14ac:dyDescent="0.2">
      <c r="A3215"/>
      <c r="B3215"/>
      <c r="C3215"/>
      <c r="D3215"/>
      <c r="E3215"/>
      <c r="F3215"/>
      <c r="G3215"/>
      <c r="H3215"/>
      <c r="I3215"/>
      <c r="J3215"/>
      <c r="K3215" s="13" t="s">
        <v>251</v>
      </c>
      <c r="L3215" s="13" t="s">
        <v>486</v>
      </c>
      <c r="M3215" s="13" t="s">
        <v>439</v>
      </c>
      <c r="N3215" s="15">
        <v>0</v>
      </c>
      <c r="O3215" s="16">
        <v>0</v>
      </c>
      <c r="P3215" s="17">
        <v>35.751249991666995</v>
      </c>
      <c r="Q3215" s="17">
        <v>0</v>
      </c>
      <c r="R3215" s="13"/>
      <c r="S3215" s="13"/>
      <c r="T3215" s="13"/>
      <c r="U3215" s="13"/>
      <c r="V3215" s="13"/>
      <c r="W3215" s="13"/>
    </row>
    <row r="3216" spans="1:23" x14ac:dyDescent="0.2">
      <c r="A3216"/>
      <c r="B3216"/>
      <c r="C3216"/>
      <c r="D3216"/>
      <c r="E3216"/>
      <c r="F3216"/>
      <c r="G3216"/>
      <c r="H3216"/>
      <c r="I3216"/>
      <c r="J3216"/>
      <c r="K3216" s="13" t="s">
        <v>251</v>
      </c>
      <c r="L3216" s="13" t="s">
        <v>512</v>
      </c>
      <c r="M3216" s="13" t="s">
        <v>466</v>
      </c>
      <c r="N3216" s="15">
        <v>0</v>
      </c>
      <c r="O3216" s="16">
        <v>0</v>
      </c>
      <c r="P3216" s="17">
        <v>102.61759999583425</v>
      </c>
      <c r="Q3216" s="17">
        <v>0</v>
      </c>
      <c r="R3216" s="13"/>
      <c r="S3216" s="13"/>
      <c r="T3216" s="13"/>
      <c r="U3216" s="13"/>
      <c r="V3216" s="13"/>
      <c r="W3216" s="13"/>
    </row>
    <row r="3217" spans="1:23" x14ac:dyDescent="0.2">
      <c r="A3217"/>
      <c r="B3217"/>
      <c r="C3217"/>
      <c r="D3217"/>
      <c r="E3217"/>
      <c r="F3217"/>
      <c r="G3217"/>
      <c r="H3217"/>
      <c r="I3217"/>
      <c r="J3217"/>
      <c r="K3217" s="13" t="s">
        <v>251</v>
      </c>
      <c r="L3217" s="13" t="s">
        <v>440</v>
      </c>
      <c r="M3217" s="13" t="s">
        <v>441</v>
      </c>
      <c r="N3217" s="15">
        <v>4</v>
      </c>
      <c r="O3217" s="16">
        <v>0</v>
      </c>
      <c r="P3217" s="17">
        <v>0</v>
      </c>
      <c r="Q3217" s="17">
        <v>0</v>
      </c>
      <c r="R3217" s="13"/>
      <c r="S3217" s="13"/>
      <c r="T3217" s="13"/>
      <c r="U3217" s="13"/>
      <c r="V3217" s="13"/>
      <c r="W3217" s="13"/>
    </row>
    <row r="3218" spans="1:23" x14ac:dyDescent="0.2">
      <c r="A3218"/>
      <c r="B3218"/>
      <c r="C3218"/>
      <c r="D3218"/>
      <c r="E3218"/>
      <c r="F3218"/>
      <c r="G3218"/>
      <c r="H3218"/>
      <c r="I3218"/>
      <c r="J3218"/>
      <c r="K3218" s="13" t="s">
        <v>251</v>
      </c>
      <c r="L3218" s="13" t="s">
        <v>397</v>
      </c>
      <c r="M3218" s="13" t="s">
        <v>398</v>
      </c>
      <c r="N3218" s="15">
        <v>0</v>
      </c>
      <c r="O3218" s="16">
        <v>0</v>
      </c>
      <c r="P3218" s="17">
        <v>7.3050000017904682E-2</v>
      </c>
      <c r="Q3218" s="17">
        <v>0</v>
      </c>
      <c r="R3218" s="13"/>
      <c r="S3218" s="13"/>
      <c r="T3218" s="13"/>
      <c r="U3218" s="13"/>
      <c r="V3218" s="13"/>
      <c r="W3218" s="13"/>
    </row>
    <row r="3219" spans="1:23" x14ac:dyDescent="0.2">
      <c r="A3219"/>
      <c r="B3219"/>
      <c r="C3219"/>
      <c r="D3219"/>
      <c r="E3219"/>
      <c r="F3219"/>
      <c r="G3219"/>
      <c r="H3219"/>
      <c r="I3219"/>
      <c r="J3219"/>
      <c r="K3219" s="13" t="s">
        <v>251</v>
      </c>
      <c r="L3219" s="13" t="s">
        <v>399</v>
      </c>
      <c r="M3219" s="13" t="s">
        <v>400</v>
      </c>
      <c r="N3219" s="15">
        <v>0</v>
      </c>
      <c r="O3219" s="16">
        <v>0</v>
      </c>
      <c r="P3219" s="17">
        <v>1.6445999996820229</v>
      </c>
      <c r="Q3219" s="17">
        <v>0</v>
      </c>
      <c r="R3219" s="13"/>
      <c r="S3219" s="13"/>
      <c r="T3219" s="13"/>
      <c r="U3219" s="13"/>
      <c r="V3219" s="13"/>
      <c r="W3219" s="13"/>
    </row>
    <row r="3220" spans="1:23" x14ac:dyDescent="0.2">
      <c r="A3220"/>
      <c r="B3220"/>
      <c r="C3220"/>
      <c r="D3220"/>
      <c r="E3220"/>
      <c r="F3220"/>
      <c r="G3220"/>
      <c r="H3220"/>
      <c r="I3220"/>
      <c r="J3220"/>
      <c r="K3220" s="13" t="s">
        <v>251</v>
      </c>
      <c r="L3220" s="13" t="s">
        <v>401</v>
      </c>
      <c r="M3220" s="13" t="s">
        <v>360</v>
      </c>
      <c r="N3220" s="15">
        <v>0</v>
      </c>
      <c r="O3220" s="16">
        <v>0</v>
      </c>
      <c r="P3220" s="17">
        <v>490.03979997330089</v>
      </c>
      <c r="Q3220" s="17">
        <v>0</v>
      </c>
      <c r="R3220" s="13"/>
      <c r="S3220" s="13"/>
      <c r="T3220" s="13"/>
      <c r="U3220" s="13"/>
      <c r="V3220" s="13"/>
      <c r="W3220" s="13"/>
    </row>
    <row r="3221" spans="1:23" x14ac:dyDescent="0.2">
      <c r="A3221"/>
      <c r="B3221"/>
      <c r="C3221"/>
      <c r="D3221"/>
      <c r="E3221"/>
      <c r="F3221"/>
      <c r="G3221"/>
      <c r="H3221"/>
      <c r="I3221"/>
      <c r="J3221"/>
      <c r="K3221" s="13" t="s">
        <v>251</v>
      </c>
      <c r="L3221" s="13" t="s">
        <v>402</v>
      </c>
      <c r="M3221" s="13" t="s">
        <v>403</v>
      </c>
      <c r="N3221" s="15">
        <v>0</v>
      </c>
      <c r="O3221" s="16">
        <v>0</v>
      </c>
      <c r="P3221" s="17">
        <v>491.04800001334593</v>
      </c>
      <c r="Q3221" s="17">
        <v>0</v>
      </c>
      <c r="R3221" s="13"/>
      <c r="S3221" s="13"/>
      <c r="T3221" s="13"/>
      <c r="U3221" s="13"/>
      <c r="V3221" s="13"/>
      <c r="W3221" s="13"/>
    </row>
    <row r="3222" spans="1:23" x14ac:dyDescent="0.2">
      <c r="A3222"/>
      <c r="B3222"/>
      <c r="C3222"/>
      <c r="D3222"/>
      <c r="E3222"/>
      <c r="F3222"/>
      <c r="G3222"/>
      <c r="H3222"/>
      <c r="I3222"/>
      <c r="J3222"/>
      <c r="K3222" s="13" t="s">
        <v>251</v>
      </c>
      <c r="L3222" s="13" t="s">
        <v>448</v>
      </c>
      <c r="M3222" s="13" t="s">
        <v>366</v>
      </c>
      <c r="N3222" s="15">
        <v>0</v>
      </c>
      <c r="O3222" s="16">
        <v>0</v>
      </c>
      <c r="P3222" s="17">
        <v>1305.3580500024329</v>
      </c>
      <c r="Q3222" s="17">
        <v>0</v>
      </c>
      <c r="R3222" s="13"/>
      <c r="S3222" s="13"/>
      <c r="T3222" s="13"/>
      <c r="U3222" s="13"/>
      <c r="V3222" s="13"/>
      <c r="W3222" s="13"/>
    </row>
    <row r="3223" spans="1:23" x14ac:dyDescent="0.2">
      <c r="A3223"/>
      <c r="B3223"/>
      <c r="C3223"/>
      <c r="D3223"/>
      <c r="E3223"/>
      <c r="F3223"/>
      <c r="G3223"/>
      <c r="H3223"/>
      <c r="I3223"/>
      <c r="J3223"/>
      <c r="K3223" s="13" t="s">
        <v>251</v>
      </c>
      <c r="L3223" s="13" t="s">
        <v>404</v>
      </c>
      <c r="M3223" s="13" t="s">
        <v>405</v>
      </c>
      <c r="N3223" s="15">
        <v>0</v>
      </c>
      <c r="O3223" s="16">
        <v>0</v>
      </c>
      <c r="P3223" s="17">
        <v>197.54324998485635</v>
      </c>
      <c r="Q3223" s="17">
        <v>435.60252360559008</v>
      </c>
      <c r="R3223" s="13"/>
      <c r="S3223" s="13"/>
      <c r="T3223" s="13"/>
      <c r="U3223" s="13"/>
      <c r="V3223" s="13"/>
      <c r="W3223" s="13"/>
    </row>
    <row r="3224" spans="1:23" x14ac:dyDescent="0.2">
      <c r="A3224"/>
      <c r="B3224"/>
      <c r="C3224"/>
      <c r="D3224"/>
      <c r="E3224"/>
      <c r="F3224"/>
      <c r="G3224"/>
      <c r="H3224"/>
      <c r="I3224"/>
      <c r="J3224"/>
      <c r="K3224" s="13" t="s">
        <v>251</v>
      </c>
      <c r="L3224" s="13" t="s">
        <v>381</v>
      </c>
      <c r="M3224" s="13" t="s">
        <v>382</v>
      </c>
      <c r="N3224" s="15">
        <v>22</v>
      </c>
      <c r="O3224" s="16">
        <v>0</v>
      </c>
      <c r="P3224" s="17">
        <v>0</v>
      </c>
      <c r="Q3224" s="17">
        <v>0</v>
      </c>
      <c r="R3224" s="13"/>
      <c r="S3224" s="13"/>
      <c r="T3224" s="13"/>
      <c r="U3224" s="13"/>
      <c r="V3224" s="13"/>
      <c r="W3224" s="13"/>
    </row>
    <row r="3225" spans="1:23" x14ac:dyDescent="0.2">
      <c r="A3225"/>
      <c r="B3225"/>
      <c r="C3225"/>
      <c r="D3225"/>
      <c r="E3225"/>
      <c r="F3225"/>
      <c r="G3225"/>
      <c r="H3225"/>
      <c r="I3225"/>
      <c r="J3225"/>
      <c r="K3225" s="13" t="s">
        <v>251</v>
      </c>
      <c r="L3225" s="13" t="s">
        <v>411</v>
      </c>
      <c r="M3225" s="13" t="s">
        <v>362</v>
      </c>
      <c r="N3225" s="15">
        <v>0</v>
      </c>
      <c r="O3225" s="16">
        <v>79.110831686032</v>
      </c>
      <c r="P3225" s="17">
        <v>0</v>
      </c>
      <c r="Q3225" s="17">
        <v>0</v>
      </c>
      <c r="R3225" s="13"/>
      <c r="S3225" s="13"/>
      <c r="T3225" s="13"/>
      <c r="U3225" s="13"/>
      <c r="V3225" s="13"/>
      <c r="W3225" s="13"/>
    </row>
    <row r="3226" spans="1:23" x14ac:dyDescent="0.2">
      <c r="A3226"/>
      <c r="B3226"/>
      <c r="C3226"/>
      <c r="D3226"/>
      <c r="E3226"/>
      <c r="F3226"/>
      <c r="G3226"/>
      <c r="H3226"/>
      <c r="I3226"/>
      <c r="J3226"/>
      <c r="K3226" s="13" t="s">
        <v>251</v>
      </c>
      <c r="L3226" s="13" t="s">
        <v>605</v>
      </c>
      <c r="M3226" s="13" t="s">
        <v>429</v>
      </c>
      <c r="N3226" s="15">
        <v>0</v>
      </c>
      <c r="O3226" s="16">
        <v>2.5199999995529652</v>
      </c>
      <c r="P3226" s="17">
        <v>0</v>
      </c>
      <c r="Q3226" s="17">
        <v>0</v>
      </c>
      <c r="R3226" s="13"/>
      <c r="S3226" s="13"/>
      <c r="T3226" s="13"/>
      <c r="U3226" s="13"/>
      <c r="V3226" s="13"/>
      <c r="W3226" s="13"/>
    </row>
    <row r="3227" spans="1:23" x14ac:dyDescent="0.2">
      <c r="A3227"/>
      <c r="B3227"/>
      <c r="C3227"/>
      <c r="D3227"/>
      <c r="E3227"/>
      <c r="F3227"/>
      <c r="G3227"/>
      <c r="H3227"/>
      <c r="I3227"/>
      <c r="J3227"/>
      <c r="K3227" s="13" t="s">
        <v>251</v>
      </c>
      <c r="L3227" s="13" t="s">
        <v>606</v>
      </c>
      <c r="M3227" s="13" t="s">
        <v>430</v>
      </c>
      <c r="N3227" s="15">
        <v>4</v>
      </c>
      <c r="O3227" s="16">
        <v>0</v>
      </c>
      <c r="P3227" s="17">
        <v>0</v>
      </c>
      <c r="Q3227" s="17">
        <v>0</v>
      </c>
      <c r="R3227" s="13"/>
      <c r="S3227" s="13"/>
      <c r="T3227" s="13"/>
      <c r="U3227" s="13"/>
      <c r="V3227" s="13"/>
      <c r="W3227" s="13"/>
    </row>
    <row r="3228" spans="1:23" x14ac:dyDescent="0.2">
      <c r="A3228"/>
      <c r="B3228"/>
      <c r="C3228"/>
      <c r="D3228"/>
      <c r="E3228"/>
      <c r="F3228"/>
      <c r="G3228"/>
      <c r="H3228"/>
      <c r="I3228"/>
      <c r="J3228"/>
      <c r="K3228" s="13" t="s">
        <v>251</v>
      </c>
      <c r="L3228" s="13" t="s">
        <v>623</v>
      </c>
      <c r="M3228" s="13" t="s">
        <v>530</v>
      </c>
      <c r="N3228" s="15">
        <v>0</v>
      </c>
      <c r="O3228" s="16">
        <v>115.89070041155344</v>
      </c>
      <c r="P3228" s="17">
        <v>0</v>
      </c>
      <c r="Q3228" s="17">
        <v>0</v>
      </c>
      <c r="R3228" s="13"/>
      <c r="S3228" s="13"/>
      <c r="T3228" s="13"/>
      <c r="U3228" s="13"/>
      <c r="V3228" s="13"/>
      <c r="W3228" s="13"/>
    </row>
    <row r="3229" spans="1:23" x14ac:dyDescent="0.2">
      <c r="A3229"/>
      <c r="B3229"/>
      <c r="C3229"/>
      <c r="D3229"/>
      <c r="E3229"/>
      <c r="F3229"/>
      <c r="G3229"/>
      <c r="H3229"/>
      <c r="I3229"/>
      <c r="J3229"/>
      <c r="K3229" s="13" t="s">
        <v>251</v>
      </c>
      <c r="L3229" s="13" t="s">
        <v>608</v>
      </c>
      <c r="M3229" s="13" t="s">
        <v>432</v>
      </c>
      <c r="N3229" s="15">
        <v>9</v>
      </c>
      <c r="O3229" s="16">
        <v>0</v>
      </c>
      <c r="P3229" s="17">
        <v>0</v>
      </c>
      <c r="Q3229" s="17">
        <v>0</v>
      </c>
      <c r="R3229" s="13"/>
      <c r="S3229" s="13"/>
      <c r="T3229" s="13"/>
      <c r="U3229" s="13"/>
      <c r="V3229" s="13"/>
      <c r="W3229" s="13"/>
    </row>
    <row r="3230" spans="1:23" x14ac:dyDescent="0.2">
      <c r="A3230"/>
      <c r="B3230"/>
      <c r="C3230"/>
      <c r="D3230"/>
      <c r="E3230"/>
      <c r="F3230"/>
      <c r="G3230"/>
      <c r="H3230"/>
      <c r="I3230"/>
      <c r="J3230"/>
      <c r="K3230" s="13" t="s">
        <v>251</v>
      </c>
      <c r="L3230" s="13" t="s">
        <v>615</v>
      </c>
      <c r="M3230" s="13" t="s">
        <v>449</v>
      </c>
      <c r="N3230" s="15">
        <v>1</v>
      </c>
      <c r="O3230" s="16">
        <v>0</v>
      </c>
      <c r="P3230" s="17">
        <v>0</v>
      </c>
      <c r="Q3230" s="17">
        <v>0</v>
      </c>
      <c r="R3230" s="13"/>
      <c r="S3230" s="13"/>
      <c r="T3230" s="13"/>
      <c r="U3230" s="13"/>
      <c r="V3230" s="13"/>
      <c r="W3230" s="13"/>
    </row>
    <row r="3231" spans="1:23" x14ac:dyDescent="0.2">
      <c r="A3231"/>
      <c r="B3231"/>
      <c r="C3231"/>
      <c r="D3231"/>
      <c r="E3231"/>
      <c r="F3231"/>
      <c r="G3231"/>
      <c r="H3231"/>
      <c r="I3231"/>
      <c r="J3231"/>
      <c r="K3231" s="13" t="s">
        <v>251</v>
      </c>
      <c r="L3231" s="13" t="s">
        <v>609</v>
      </c>
      <c r="M3231" s="13" t="s">
        <v>416</v>
      </c>
      <c r="N3231" s="15">
        <v>0</v>
      </c>
      <c r="O3231" s="16">
        <v>149.95698487379585</v>
      </c>
      <c r="P3231" s="17">
        <v>0</v>
      </c>
      <c r="Q3231" s="17">
        <v>0</v>
      </c>
      <c r="R3231" s="13"/>
      <c r="S3231" s="13"/>
      <c r="T3231" s="13"/>
      <c r="U3231" s="13"/>
      <c r="V3231" s="13"/>
      <c r="W3231" s="13"/>
    </row>
    <row r="3232" spans="1:23" x14ac:dyDescent="0.2">
      <c r="A3232"/>
      <c r="B3232"/>
      <c r="C3232"/>
      <c r="D3232"/>
      <c r="E3232"/>
      <c r="F3232"/>
      <c r="G3232"/>
      <c r="H3232"/>
      <c r="I3232"/>
      <c r="J3232"/>
      <c r="K3232" s="13" t="s">
        <v>251</v>
      </c>
      <c r="L3232" s="13" t="s">
        <v>421</v>
      </c>
      <c r="M3232" s="13" t="s">
        <v>443</v>
      </c>
      <c r="N3232" s="15">
        <v>2</v>
      </c>
      <c r="O3232" s="16">
        <v>0</v>
      </c>
      <c r="P3232" s="17">
        <v>0</v>
      </c>
      <c r="Q3232" s="17">
        <v>0</v>
      </c>
      <c r="R3232" s="13"/>
      <c r="S3232" s="13"/>
      <c r="T3232" s="13"/>
      <c r="U3232" s="13"/>
      <c r="V3232" s="13"/>
      <c r="W3232" s="13"/>
    </row>
    <row r="3233" spans="1:23" x14ac:dyDescent="0.2">
      <c r="A3233"/>
      <c r="B3233"/>
      <c r="C3233"/>
      <c r="D3233"/>
      <c r="E3233"/>
      <c r="F3233"/>
      <c r="G3233"/>
      <c r="H3233"/>
      <c r="I3233"/>
      <c r="J3233"/>
      <c r="K3233" s="13" t="s">
        <v>251</v>
      </c>
      <c r="L3233" s="13" t="s">
        <v>383</v>
      </c>
      <c r="M3233" s="13" t="s">
        <v>420</v>
      </c>
      <c r="N3233" s="15">
        <v>8</v>
      </c>
      <c r="O3233" s="16">
        <v>0</v>
      </c>
      <c r="P3233" s="17">
        <v>0</v>
      </c>
      <c r="Q3233" s="17">
        <v>0</v>
      </c>
      <c r="R3233" s="13"/>
      <c r="S3233" s="13"/>
      <c r="T3233" s="13"/>
      <c r="U3233" s="13"/>
      <c r="V3233" s="13"/>
      <c r="W3233" s="13"/>
    </row>
    <row r="3234" spans="1:23" x14ac:dyDescent="0.2">
      <c r="A3234"/>
      <c r="B3234"/>
      <c r="C3234"/>
      <c r="D3234"/>
      <c r="E3234"/>
      <c r="F3234"/>
      <c r="G3234"/>
      <c r="H3234"/>
      <c r="I3234"/>
      <c r="J3234"/>
      <c r="K3234" s="13" t="s">
        <v>251</v>
      </c>
      <c r="L3234" s="13" t="s">
        <v>528</v>
      </c>
      <c r="M3234" s="13" t="s">
        <v>384</v>
      </c>
      <c r="N3234" s="15">
        <v>0</v>
      </c>
      <c r="O3234" s="16">
        <v>236.57402196760546</v>
      </c>
      <c r="P3234" s="17">
        <v>0</v>
      </c>
      <c r="Q3234" s="17">
        <v>0</v>
      </c>
      <c r="R3234" s="13"/>
      <c r="S3234" s="13"/>
      <c r="T3234" s="13"/>
      <c r="U3234" s="13"/>
      <c r="V3234" s="13"/>
      <c r="W3234" s="13"/>
    </row>
    <row r="3235" spans="1:23" x14ac:dyDescent="0.2">
      <c r="A3235"/>
      <c r="B3235"/>
      <c r="C3235"/>
      <c r="D3235"/>
      <c r="E3235"/>
      <c r="F3235"/>
      <c r="G3235"/>
      <c r="H3235"/>
      <c r="I3235"/>
      <c r="J3235"/>
      <c r="K3235" s="13" t="s">
        <v>251</v>
      </c>
      <c r="L3235" s="13" t="s">
        <v>446</v>
      </c>
      <c r="M3235" s="13" t="s">
        <v>371</v>
      </c>
      <c r="N3235" s="15">
        <v>14</v>
      </c>
      <c r="O3235" s="16">
        <v>0</v>
      </c>
      <c r="P3235" s="17">
        <v>0</v>
      </c>
      <c r="Q3235" s="17">
        <v>0</v>
      </c>
      <c r="R3235" s="13"/>
      <c r="S3235" s="13"/>
      <c r="T3235" s="13"/>
      <c r="U3235" s="13"/>
      <c r="V3235" s="13"/>
      <c r="W3235" s="13"/>
    </row>
    <row r="3236" spans="1:23" x14ac:dyDescent="0.2">
      <c r="A3236"/>
      <c r="B3236"/>
      <c r="C3236"/>
      <c r="D3236"/>
      <c r="E3236"/>
      <c r="F3236"/>
      <c r="G3236"/>
      <c r="H3236"/>
      <c r="I3236"/>
      <c r="J3236"/>
      <c r="K3236" s="13" t="s">
        <v>251</v>
      </c>
      <c r="L3236" s="13" t="s">
        <v>424</v>
      </c>
      <c r="M3236" s="13" t="s">
        <v>468</v>
      </c>
      <c r="N3236" s="15">
        <v>0</v>
      </c>
      <c r="O3236" s="16">
        <v>0</v>
      </c>
      <c r="P3236" s="17">
        <v>20.321750003930529</v>
      </c>
      <c r="Q3236" s="17">
        <v>0</v>
      </c>
      <c r="R3236" s="13"/>
      <c r="S3236" s="13"/>
      <c r="T3236" s="13"/>
      <c r="U3236" s="13"/>
      <c r="V3236" s="13"/>
      <c r="W3236" s="13"/>
    </row>
    <row r="3237" spans="1:23" x14ac:dyDescent="0.2">
      <c r="A3237"/>
      <c r="B3237"/>
      <c r="C3237"/>
      <c r="D3237"/>
      <c r="E3237"/>
      <c r="F3237"/>
      <c r="G3237"/>
      <c r="H3237"/>
      <c r="I3237"/>
      <c r="J3237"/>
      <c r="K3237" s="13" t="s">
        <v>251</v>
      </c>
      <c r="L3237" s="13" t="s">
        <v>484</v>
      </c>
      <c r="M3237" s="13" t="s">
        <v>529</v>
      </c>
      <c r="N3237" s="15">
        <v>0</v>
      </c>
      <c r="O3237" s="16">
        <v>17.02105641411714</v>
      </c>
      <c r="P3237" s="17">
        <v>0</v>
      </c>
      <c r="Q3237" s="17">
        <v>0</v>
      </c>
      <c r="R3237" s="13"/>
      <c r="S3237" s="13"/>
      <c r="T3237" s="13"/>
      <c r="U3237" s="13"/>
      <c r="V3237" s="13"/>
      <c r="W3237" s="13"/>
    </row>
    <row r="3238" spans="1:23" x14ac:dyDescent="0.2">
      <c r="A3238"/>
      <c r="B3238"/>
      <c r="C3238"/>
      <c r="D3238"/>
      <c r="E3238"/>
      <c r="F3238"/>
      <c r="G3238"/>
      <c r="H3238"/>
      <c r="I3238"/>
      <c r="J3238"/>
      <c r="K3238" s="13" t="s">
        <v>253</v>
      </c>
      <c r="L3238" s="13" t="s">
        <v>435</v>
      </c>
      <c r="M3238" s="13" t="s">
        <v>364</v>
      </c>
      <c r="N3238" s="15">
        <v>0</v>
      </c>
      <c r="O3238" s="16">
        <v>116.78266502630657</v>
      </c>
      <c r="P3238" s="17">
        <v>0</v>
      </c>
      <c r="Q3238" s="17">
        <v>0</v>
      </c>
      <c r="R3238" s="13"/>
      <c r="S3238" s="13"/>
      <c r="T3238" s="13"/>
      <c r="U3238" s="13"/>
      <c r="V3238" s="13"/>
      <c r="W3238" s="13"/>
    </row>
    <row r="3239" spans="1:23" x14ac:dyDescent="0.2">
      <c r="A3239"/>
      <c r="B3239"/>
      <c r="C3239"/>
      <c r="D3239"/>
      <c r="E3239"/>
      <c r="F3239"/>
      <c r="G3239"/>
      <c r="H3239"/>
      <c r="I3239"/>
      <c r="J3239"/>
      <c r="K3239" s="13" t="s">
        <v>253</v>
      </c>
      <c r="L3239" s="13" t="s">
        <v>435</v>
      </c>
      <c r="M3239" s="13" t="s">
        <v>364</v>
      </c>
      <c r="N3239" s="15">
        <v>1</v>
      </c>
      <c r="O3239" s="16">
        <v>0</v>
      </c>
      <c r="P3239" s="17">
        <v>0</v>
      </c>
      <c r="Q3239" s="17">
        <v>0</v>
      </c>
      <c r="R3239" s="13"/>
      <c r="S3239" s="13"/>
      <c r="T3239" s="13"/>
      <c r="U3239" s="13"/>
      <c r="V3239" s="13"/>
      <c r="W3239" s="13"/>
    </row>
    <row r="3240" spans="1:23" x14ac:dyDescent="0.2">
      <c r="A3240"/>
      <c r="B3240"/>
      <c r="C3240"/>
      <c r="D3240"/>
      <c r="E3240"/>
      <c r="F3240"/>
      <c r="G3240"/>
      <c r="H3240"/>
      <c r="I3240"/>
      <c r="J3240"/>
      <c r="K3240" s="13" t="s">
        <v>253</v>
      </c>
      <c r="L3240" s="13" t="s">
        <v>387</v>
      </c>
      <c r="M3240" s="13" t="s">
        <v>386</v>
      </c>
      <c r="N3240" s="15">
        <v>0</v>
      </c>
      <c r="O3240" s="16">
        <v>0</v>
      </c>
      <c r="P3240" s="17">
        <v>461.25659998625781</v>
      </c>
      <c r="Q3240" s="17">
        <v>0</v>
      </c>
      <c r="R3240" s="13"/>
      <c r="S3240" s="13"/>
      <c r="T3240" s="13"/>
      <c r="U3240" s="13"/>
      <c r="V3240" s="13"/>
      <c r="W3240" s="13"/>
    </row>
    <row r="3241" spans="1:23" x14ac:dyDescent="0.2">
      <c r="A3241"/>
      <c r="B3241"/>
      <c r="C3241"/>
      <c r="D3241"/>
      <c r="E3241"/>
      <c r="F3241"/>
      <c r="G3241"/>
      <c r="H3241"/>
      <c r="I3241"/>
      <c r="J3241"/>
      <c r="K3241" s="13" t="s">
        <v>253</v>
      </c>
      <c r="L3241" s="13" t="s">
        <v>389</v>
      </c>
      <c r="M3241" s="13" t="s">
        <v>388</v>
      </c>
      <c r="N3241" s="15">
        <v>0</v>
      </c>
      <c r="O3241" s="16">
        <v>0</v>
      </c>
      <c r="P3241" s="17">
        <v>942.18994999712845</v>
      </c>
      <c r="Q3241" s="17">
        <v>0</v>
      </c>
      <c r="R3241" s="13"/>
      <c r="S3241" s="13"/>
      <c r="T3241" s="13"/>
      <c r="U3241" s="13"/>
      <c r="V3241" s="13"/>
      <c r="W3241" s="13"/>
    </row>
    <row r="3242" spans="1:23" x14ac:dyDescent="0.2">
      <c r="A3242"/>
      <c r="B3242"/>
      <c r="C3242"/>
      <c r="D3242"/>
      <c r="E3242"/>
      <c r="F3242"/>
      <c r="G3242"/>
      <c r="H3242"/>
      <c r="I3242"/>
      <c r="J3242"/>
      <c r="K3242" s="13" t="s">
        <v>253</v>
      </c>
      <c r="L3242" s="13" t="s">
        <v>391</v>
      </c>
      <c r="M3242" s="13" t="s">
        <v>358</v>
      </c>
      <c r="N3242" s="15">
        <v>0</v>
      </c>
      <c r="O3242" s="16">
        <v>0</v>
      </c>
      <c r="P3242" s="17">
        <v>33.689400002882522</v>
      </c>
      <c r="Q3242" s="17">
        <v>0</v>
      </c>
      <c r="R3242" s="13"/>
      <c r="S3242" s="13"/>
      <c r="T3242" s="13"/>
      <c r="U3242" s="13"/>
      <c r="V3242" s="13"/>
      <c r="W3242" s="13"/>
    </row>
    <row r="3243" spans="1:23" x14ac:dyDescent="0.2">
      <c r="A3243"/>
      <c r="B3243"/>
      <c r="C3243"/>
      <c r="D3243"/>
      <c r="E3243"/>
      <c r="F3243"/>
      <c r="G3243"/>
      <c r="H3243"/>
      <c r="I3243"/>
      <c r="J3243"/>
      <c r="K3243" s="13" t="s">
        <v>253</v>
      </c>
      <c r="L3243" s="13" t="s">
        <v>392</v>
      </c>
      <c r="M3243" s="13" t="s">
        <v>437</v>
      </c>
      <c r="N3243" s="15">
        <v>0</v>
      </c>
      <c r="O3243" s="16">
        <v>0</v>
      </c>
      <c r="P3243" s="17">
        <v>5.9133999998159936</v>
      </c>
      <c r="Q3243" s="17">
        <v>0</v>
      </c>
      <c r="R3243" s="13"/>
      <c r="S3243" s="13"/>
      <c r="T3243" s="13"/>
      <c r="U3243" s="13"/>
      <c r="V3243" s="13"/>
      <c r="W3243" s="13"/>
    </row>
    <row r="3244" spans="1:23" x14ac:dyDescent="0.2">
      <c r="A3244"/>
      <c r="B3244"/>
      <c r="C3244"/>
      <c r="D3244"/>
      <c r="E3244"/>
      <c r="F3244"/>
      <c r="G3244"/>
      <c r="H3244"/>
      <c r="I3244"/>
      <c r="J3244"/>
      <c r="K3244" s="13" t="s">
        <v>253</v>
      </c>
      <c r="L3244" s="13" t="s">
        <v>486</v>
      </c>
      <c r="M3244" s="13" t="s">
        <v>439</v>
      </c>
      <c r="N3244" s="15">
        <v>0</v>
      </c>
      <c r="O3244" s="16">
        <v>0</v>
      </c>
      <c r="P3244" s="17">
        <v>30.077500000185104</v>
      </c>
      <c r="Q3244" s="17">
        <v>0</v>
      </c>
      <c r="R3244" s="13"/>
      <c r="S3244" s="13"/>
      <c r="T3244" s="13"/>
      <c r="U3244" s="13"/>
      <c r="V3244" s="13"/>
      <c r="W3244" s="13"/>
    </row>
    <row r="3245" spans="1:23" x14ac:dyDescent="0.2">
      <c r="A3245"/>
      <c r="B3245"/>
      <c r="C3245"/>
      <c r="D3245"/>
      <c r="E3245"/>
      <c r="F3245"/>
      <c r="G3245"/>
      <c r="H3245"/>
      <c r="I3245"/>
      <c r="J3245"/>
      <c r="K3245" s="13" t="s">
        <v>253</v>
      </c>
      <c r="L3245" s="13" t="s">
        <v>512</v>
      </c>
      <c r="M3245" s="13" t="s">
        <v>466</v>
      </c>
      <c r="N3245" s="15">
        <v>0</v>
      </c>
      <c r="O3245" s="16">
        <v>0</v>
      </c>
      <c r="P3245" s="17">
        <v>473.29864999398637</v>
      </c>
      <c r="Q3245" s="17">
        <v>0</v>
      </c>
      <c r="R3245" s="13"/>
      <c r="S3245" s="13"/>
      <c r="T3245" s="13"/>
      <c r="U3245" s="13"/>
      <c r="V3245" s="13"/>
      <c r="W3245" s="13"/>
    </row>
    <row r="3246" spans="1:23" x14ac:dyDescent="0.2">
      <c r="A3246"/>
      <c r="B3246"/>
      <c r="C3246"/>
      <c r="D3246"/>
      <c r="E3246"/>
      <c r="F3246"/>
      <c r="G3246"/>
      <c r="H3246"/>
      <c r="I3246"/>
      <c r="J3246"/>
      <c r="K3246" s="13" t="s">
        <v>253</v>
      </c>
      <c r="L3246" s="13" t="s">
        <v>513</v>
      </c>
      <c r="M3246" s="13" t="s">
        <v>533</v>
      </c>
      <c r="N3246" s="15">
        <v>0</v>
      </c>
      <c r="O3246" s="16">
        <v>0</v>
      </c>
      <c r="P3246" s="17">
        <v>121.62725000465088</v>
      </c>
      <c r="Q3246" s="17">
        <v>0</v>
      </c>
      <c r="R3246" s="13"/>
      <c r="S3246" s="13"/>
      <c r="T3246" s="13"/>
      <c r="U3246" s="13"/>
      <c r="V3246" s="13"/>
      <c r="W3246" s="13"/>
    </row>
    <row r="3247" spans="1:23" x14ac:dyDescent="0.2">
      <c r="A3247"/>
      <c r="B3247"/>
      <c r="C3247"/>
      <c r="D3247"/>
      <c r="E3247"/>
      <c r="F3247"/>
      <c r="G3247"/>
      <c r="H3247"/>
      <c r="I3247"/>
      <c r="J3247"/>
      <c r="K3247" s="13" t="s">
        <v>253</v>
      </c>
      <c r="L3247" s="13" t="s">
        <v>440</v>
      </c>
      <c r="M3247" s="13" t="s">
        <v>441</v>
      </c>
      <c r="N3247" s="15">
        <v>10</v>
      </c>
      <c r="O3247" s="16">
        <v>0</v>
      </c>
      <c r="P3247" s="17">
        <v>0</v>
      </c>
      <c r="Q3247" s="17">
        <v>0</v>
      </c>
      <c r="R3247" s="13"/>
      <c r="S3247" s="13"/>
      <c r="T3247" s="13"/>
      <c r="U3247" s="13"/>
      <c r="V3247" s="13"/>
      <c r="W3247" s="13"/>
    </row>
    <row r="3248" spans="1:23" x14ac:dyDescent="0.2">
      <c r="A3248"/>
      <c r="B3248"/>
      <c r="C3248"/>
      <c r="D3248"/>
      <c r="E3248"/>
      <c r="F3248"/>
      <c r="G3248"/>
      <c r="H3248"/>
      <c r="I3248"/>
      <c r="J3248"/>
      <c r="K3248" s="13" t="s">
        <v>253</v>
      </c>
      <c r="L3248" s="13" t="s">
        <v>395</v>
      </c>
      <c r="M3248" s="13" t="s">
        <v>602</v>
      </c>
      <c r="N3248" s="15">
        <v>4</v>
      </c>
      <c r="O3248" s="16">
        <v>0</v>
      </c>
      <c r="P3248" s="17">
        <v>0</v>
      </c>
      <c r="Q3248" s="17">
        <v>0</v>
      </c>
      <c r="R3248" s="13"/>
      <c r="S3248" s="13"/>
      <c r="T3248" s="13"/>
      <c r="U3248" s="13"/>
      <c r="V3248" s="13"/>
      <c r="W3248" s="13"/>
    </row>
    <row r="3249" spans="1:23" x14ac:dyDescent="0.2">
      <c r="A3249"/>
      <c r="B3249"/>
      <c r="C3249"/>
      <c r="D3249"/>
      <c r="E3249"/>
      <c r="F3249"/>
      <c r="G3249"/>
      <c r="H3249"/>
      <c r="I3249"/>
      <c r="J3249"/>
      <c r="K3249" s="13" t="s">
        <v>253</v>
      </c>
      <c r="L3249" s="13" t="s">
        <v>396</v>
      </c>
      <c r="M3249" s="13" t="s">
        <v>604</v>
      </c>
      <c r="N3249" s="15">
        <v>0</v>
      </c>
      <c r="O3249" s="16">
        <v>3.1060145317179311</v>
      </c>
      <c r="P3249" s="17">
        <v>0</v>
      </c>
      <c r="Q3249" s="17">
        <v>4.6590217975768962</v>
      </c>
      <c r="R3249" s="13"/>
      <c r="S3249" s="13"/>
      <c r="T3249" s="13"/>
      <c r="U3249" s="13"/>
      <c r="V3249" s="13"/>
      <c r="W3249" s="13"/>
    </row>
    <row r="3250" spans="1:23" x14ac:dyDescent="0.2">
      <c r="A3250"/>
      <c r="B3250"/>
      <c r="C3250"/>
      <c r="D3250"/>
      <c r="E3250"/>
      <c r="F3250"/>
      <c r="G3250"/>
      <c r="H3250"/>
      <c r="I3250"/>
      <c r="J3250"/>
      <c r="K3250" s="13" t="s">
        <v>253</v>
      </c>
      <c r="L3250" s="13" t="s">
        <v>399</v>
      </c>
      <c r="M3250" s="13" t="s">
        <v>400</v>
      </c>
      <c r="N3250" s="15">
        <v>0</v>
      </c>
      <c r="O3250" s="16">
        <v>0</v>
      </c>
      <c r="P3250" s="17">
        <v>50.751249983693704</v>
      </c>
      <c r="Q3250" s="17">
        <v>0</v>
      </c>
      <c r="R3250" s="13"/>
      <c r="S3250" s="13"/>
      <c r="T3250" s="13"/>
      <c r="U3250" s="13"/>
      <c r="V3250" s="13"/>
      <c r="W3250" s="13"/>
    </row>
    <row r="3251" spans="1:23" x14ac:dyDescent="0.2">
      <c r="A3251"/>
      <c r="B3251"/>
      <c r="C3251"/>
      <c r="D3251"/>
      <c r="E3251"/>
      <c r="F3251"/>
      <c r="G3251"/>
      <c r="H3251"/>
      <c r="I3251"/>
      <c r="J3251"/>
      <c r="K3251" s="13" t="s">
        <v>253</v>
      </c>
      <c r="L3251" s="13" t="s">
        <v>401</v>
      </c>
      <c r="M3251" s="13" t="s">
        <v>360</v>
      </c>
      <c r="N3251" s="15">
        <v>0</v>
      </c>
      <c r="O3251" s="16">
        <v>0</v>
      </c>
      <c r="P3251" s="17">
        <v>488.58122787006243</v>
      </c>
      <c r="Q3251" s="17">
        <v>0</v>
      </c>
      <c r="R3251" s="13"/>
      <c r="S3251" s="13"/>
      <c r="T3251" s="13"/>
      <c r="U3251" s="13"/>
      <c r="V3251" s="13"/>
      <c r="W3251" s="13"/>
    </row>
    <row r="3252" spans="1:23" x14ac:dyDescent="0.2">
      <c r="A3252"/>
      <c r="B3252"/>
      <c r="C3252"/>
      <c r="D3252"/>
      <c r="E3252"/>
      <c r="F3252"/>
      <c r="G3252"/>
      <c r="H3252"/>
      <c r="I3252"/>
      <c r="J3252"/>
      <c r="K3252" s="13" t="s">
        <v>253</v>
      </c>
      <c r="L3252" s="13" t="s">
        <v>511</v>
      </c>
      <c r="M3252" s="13" t="s">
        <v>377</v>
      </c>
      <c r="N3252" s="15">
        <v>0</v>
      </c>
      <c r="O3252" s="16">
        <v>0</v>
      </c>
      <c r="P3252" s="17">
        <v>20.098049997508575</v>
      </c>
      <c r="Q3252" s="17">
        <v>0</v>
      </c>
      <c r="R3252" s="13"/>
      <c r="S3252" s="13"/>
      <c r="T3252" s="13"/>
      <c r="U3252" s="13"/>
      <c r="V3252" s="13"/>
      <c r="W3252" s="13"/>
    </row>
    <row r="3253" spans="1:23" x14ac:dyDescent="0.2">
      <c r="A3253"/>
      <c r="B3253"/>
      <c r="C3253"/>
      <c r="D3253"/>
      <c r="E3253"/>
      <c r="F3253"/>
      <c r="G3253"/>
      <c r="H3253"/>
      <c r="I3253"/>
      <c r="J3253"/>
      <c r="K3253" s="13" t="s">
        <v>253</v>
      </c>
      <c r="L3253" s="13" t="s">
        <v>402</v>
      </c>
      <c r="M3253" s="13" t="s">
        <v>403</v>
      </c>
      <c r="N3253" s="15">
        <v>0</v>
      </c>
      <c r="O3253" s="16">
        <v>0</v>
      </c>
      <c r="P3253" s="17">
        <v>974.0504499972393</v>
      </c>
      <c r="Q3253" s="17">
        <v>0</v>
      </c>
      <c r="R3253" s="13"/>
      <c r="S3253" s="13"/>
      <c r="T3253" s="13"/>
      <c r="U3253" s="13"/>
      <c r="V3253" s="13"/>
      <c r="W3253" s="13"/>
    </row>
    <row r="3254" spans="1:23" x14ac:dyDescent="0.2">
      <c r="A3254"/>
      <c r="B3254"/>
      <c r="C3254"/>
      <c r="D3254"/>
      <c r="E3254"/>
      <c r="F3254"/>
      <c r="G3254"/>
      <c r="H3254"/>
      <c r="I3254"/>
      <c r="J3254"/>
      <c r="K3254" s="13" t="s">
        <v>253</v>
      </c>
      <c r="L3254" s="13" t="s">
        <v>448</v>
      </c>
      <c r="M3254" s="13" t="s">
        <v>366</v>
      </c>
      <c r="N3254" s="15">
        <v>0</v>
      </c>
      <c r="O3254" s="16">
        <v>0</v>
      </c>
      <c r="P3254" s="17">
        <v>189.12049999830185</v>
      </c>
      <c r="Q3254" s="17">
        <v>0</v>
      </c>
      <c r="R3254" s="13"/>
      <c r="S3254" s="13"/>
      <c r="T3254" s="13"/>
      <c r="U3254" s="13"/>
      <c r="V3254" s="13"/>
      <c r="W3254" s="13"/>
    </row>
    <row r="3255" spans="1:23" x14ac:dyDescent="0.2">
      <c r="A3255"/>
      <c r="B3255"/>
      <c r="C3255"/>
      <c r="D3255"/>
      <c r="E3255"/>
      <c r="F3255"/>
      <c r="G3255"/>
      <c r="H3255"/>
      <c r="I3255"/>
      <c r="J3255"/>
      <c r="K3255" s="13" t="s">
        <v>253</v>
      </c>
      <c r="L3255" s="13" t="s">
        <v>456</v>
      </c>
      <c r="M3255" s="13" t="s">
        <v>457</v>
      </c>
      <c r="N3255" s="15">
        <v>0</v>
      </c>
      <c r="O3255" s="16">
        <v>0</v>
      </c>
      <c r="P3255" s="17">
        <v>12.754850003406617</v>
      </c>
      <c r="Q3255" s="17">
        <v>0</v>
      </c>
      <c r="R3255" s="13"/>
      <c r="S3255" s="13"/>
      <c r="T3255" s="13"/>
      <c r="U3255" s="13"/>
      <c r="V3255" s="13"/>
      <c r="W3255" s="13"/>
    </row>
    <row r="3256" spans="1:23" x14ac:dyDescent="0.2">
      <c r="A3256"/>
      <c r="B3256"/>
      <c r="C3256"/>
      <c r="D3256"/>
      <c r="E3256"/>
      <c r="F3256"/>
      <c r="G3256"/>
      <c r="H3256"/>
      <c r="I3256"/>
      <c r="J3256"/>
      <c r="K3256" s="13" t="s">
        <v>253</v>
      </c>
      <c r="L3256" s="13" t="s">
        <v>404</v>
      </c>
      <c r="M3256" s="13" t="s">
        <v>405</v>
      </c>
      <c r="N3256" s="15">
        <v>0</v>
      </c>
      <c r="O3256" s="16">
        <v>0</v>
      </c>
      <c r="P3256" s="17">
        <v>213.98521651955289</v>
      </c>
      <c r="Q3256" s="17">
        <v>549.59433939746805</v>
      </c>
      <c r="R3256" s="13"/>
      <c r="S3256" s="13"/>
      <c r="T3256" s="13"/>
      <c r="U3256" s="13"/>
      <c r="V3256" s="13"/>
      <c r="W3256" s="13"/>
    </row>
    <row r="3257" spans="1:23" x14ac:dyDescent="0.2">
      <c r="A3257"/>
      <c r="B3257"/>
      <c r="C3257"/>
      <c r="D3257"/>
      <c r="E3257"/>
      <c r="F3257"/>
      <c r="G3257"/>
      <c r="H3257"/>
      <c r="I3257"/>
      <c r="J3257"/>
      <c r="K3257" s="13" t="s">
        <v>253</v>
      </c>
      <c r="L3257" s="13" t="s">
        <v>406</v>
      </c>
      <c r="M3257" s="13" t="s">
        <v>361</v>
      </c>
      <c r="N3257" s="15">
        <v>0</v>
      </c>
      <c r="O3257" s="16">
        <v>0</v>
      </c>
      <c r="P3257" s="17">
        <v>117.59209998767494</v>
      </c>
      <c r="Q3257" s="17">
        <v>244.76861566530545</v>
      </c>
      <c r="R3257" s="13"/>
      <c r="S3257" s="13"/>
      <c r="T3257" s="13"/>
      <c r="U3257" s="13"/>
      <c r="V3257" s="13"/>
      <c r="W3257" s="13"/>
    </row>
    <row r="3258" spans="1:23" x14ac:dyDescent="0.2">
      <c r="A3258"/>
      <c r="B3258"/>
      <c r="C3258"/>
      <c r="D3258"/>
      <c r="E3258"/>
      <c r="F3258"/>
      <c r="G3258"/>
      <c r="H3258"/>
      <c r="I3258"/>
      <c r="J3258"/>
      <c r="K3258" s="13" t="s">
        <v>253</v>
      </c>
      <c r="L3258" s="13" t="s">
        <v>381</v>
      </c>
      <c r="M3258" s="13" t="s">
        <v>382</v>
      </c>
      <c r="N3258" s="15">
        <v>43</v>
      </c>
      <c r="O3258" s="16">
        <v>0</v>
      </c>
      <c r="P3258" s="17">
        <v>0</v>
      </c>
      <c r="Q3258" s="17">
        <v>0</v>
      </c>
      <c r="R3258" s="13"/>
      <c r="S3258" s="13"/>
      <c r="T3258" s="13"/>
      <c r="U3258" s="13"/>
      <c r="V3258" s="13"/>
      <c r="W3258" s="13"/>
    </row>
    <row r="3259" spans="1:23" x14ac:dyDescent="0.2">
      <c r="A3259"/>
      <c r="B3259"/>
      <c r="C3259"/>
      <c r="D3259"/>
      <c r="E3259"/>
      <c r="F3259"/>
      <c r="G3259"/>
      <c r="H3259"/>
      <c r="I3259"/>
      <c r="J3259"/>
      <c r="K3259" s="13" t="s">
        <v>253</v>
      </c>
      <c r="L3259" s="13" t="s">
        <v>409</v>
      </c>
      <c r="M3259" s="13" t="s">
        <v>410</v>
      </c>
      <c r="N3259" s="15">
        <v>2</v>
      </c>
      <c r="O3259" s="16">
        <v>0</v>
      </c>
      <c r="P3259" s="17">
        <v>0</v>
      </c>
      <c r="Q3259" s="17">
        <v>0</v>
      </c>
      <c r="R3259" s="13"/>
      <c r="S3259" s="13"/>
      <c r="T3259" s="13"/>
      <c r="U3259" s="13"/>
      <c r="V3259" s="13"/>
      <c r="W3259" s="13"/>
    </row>
    <row r="3260" spans="1:23" x14ac:dyDescent="0.2">
      <c r="A3260"/>
      <c r="B3260"/>
      <c r="C3260"/>
      <c r="D3260"/>
      <c r="E3260"/>
      <c r="F3260"/>
      <c r="G3260"/>
      <c r="H3260"/>
      <c r="I3260"/>
      <c r="J3260"/>
      <c r="K3260" s="13" t="s">
        <v>253</v>
      </c>
      <c r="L3260" s="13" t="s">
        <v>411</v>
      </c>
      <c r="M3260" s="13" t="s">
        <v>362</v>
      </c>
      <c r="N3260" s="15">
        <v>0</v>
      </c>
      <c r="O3260" s="16">
        <v>47.932240763820722</v>
      </c>
      <c r="P3260" s="17">
        <v>0</v>
      </c>
      <c r="Q3260" s="17">
        <v>0</v>
      </c>
      <c r="R3260" s="13"/>
      <c r="S3260" s="13"/>
      <c r="T3260" s="13"/>
      <c r="U3260" s="13"/>
      <c r="V3260" s="13"/>
      <c r="W3260" s="13"/>
    </row>
    <row r="3261" spans="1:23" x14ac:dyDescent="0.2">
      <c r="A3261"/>
      <c r="B3261"/>
      <c r="C3261"/>
      <c r="D3261"/>
      <c r="E3261"/>
      <c r="F3261"/>
      <c r="G3261"/>
      <c r="H3261"/>
      <c r="I3261"/>
      <c r="J3261"/>
      <c r="K3261" s="13" t="s">
        <v>253</v>
      </c>
      <c r="L3261" s="13" t="s">
        <v>411</v>
      </c>
      <c r="M3261" s="13" t="s">
        <v>362</v>
      </c>
      <c r="N3261" s="15">
        <v>1</v>
      </c>
      <c r="O3261" s="16">
        <v>0</v>
      </c>
      <c r="P3261" s="17">
        <v>0</v>
      </c>
      <c r="Q3261" s="17">
        <v>0</v>
      </c>
      <c r="R3261" s="13"/>
      <c r="S3261" s="13"/>
      <c r="T3261" s="13"/>
      <c r="U3261" s="13"/>
      <c r="V3261" s="13"/>
      <c r="W3261" s="13"/>
    </row>
    <row r="3262" spans="1:23" x14ac:dyDescent="0.2">
      <c r="A3262"/>
      <c r="B3262"/>
      <c r="C3262"/>
      <c r="D3262"/>
      <c r="E3262"/>
      <c r="F3262"/>
      <c r="G3262"/>
      <c r="H3262"/>
      <c r="I3262"/>
      <c r="J3262"/>
      <c r="K3262" s="13" t="s">
        <v>253</v>
      </c>
      <c r="L3262" s="13" t="s">
        <v>606</v>
      </c>
      <c r="M3262" s="13" t="s">
        <v>430</v>
      </c>
      <c r="N3262" s="15">
        <v>4</v>
      </c>
      <c r="O3262" s="16">
        <v>0</v>
      </c>
      <c r="P3262" s="17">
        <v>0</v>
      </c>
      <c r="Q3262" s="17">
        <v>0</v>
      </c>
      <c r="R3262" s="13"/>
      <c r="S3262" s="13"/>
      <c r="T3262" s="13"/>
      <c r="U3262" s="13"/>
      <c r="V3262" s="13"/>
      <c r="W3262" s="13"/>
    </row>
    <row r="3263" spans="1:23" x14ac:dyDescent="0.2">
      <c r="A3263"/>
      <c r="B3263"/>
      <c r="C3263"/>
      <c r="D3263"/>
      <c r="E3263"/>
      <c r="F3263"/>
      <c r="G3263"/>
      <c r="H3263"/>
      <c r="I3263"/>
      <c r="J3263"/>
      <c r="K3263" s="13" t="s">
        <v>253</v>
      </c>
      <c r="L3263" s="13" t="s">
        <v>623</v>
      </c>
      <c r="M3263" s="13" t="s">
        <v>530</v>
      </c>
      <c r="N3263" s="15">
        <v>0</v>
      </c>
      <c r="O3263" s="16">
        <v>243.11233018158961</v>
      </c>
      <c r="P3263" s="17">
        <v>0</v>
      </c>
      <c r="Q3263" s="17">
        <v>0</v>
      </c>
      <c r="R3263" s="13"/>
      <c r="S3263" s="13"/>
      <c r="T3263" s="13"/>
      <c r="U3263" s="13"/>
      <c r="V3263" s="13"/>
      <c r="W3263" s="13"/>
    </row>
    <row r="3264" spans="1:23" x14ac:dyDescent="0.2">
      <c r="A3264"/>
      <c r="B3264"/>
      <c r="C3264"/>
      <c r="D3264"/>
      <c r="E3264"/>
      <c r="F3264"/>
      <c r="G3264"/>
      <c r="H3264"/>
      <c r="I3264"/>
      <c r="J3264"/>
      <c r="K3264" s="13" t="s">
        <v>253</v>
      </c>
      <c r="L3264" s="13" t="s">
        <v>607</v>
      </c>
      <c r="M3264" s="13" t="s">
        <v>431</v>
      </c>
      <c r="N3264" s="15">
        <v>5</v>
      </c>
      <c r="O3264" s="16">
        <v>0</v>
      </c>
      <c r="P3264" s="17">
        <v>0</v>
      </c>
      <c r="Q3264" s="17">
        <v>0</v>
      </c>
      <c r="R3264" s="13"/>
      <c r="S3264" s="13"/>
      <c r="T3264" s="13"/>
      <c r="U3264" s="13"/>
      <c r="V3264" s="13"/>
      <c r="W3264" s="13"/>
    </row>
    <row r="3265" spans="1:23" x14ac:dyDescent="0.2">
      <c r="A3265"/>
      <c r="B3265"/>
      <c r="C3265"/>
      <c r="D3265"/>
      <c r="E3265"/>
      <c r="F3265"/>
      <c r="G3265"/>
      <c r="H3265"/>
      <c r="I3265"/>
      <c r="J3265"/>
      <c r="K3265" s="13" t="s">
        <v>253</v>
      </c>
      <c r="L3265" s="13" t="s">
        <v>608</v>
      </c>
      <c r="M3265" s="13" t="s">
        <v>432</v>
      </c>
      <c r="N3265" s="15">
        <v>16</v>
      </c>
      <c r="O3265" s="16">
        <v>0</v>
      </c>
      <c r="P3265" s="17">
        <v>0</v>
      </c>
      <c r="Q3265" s="17">
        <v>0</v>
      </c>
      <c r="R3265" s="13"/>
      <c r="S3265" s="13"/>
      <c r="T3265" s="13"/>
      <c r="U3265" s="13"/>
      <c r="V3265" s="13"/>
      <c r="W3265" s="13"/>
    </row>
    <row r="3266" spans="1:23" x14ac:dyDescent="0.2">
      <c r="A3266"/>
      <c r="B3266"/>
      <c r="C3266"/>
      <c r="D3266"/>
      <c r="E3266"/>
      <c r="F3266"/>
      <c r="G3266"/>
      <c r="H3266"/>
      <c r="I3266"/>
      <c r="J3266"/>
      <c r="K3266" s="13" t="s">
        <v>253</v>
      </c>
      <c r="L3266" s="13" t="s">
        <v>615</v>
      </c>
      <c r="M3266" s="13" t="s">
        <v>449</v>
      </c>
      <c r="N3266" s="15">
        <v>2</v>
      </c>
      <c r="O3266" s="16">
        <v>0</v>
      </c>
      <c r="P3266" s="17">
        <v>0</v>
      </c>
      <c r="Q3266" s="17">
        <v>0</v>
      </c>
      <c r="R3266" s="13"/>
      <c r="S3266" s="13"/>
      <c r="T3266" s="13"/>
      <c r="U3266" s="13"/>
      <c r="V3266" s="13"/>
      <c r="W3266" s="13"/>
    </row>
    <row r="3267" spans="1:23" x14ac:dyDescent="0.2">
      <c r="A3267"/>
      <c r="B3267"/>
      <c r="C3267"/>
      <c r="D3267"/>
      <c r="E3267"/>
      <c r="F3267"/>
      <c r="G3267"/>
      <c r="H3267"/>
      <c r="I3267"/>
      <c r="J3267"/>
      <c r="K3267" s="13" t="s">
        <v>253</v>
      </c>
      <c r="L3267" s="13" t="s">
        <v>415</v>
      </c>
      <c r="M3267" s="13" t="s">
        <v>412</v>
      </c>
      <c r="N3267" s="15">
        <v>0</v>
      </c>
      <c r="O3267" s="16">
        <v>0</v>
      </c>
      <c r="P3267" s="17">
        <v>2.3255000022681198</v>
      </c>
      <c r="Q3267" s="17">
        <v>0</v>
      </c>
      <c r="R3267" s="13"/>
      <c r="S3267" s="13"/>
      <c r="T3267" s="13"/>
      <c r="U3267" s="13"/>
      <c r="V3267" s="13"/>
      <c r="W3267" s="13"/>
    </row>
    <row r="3268" spans="1:23" x14ac:dyDescent="0.2">
      <c r="A3268"/>
      <c r="B3268"/>
      <c r="C3268"/>
      <c r="D3268"/>
      <c r="E3268"/>
      <c r="F3268"/>
      <c r="G3268"/>
      <c r="H3268"/>
      <c r="I3268"/>
      <c r="J3268"/>
      <c r="K3268" s="13" t="s">
        <v>253</v>
      </c>
      <c r="L3268" s="13" t="s">
        <v>609</v>
      </c>
      <c r="M3268" s="13" t="s">
        <v>416</v>
      </c>
      <c r="N3268" s="15">
        <v>0</v>
      </c>
      <c r="O3268" s="16">
        <v>36.402891417266673</v>
      </c>
      <c r="P3268" s="17">
        <v>0</v>
      </c>
      <c r="Q3268" s="17">
        <v>0</v>
      </c>
      <c r="R3268" s="13"/>
      <c r="S3268" s="13"/>
      <c r="T3268" s="13"/>
      <c r="U3268" s="13"/>
      <c r="V3268" s="13"/>
      <c r="W3268" s="13"/>
    </row>
    <row r="3269" spans="1:23" x14ac:dyDescent="0.2">
      <c r="A3269"/>
      <c r="B3269"/>
      <c r="C3269"/>
      <c r="D3269"/>
      <c r="E3269"/>
      <c r="F3269"/>
      <c r="G3269"/>
      <c r="H3269"/>
      <c r="I3269"/>
      <c r="J3269"/>
      <c r="K3269" s="13" t="s">
        <v>253</v>
      </c>
      <c r="L3269" s="13" t="s">
        <v>421</v>
      </c>
      <c r="M3269" s="13" t="s">
        <v>443</v>
      </c>
      <c r="N3269" s="15">
        <v>1</v>
      </c>
      <c r="O3269" s="16">
        <v>0</v>
      </c>
      <c r="P3269" s="17">
        <v>0</v>
      </c>
      <c r="Q3269" s="17">
        <v>0</v>
      </c>
      <c r="R3269" s="13"/>
      <c r="S3269" s="13"/>
      <c r="T3269" s="13"/>
      <c r="U3269" s="13"/>
      <c r="V3269" s="13"/>
      <c r="W3269" s="13"/>
    </row>
    <row r="3270" spans="1:23" x14ac:dyDescent="0.2">
      <c r="A3270"/>
      <c r="B3270"/>
      <c r="C3270"/>
      <c r="D3270"/>
      <c r="E3270"/>
      <c r="F3270"/>
      <c r="G3270"/>
      <c r="H3270"/>
      <c r="I3270"/>
      <c r="J3270"/>
      <c r="K3270" s="13" t="s">
        <v>253</v>
      </c>
      <c r="L3270" s="13" t="s">
        <v>383</v>
      </c>
      <c r="M3270" s="13" t="s">
        <v>420</v>
      </c>
      <c r="N3270" s="15">
        <v>13</v>
      </c>
      <c r="O3270" s="16">
        <v>0</v>
      </c>
      <c r="P3270" s="17">
        <v>0</v>
      </c>
      <c r="Q3270" s="17">
        <v>0</v>
      </c>
      <c r="R3270" s="13"/>
      <c r="S3270" s="13"/>
      <c r="T3270" s="13"/>
      <c r="U3270" s="13"/>
      <c r="V3270" s="13"/>
      <c r="W3270" s="13"/>
    </row>
    <row r="3271" spans="1:23" x14ac:dyDescent="0.2">
      <c r="A3271"/>
      <c r="B3271"/>
      <c r="C3271"/>
      <c r="D3271"/>
      <c r="E3271"/>
      <c r="F3271"/>
      <c r="G3271"/>
      <c r="H3271"/>
      <c r="I3271"/>
      <c r="J3271"/>
      <c r="K3271" s="13" t="s">
        <v>253</v>
      </c>
      <c r="L3271" s="13" t="s">
        <v>528</v>
      </c>
      <c r="M3271" s="13" t="s">
        <v>384</v>
      </c>
      <c r="N3271" s="15">
        <v>0</v>
      </c>
      <c r="O3271" s="16">
        <v>325.66181905970836</v>
      </c>
      <c r="P3271" s="17">
        <v>0</v>
      </c>
      <c r="Q3271" s="17">
        <v>0</v>
      </c>
      <c r="R3271" s="13"/>
      <c r="S3271" s="13"/>
      <c r="T3271" s="13"/>
      <c r="U3271" s="13"/>
      <c r="V3271" s="13"/>
      <c r="W3271" s="13"/>
    </row>
    <row r="3272" spans="1:23" x14ac:dyDescent="0.2">
      <c r="A3272"/>
      <c r="B3272"/>
      <c r="C3272"/>
      <c r="D3272"/>
      <c r="E3272"/>
      <c r="F3272"/>
      <c r="G3272"/>
      <c r="H3272"/>
      <c r="I3272"/>
      <c r="J3272"/>
      <c r="K3272" s="13" t="s">
        <v>253</v>
      </c>
      <c r="L3272" s="13" t="s">
        <v>613</v>
      </c>
      <c r="M3272" s="13" t="s">
        <v>444</v>
      </c>
      <c r="N3272" s="15">
        <v>0</v>
      </c>
      <c r="O3272" s="16">
        <v>32.051488763217961</v>
      </c>
      <c r="P3272" s="17">
        <v>0</v>
      </c>
      <c r="Q3272" s="17">
        <v>0</v>
      </c>
      <c r="R3272" s="13"/>
      <c r="S3272" s="13"/>
      <c r="T3272" s="13"/>
      <c r="U3272" s="13"/>
      <c r="V3272" s="13"/>
      <c r="W3272" s="13"/>
    </row>
    <row r="3273" spans="1:23" x14ac:dyDescent="0.2">
      <c r="A3273"/>
      <c r="B3273"/>
      <c r="C3273"/>
      <c r="D3273"/>
      <c r="E3273"/>
      <c r="F3273"/>
      <c r="G3273"/>
      <c r="H3273"/>
      <c r="I3273"/>
      <c r="J3273"/>
      <c r="K3273" s="13" t="s">
        <v>253</v>
      </c>
      <c r="L3273" s="13" t="s">
        <v>611</v>
      </c>
      <c r="M3273" s="13" t="s">
        <v>423</v>
      </c>
      <c r="N3273" s="15">
        <v>0</v>
      </c>
      <c r="O3273" s="16">
        <v>85.703975851185049</v>
      </c>
      <c r="P3273" s="17">
        <v>0</v>
      </c>
      <c r="Q3273" s="17">
        <v>0</v>
      </c>
      <c r="R3273" s="13"/>
      <c r="S3273" s="13"/>
      <c r="T3273" s="13"/>
      <c r="U3273" s="13"/>
      <c r="V3273" s="13"/>
      <c r="W3273" s="13"/>
    </row>
    <row r="3274" spans="1:23" x14ac:dyDescent="0.2">
      <c r="A3274"/>
      <c r="B3274"/>
      <c r="C3274"/>
      <c r="D3274"/>
      <c r="E3274"/>
      <c r="F3274"/>
      <c r="G3274"/>
      <c r="H3274"/>
      <c r="I3274"/>
      <c r="J3274"/>
      <c r="K3274" s="13" t="s">
        <v>253</v>
      </c>
      <c r="L3274" s="13" t="s">
        <v>446</v>
      </c>
      <c r="M3274" s="13" t="s">
        <v>371</v>
      </c>
      <c r="N3274" s="15">
        <v>30</v>
      </c>
      <c r="O3274" s="16">
        <v>0</v>
      </c>
      <c r="P3274" s="17">
        <v>0</v>
      </c>
      <c r="Q3274" s="17">
        <v>0</v>
      </c>
      <c r="R3274" s="13"/>
      <c r="S3274" s="13"/>
      <c r="T3274" s="13"/>
      <c r="U3274" s="13"/>
      <c r="V3274" s="13"/>
      <c r="W3274" s="13"/>
    </row>
    <row r="3275" spans="1:23" x14ac:dyDescent="0.2">
      <c r="A3275"/>
      <c r="B3275"/>
      <c r="C3275"/>
      <c r="D3275"/>
      <c r="E3275"/>
      <c r="F3275"/>
      <c r="G3275"/>
      <c r="H3275"/>
      <c r="I3275"/>
      <c r="J3275"/>
      <c r="K3275" s="13" t="s">
        <v>253</v>
      </c>
      <c r="L3275" s="13" t="s">
        <v>424</v>
      </c>
      <c r="M3275" s="13" t="s">
        <v>468</v>
      </c>
      <c r="N3275" s="15">
        <v>0</v>
      </c>
      <c r="O3275" s="16">
        <v>0</v>
      </c>
      <c r="P3275" s="17">
        <v>48.167500001230508</v>
      </c>
      <c r="Q3275" s="17">
        <v>0</v>
      </c>
      <c r="R3275" s="13"/>
      <c r="S3275" s="13"/>
      <c r="T3275" s="13"/>
      <c r="U3275" s="13"/>
      <c r="V3275" s="13"/>
      <c r="W3275" s="13"/>
    </row>
    <row r="3276" spans="1:23" x14ac:dyDescent="0.2">
      <c r="A3276"/>
      <c r="B3276"/>
      <c r="C3276"/>
      <c r="D3276"/>
      <c r="E3276"/>
      <c r="F3276"/>
      <c r="G3276"/>
      <c r="H3276"/>
      <c r="I3276"/>
      <c r="J3276"/>
      <c r="K3276" s="13" t="s">
        <v>253</v>
      </c>
      <c r="L3276" s="13" t="s">
        <v>484</v>
      </c>
      <c r="M3276" s="13" t="s">
        <v>529</v>
      </c>
      <c r="N3276" s="15">
        <v>0</v>
      </c>
      <c r="O3276" s="16">
        <v>19.251518101349458</v>
      </c>
      <c r="P3276" s="17">
        <v>0</v>
      </c>
      <c r="Q3276" s="17">
        <v>0</v>
      </c>
      <c r="R3276" s="13"/>
      <c r="S3276" s="13"/>
      <c r="T3276" s="13"/>
      <c r="U3276" s="13"/>
      <c r="V3276" s="13"/>
      <c r="W3276" s="13"/>
    </row>
    <row r="3277" spans="1:23" x14ac:dyDescent="0.2">
      <c r="A3277"/>
      <c r="B3277"/>
      <c r="C3277"/>
      <c r="D3277"/>
      <c r="E3277"/>
      <c r="F3277"/>
      <c r="G3277"/>
      <c r="H3277"/>
      <c r="I3277"/>
      <c r="J3277"/>
      <c r="K3277" s="13" t="s">
        <v>255</v>
      </c>
      <c r="L3277" s="13" t="s">
        <v>435</v>
      </c>
      <c r="M3277" s="13" t="s">
        <v>364</v>
      </c>
      <c r="N3277" s="15">
        <v>1</v>
      </c>
      <c r="O3277" s="16">
        <v>0</v>
      </c>
      <c r="P3277" s="17">
        <v>0</v>
      </c>
      <c r="Q3277" s="17">
        <v>0</v>
      </c>
      <c r="R3277" s="13"/>
      <c r="S3277" s="13"/>
      <c r="T3277" s="13"/>
      <c r="U3277" s="13"/>
      <c r="V3277" s="13"/>
      <c r="W3277" s="13"/>
    </row>
    <row r="3278" spans="1:23" x14ac:dyDescent="0.2">
      <c r="A3278"/>
      <c r="B3278"/>
      <c r="C3278"/>
      <c r="D3278"/>
      <c r="E3278"/>
      <c r="F3278"/>
      <c r="G3278"/>
      <c r="H3278"/>
      <c r="I3278"/>
      <c r="J3278"/>
      <c r="K3278" s="13" t="s">
        <v>255</v>
      </c>
      <c r="L3278" s="13" t="s">
        <v>387</v>
      </c>
      <c r="M3278" s="13" t="s">
        <v>386</v>
      </c>
      <c r="N3278" s="15">
        <v>0</v>
      </c>
      <c r="O3278" s="16">
        <v>0</v>
      </c>
      <c r="P3278" s="17">
        <v>94.936199991456789</v>
      </c>
      <c r="Q3278" s="17">
        <v>0</v>
      </c>
      <c r="R3278" s="13"/>
      <c r="S3278" s="13"/>
      <c r="T3278" s="13"/>
      <c r="U3278" s="13"/>
      <c r="V3278" s="13"/>
      <c r="W3278" s="13"/>
    </row>
    <row r="3279" spans="1:23" x14ac:dyDescent="0.2">
      <c r="A3279"/>
      <c r="B3279"/>
      <c r="C3279"/>
      <c r="D3279"/>
      <c r="E3279"/>
      <c r="F3279"/>
      <c r="G3279"/>
      <c r="H3279"/>
      <c r="I3279"/>
      <c r="J3279"/>
      <c r="K3279" s="13" t="s">
        <v>255</v>
      </c>
      <c r="L3279" s="13" t="s">
        <v>389</v>
      </c>
      <c r="M3279" s="13" t="s">
        <v>388</v>
      </c>
      <c r="N3279" s="15">
        <v>0</v>
      </c>
      <c r="O3279" s="16">
        <v>0</v>
      </c>
      <c r="P3279" s="17">
        <v>450.82785438634073</v>
      </c>
      <c r="Q3279" s="17">
        <v>0</v>
      </c>
      <c r="R3279" s="13"/>
      <c r="S3279" s="13"/>
      <c r="T3279" s="13"/>
      <c r="U3279" s="13"/>
      <c r="V3279" s="13"/>
      <c r="W3279" s="13"/>
    </row>
    <row r="3280" spans="1:23" x14ac:dyDescent="0.2">
      <c r="A3280"/>
      <c r="B3280"/>
      <c r="C3280"/>
      <c r="D3280"/>
      <c r="E3280"/>
      <c r="F3280"/>
      <c r="G3280"/>
      <c r="H3280"/>
      <c r="I3280"/>
      <c r="J3280"/>
      <c r="K3280" s="13" t="s">
        <v>255</v>
      </c>
      <c r="L3280" s="13" t="s">
        <v>391</v>
      </c>
      <c r="M3280" s="13" t="s">
        <v>358</v>
      </c>
      <c r="N3280" s="15">
        <v>0</v>
      </c>
      <c r="O3280" s="16">
        <v>0</v>
      </c>
      <c r="P3280" s="17">
        <v>229.48685000384978</v>
      </c>
      <c r="Q3280" s="17">
        <v>0</v>
      </c>
      <c r="R3280" s="13"/>
      <c r="S3280" s="13"/>
      <c r="T3280" s="13"/>
      <c r="U3280" s="13"/>
      <c r="V3280" s="13"/>
      <c r="W3280" s="13"/>
    </row>
    <row r="3281" spans="1:23" x14ac:dyDescent="0.2">
      <c r="A3281"/>
      <c r="B3281"/>
      <c r="C3281"/>
      <c r="D3281"/>
      <c r="E3281"/>
      <c r="F3281"/>
      <c r="G3281"/>
      <c r="H3281"/>
      <c r="I3281"/>
      <c r="J3281"/>
      <c r="K3281" s="13" t="s">
        <v>255</v>
      </c>
      <c r="L3281" s="13" t="s">
        <v>436</v>
      </c>
      <c r="M3281" s="13" t="s">
        <v>487</v>
      </c>
      <c r="N3281" s="15">
        <v>0</v>
      </c>
      <c r="O3281" s="16">
        <v>0</v>
      </c>
      <c r="P3281" s="17">
        <v>60.497050001444457</v>
      </c>
      <c r="Q3281" s="17">
        <v>0</v>
      </c>
      <c r="R3281" s="13"/>
      <c r="S3281" s="13"/>
      <c r="T3281" s="13"/>
      <c r="U3281" s="13"/>
      <c r="V3281" s="13"/>
      <c r="W3281" s="13"/>
    </row>
    <row r="3282" spans="1:23" x14ac:dyDescent="0.2">
      <c r="A3282"/>
      <c r="B3282"/>
      <c r="C3282"/>
      <c r="D3282"/>
      <c r="E3282"/>
      <c r="F3282"/>
      <c r="G3282"/>
      <c r="H3282"/>
      <c r="I3282"/>
      <c r="J3282"/>
      <c r="K3282" s="13" t="s">
        <v>255</v>
      </c>
      <c r="L3282" s="13" t="s">
        <v>486</v>
      </c>
      <c r="M3282" s="13" t="s">
        <v>439</v>
      </c>
      <c r="N3282" s="15">
        <v>0</v>
      </c>
      <c r="O3282" s="16">
        <v>0</v>
      </c>
      <c r="P3282" s="17">
        <v>583.95150001726961</v>
      </c>
      <c r="Q3282" s="17">
        <v>0</v>
      </c>
      <c r="R3282" s="13"/>
      <c r="S3282" s="13"/>
      <c r="T3282" s="13"/>
      <c r="U3282" s="13"/>
      <c r="V3282" s="13"/>
      <c r="W3282" s="13"/>
    </row>
    <row r="3283" spans="1:23" x14ac:dyDescent="0.2">
      <c r="A3283"/>
      <c r="B3283"/>
      <c r="C3283"/>
      <c r="D3283"/>
      <c r="E3283"/>
      <c r="F3283"/>
      <c r="G3283"/>
      <c r="H3283"/>
      <c r="I3283"/>
      <c r="J3283"/>
      <c r="K3283" s="13" t="s">
        <v>255</v>
      </c>
      <c r="L3283" s="13" t="s">
        <v>519</v>
      </c>
      <c r="M3283" s="13" t="s">
        <v>478</v>
      </c>
      <c r="N3283" s="15">
        <v>0</v>
      </c>
      <c r="O3283" s="16">
        <v>0</v>
      </c>
      <c r="P3283" s="17">
        <v>70.554549998382726</v>
      </c>
      <c r="Q3283" s="17">
        <v>0</v>
      </c>
      <c r="R3283" s="13"/>
      <c r="S3283" s="13"/>
      <c r="T3283" s="13"/>
      <c r="U3283" s="13"/>
      <c r="V3283" s="13"/>
      <c r="W3283" s="13"/>
    </row>
    <row r="3284" spans="1:23" x14ac:dyDescent="0.2">
      <c r="A3284"/>
      <c r="B3284"/>
      <c r="C3284"/>
      <c r="D3284"/>
      <c r="E3284"/>
      <c r="F3284"/>
      <c r="G3284"/>
      <c r="H3284"/>
      <c r="I3284"/>
      <c r="J3284"/>
      <c r="K3284" s="13" t="s">
        <v>255</v>
      </c>
      <c r="L3284" s="13" t="s">
        <v>512</v>
      </c>
      <c r="M3284" s="13" t="s">
        <v>466</v>
      </c>
      <c r="N3284" s="15">
        <v>0</v>
      </c>
      <c r="O3284" s="16">
        <v>0</v>
      </c>
      <c r="P3284" s="17">
        <v>151.14730000635126</v>
      </c>
      <c r="Q3284" s="17">
        <v>0</v>
      </c>
      <c r="R3284" s="13"/>
      <c r="S3284" s="13"/>
      <c r="T3284" s="13"/>
      <c r="U3284" s="13"/>
      <c r="V3284" s="13"/>
      <c r="W3284" s="13"/>
    </row>
    <row r="3285" spans="1:23" x14ac:dyDescent="0.2">
      <c r="A3285"/>
      <c r="B3285"/>
      <c r="C3285"/>
      <c r="D3285"/>
      <c r="E3285"/>
      <c r="F3285"/>
      <c r="G3285"/>
      <c r="H3285"/>
      <c r="I3285"/>
      <c r="J3285"/>
      <c r="K3285" s="13" t="s">
        <v>255</v>
      </c>
      <c r="L3285" s="13" t="s">
        <v>445</v>
      </c>
      <c r="M3285" s="13" t="s">
        <v>365</v>
      </c>
      <c r="N3285" s="15">
        <v>0</v>
      </c>
      <c r="O3285" s="16">
        <v>0</v>
      </c>
      <c r="P3285" s="17">
        <v>15.79869999803307</v>
      </c>
      <c r="Q3285" s="17">
        <v>0</v>
      </c>
      <c r="R3285" s="13"/>
      <c r="S3285" s="13"/>
      <c r="T3285" s="13"/>
      <c r="U3285" s="13"/>
      <c r="V3285" s="13"/>
      <c r="W3285" s="13"/>
    </row>
    <row r="3286" spans="1:23" x14ac:dyDescent="0.2">
      <c r="A3286"/>
      <c r="B3286"/>
      <c r="C3286"/>
      <c r="D3286"/>
      <c r="E3286"/>
      <c r="F3286"/>
      <c r="G3286"/>
      <c r="H3286"/>
      <c r="I3286"/>
      <c r="J3286"/>
      <c r="K3286" s="13" t="s">
        <v>255</v>
      </c>
      <c r="L3286" s="13" t="s">
        <v>440</v>
      </c>
      <c r="M3286" s="13" t="s">
        <v>441</v>
      </c>
      <c r="N3286" s="15">
        <v>3</v>
      </c>
      <c r="O3286" s="16">
        <v>0</v>
      </c>
      <c r="P3286" s="17">
        <v>0</v>
      </c>
      <c r="Q3286" s="17">
        <v>0</v>
      </c>
      <c r="R3286" s="13"/>
      <c r="S3286" s="13"/>
      <c r="T3286" s="13"/>
      <c r="U3286" s="13"/>
      <c r="V3286" s="13"/>
      <c r="W3286" s="13"/>
    </row>
    <row r="3287" spans="1:23" x14ac:dyDescent="0.2">
      <c r="A3287"/>
      <c r="B3287"/>
      <c r="C3287"/>
      <c r="D3287"/>
      <c r="E3287"/>
      <c r="F3287"/>
      <c r="G3287"/>
      <c r="H3287"/>
      <c r="I3287"/>
      <c r="J3287"/>
      <c r="K3287" s="13" t="s">
        <v>255</v>
      </c>
      <c r="L3287" s="13" t="s">
        <v>395</v>
      </c>
      <c r="M3287" s="13" t="s">
        <v>602</v>
      </c>
      <c r="N3287" s="15">
        <v>3</v>
      </c>
      <c r="O3287" s="16">
        <v>0</v>
      </c>
      <c r="P3287" s="17">
        <v>0</v>
      </c>
      <c r="Q3287" s="17">
        <v>0</v>
      </c>
      <c r="R3287" s="13"/>
      <c r="S3287" s="13"/>
      <c r="T3287" s="13"/>
      <c r="U3287" s="13"/>
      <c r="V3287" s="13"/>
      <c r="W3287" s="13"/>
    </row>
    <row r="3288" spans="1:23" x14ac:dyDescent="0.2">
      <c r="A3288"/>
      <c r="B3288"/>
      <c r="C3288"/>
      <c r="D3288"/>
      <c r="E3288"/>
      <c r="F3288"/>
      <c r="G3288"/>
      <c r="H3288"/>
      <c r="I3288"/>
      <c r="J3288"/>
      <c r="K3288" s="13" t="s">
        <v>255</v>
      </c>
      <c r="L3288" s="13" t="s">
        <v>401</v>
      </c>
      <c r="M3288" s="13" t="s">
        <v>360</v>
      </c>
      <c r="N3288" s="15">
        <v>0</v>
      </c>
      <c r="O3288" s="16">
        <v>0</v>
      </c>
      <c r="P3288" s="17">
        <v>3.6641500003540663</v>
      </c>
      <c r="Q3288" s="17">
        <v>0</v>
      </c>
      <c r="R3288" s="13"/>
      <c r="S3288" s="13"/>
      <c r="T3288" s="13"/>
      <c r="U3288" s="13"/>
      <c r="V3288" s="13"/>
      <c r="W3288" s="13"/>
    </row>
    <row r="3289" spans="1:23" x14ac:dyDescent="0.2">
      <c r="A3289"/>
      <c r="B3289"/>
      <c r="C3289"/>
      <c r="D3289"/>
      <c r="E3289"/>
      <c r="F3289"/>
      <c r="G3289"/>
      <c r="H3289"/>
      <c r="I3289"/>
      <c r="J3289"/>
      <c r="K3289" s="13" t="s">
        <v>255</v>
      </c>
      <c r="L3289" s="13" t="s">
        <v>402</v>
      </c>
      <c r="M3289" s="13" t="s">
        <v>403</v>
      </c>
      <c r="N3289" s="15">
        <v>0</v>
      </c>
      <c r="O3289" s="16">
        <v>0</v>
      </c>
      <c r="P3289" s="17">
        <v>394.7542999637115</v>
      </c>
      <c r="Q3289" s="17">
        <v>0</v>
      </c>
      <c r="R3289" s="13"/>
      <c r="S3289" s="13"/>
      <c r="T3289" s="13"/>
      <c r="U3289" s="13"/>
      <c r="V3289" s="13"/>
      <c r="W3289" s="13"/>
    </row>
    <row r="3290" spans="1:23" x14ac:dyDescent="0.2">
      <c r="A3290"/>
      <c r="B3290"/>
      <c r="C3290"/>
      <c r="D3290"/>
      <c r="E3290"/>
      <c r="F3290"/>
      <c r="G3290"/>
      <c r="H3290"/>
      <c r="I3290"/>
      <c r="J3290"/>
      <c r="K3290" s="13" t="s">
        <v>255</v>
      </c>
      <c r="L3290" s="13" t="s">
        <v>404</v>
      </c>
      <c r="M3290" s="13" t="s">
        <v>405</v>
      </c>
      <c r="N3290" s="15">
        <v>0</v>
      </c>
      <c r="O3290" s="16">
        <v>0</v>
      </c>
      <c r="P3290" s="17">
        <v>18.410599996218199</v>
      </c>
      <c r="Q3290" s="17">
        <v>57.037543766621809</v>
      </c>
      <c r="R3290" s="13"/>
      <c r="S3290" s="13"/>
      <c r="T3290" s="13"/>
      <c r="U3290" s="13"/>
      <c r="V3290" s="13"/>
      <c r="W3290" s="13"/>
    </row>
    <row r="3291" spans="1:23" x14ac:dyDescent="0.2">
      <c r="A3291"/>
      <c r="B3291"/>
      <c r="C3291"/>
      <c r="D3291"/>
      <c r="E3291"/>
      <c r="F3291"/>
      <c r="G3291"/>
      <c r="H3291"/>
      <c r="I3291"/>
      <c r="J3291"/>
      <c r="K3291" s="13" t="s">
        <v>255</v>
      </c>
      <c r="L3291" s="13" t="s">
        <v>381</v>
      </c>
      <c r="M3291" s="13" t="s">
        <v>382</v>
      </c>
      <c r="N3291" s="15">
        <v>65</v>
      </c>
      <c r="O3291" s="16">
        <v>0</v>
      </c>
      <c r="P3291" s="17">
        <v>0</v>
      </c>
      <c r="Q3291" s="17">
        <v>0</v>
      </c>
      <c r="R3291" s="13"/>
      <c r="S3291" s="13"/>
      <c r="T3291" s="13"/>
      <c r="U3291" s="13"/>
      <c r="V3291" s="13"/>
      <c r="W3291" s="13"/>
    </row>
    <row r="3292" spans="1:23" x14ac:dyDescent="0.2">
      <c r="A3292"/>
      <c r="B3292"/>
      <c r="C3292"/>
      <c r="D3292"/>
      <c r="E3292"/>
      <c r="F3292"/>
      <c r="G3292"/>
      <c r="H3292"/>
      <c r="I3292"/>
      <c r="J3292"/>
      <c r="K3292" s="13" t="s">
        <v>255</v>
      </c>
      <c r="L3292" s="13" t="s">
        <v>409</v>
      </c>
      <c r="M3292" s="13" t="s">
        <v>410</v>
      </c>
      <c r="N3292" s="15">
        <v>2</v>
      </c>
      <c r="O3292" s="16">
        <v>0</v>
      </c>
      <c r="P3292" s="17">
        <v>0</v>
      </c>
      <c r="Q3292" s="17">
        <v>0</v>
      </c>
      <c r="R3292" s="13"/>
      <c r="S3292" s="13"/>
      <c r="T3292" s="13"/>
      <c r="U3292" s="13"/>
      <c r="V3292" s="13"/>
      <c r="W3292" s="13"/>
    </row>
    <row r="3293" spans="1:23" x14ac:dyDescent="0.2">
      <c r="A3293"/>
      <c r="B3293"/>
      <c r="C3293"/>
      <c r="D3293"/>
      <c r="E3293"/>
      <c r="F3293"/>
      <c r="G3293"/>
      <c r="H3293"/>
      <c r="I3293"/>
      <c r="J3293"/>
      <c r="K3293" s="13" t="s">
        <v>255</v>
      </c>
      <c r="L3293" s="13" t="s">
        <v>411</v>
      </c>
      <c r="M3293" s="13" t="s">
        <v>362</v>
      </c>
      <c r="N3293" s="15">
        <v>0</v>
      </c>
      <c r="O3293" s="16">
        <v>0</v>
      </c>
      <c r="P3293" s="17">
        <v>1.7529999995818364</v>
      </c>
      <c r="Q3293" s="17">
        <v>0</v>
      </c>
      <c r="R3293" s="13"/>
      <c r="S3293" s="13"/>
      <c r="T3293" s="13"/>
      <c r="U3293" s="13"/>
      <c r="V3293" s="13"/>
      <c r="W3293" s="13"/>
    </row>
    <row r="3294" spans="1:23" x14ac:dyDescent="0.2">
      <c r="A3294"/>
      <c r="B3294"/>
      <c r="C3294"/>
      <c r="D3294"/>
      <c r="E3294"/>
      <c r="F3294"/>
      <c r="G3294"/>
      <c r="H3294"/>
      <c r="I3294"/>
      <c r="J3294"/>
      <c r="K3294" s="13" t="s">
        <v>255</v>
      </c>
      <c r="L3294" s="13" t="s">
        <v>411</v>
      </c>
      <c r="M3294" s="13" t="s">
        <v>362</v>
      </c>
      <c r="N3294" s="15">
        <v>0</v>
      </c>
      <c r="O3294" s="16">
        <v>117.96633679100027</v>
      </c>
      <c r="P3294" s="17">
        <v>0</v>
      </c>
      <c r="Q3294" s="17">
        <v>0</v>
      </c>
      <c r="R3294" s="13"/>
      <c r="S3294" s="13"/>
      <c r="T3294" s="13"/>
      <c r="U3294" s="13"/>
      <c r="V3294" s="13"/>
      <c r="W3294" s="13"/>
    </row>
    <row r="3295" spans="1:23" x14ac:dyDescent="0.2">
      <c r="A3295"/>
      <c r="B3295"/>
      <c r="C3295"/>
      <c r="D3295"/>
      <c r="E3295"/>
      <c r="F3295"/>
      <c r="G3295"/>
      <c r="H3295"/>
      <c r="I3295"/>
      <c r="J3295"/>
      <c r="K3295" s="13" t="s">
        <v>255</v>
      </c>
      <c r="L3295" s="13" t="s">
        <v>606</v>
      </c>
      <c r="M3295" s="13" t="s">
        <v>430</v>
      </c>
      <c r="N3295" s="15">
        <v>1</v>
      </c>
      <c r="O3295" s="16">
        <v>0</v>
      </c>
      <c r="P3295" s="17">
        <v>0</v>
      </c>
      <c r="Q3295" s="17">
        <v>0</v>
      </c>
      <c r="R3295" s="13"/>
      <c r="S3295" s="13"/>
      <c r="T3295" s="13"/>
      <c r="U3295" s="13"/>
      <c r="V3295" s="13"/>
      <c r="W3295" s="13"/>
    </row>
    <row r="3296" spans="1:23" x14ac:dyDescent="0.2">
      <c r="A3296"/>
      <c r="B3296"/>
      <c r="C3296"/>
      <c r="D3296"/>
      <c r="E3296"/>
      <c r="F3296"/>
      <c r="G3296"/>
      <c r="H3296"/>
      <c r="I3296"/>
      <c r="J3296"/>
      <c r="K3296" s="13" t="s">
        <v>255</v>
      </c>
      <c r="L3296" s="13" t="s">
        <v>623</v>
      </c>
      <c r="M3296" s="13" t="s">
        <v>530</v>
      </c>
      <c r="N3296" s="15">
        <v>0</v>
      </c>
      <c r="O3296" s="16">
        <v>47.140886739083086</v>
      </c>
      <c r="P3296" s="17">
        <v>0</v>
      </c>
      <c r="Q3296" s="17">
        <v>0</v>
      </c>
      <c r="R3296" s="13"/>
      <c r="S3296" s="13"/>
      <c r="T3296" s="13"/>
      <c r="U3296" s="13"/>
      <c r="V3296" s="13"/>
      <c r="W3296" s="13"/>
    </row>
    <row r="3297" spans="1:23" x14ac:dyDescent="0.2">
      <c r="A3297"/>
      <c r="B3297"/>
      <c r="C3297"/>
      <c r="D3297"/>
      <c r="E3297"/>
      <c r="F3297"/>
      <c r="G3297"/>
      <c r="H3297"/>
      <c r="I3297"/>
      <c r="J3297"/>
      <c r="K3297" s="13" t="s">
        <v>255</v>
      </c>
      <c r="L3297" s="13" t="s">
        <v>607</v>
      </c>
      <c r="M3297" s="13" t="s">
        <v>431</v>
      </c>
      <c r="N3297" s="15">
        <v>3</v>
      </c>
      <c r="O3297" s="16">
        <v>0</v>
      </c>
      <c r="P3297" s="17">
        <v>0</v>
      </c>
      <c r="Q3297" s="17">
        <v>0</v>
      </c>
      <c r="R3297" s="13"/>
      <c r="S3297" s="13"/>
      <c r="T3297" s="13"/>
      <c r="U3297" s="13"/>
      <c r="V3297" s="13"/>
      <c r="W3297" s="13"/>
    </row>
    <row r="3298" spans="1:23" x14ac:dyDescent="0.2">
      <c r="A3298"/>
      <c r="B3298"/>
      <c r="C3298"/>
      <c r="D3298"/>
      <c r="E3298"/>
      <c r="F3298"/>
      <c r="G3298"/>
      <c r="H3298"/>
      <c r="I3298"/>
      <c r="J3298"/>
      <c r="K3298" s="13" t="s">
        <v>255</v>
      </c>
      <c r="L3298" s="13" t="s">
        <v>615</v>
      </c>
      <c r="M3298" s="13" t="s">
        <v>449</v>
      </c>
      <c r="N3298" s="15">
        <v>1</v>
      </c>
      <c r="O3298" s="16">
        <v>0</v>
      </c>
      <c r="P3298" s="17">
        <v>0</v>
      </c>
      <c r="Q3298" s="17">
        <v>0</v>
      </c>
      <c r="R3298" s="13"/>
      <c r="S3298" s="13"/>
      <c r="T3298" s="13"/>
      <c r="U3298" s="13"/>
      <c r="V3298" s="13"/>
      <c r="W3298" s="13"/>
    </row>
    <row r="3299" spans="1:23" x14ac:dyDescent="0.2">
      <c r="A3299"/>
      <c r="B3299"/>
      <c r="C3299"/>
      <c r="D3299"/>
      <c r="E3299"/>
      <c r="F3299"/>
      <c r="G3299"/>
      <c r="H3299"/>
      <c r="I3299"/>
      <c r="J3299"/>
      <c r="K3299" s="13" t="s">
        <v>255</v>
      </c>
      <c r="L3299" s="13" t="s">
        <v>421</v>
      </c>
      <c r="M3299" s="13" t="s">
        <v>443</v>
      </c>
      <c r="N3299" s="15">
        <v>1</v>
      </c>
      <c r="O3299" s="16">
        <v>0</v>
      </c>
      <c r="P3299" s="17">
        <v>0</v>
      </c>
      <c r="Q3299" s="17">
        <v>0</v>
      </c>
      <c r="R3299" s="13"/>
      <c r="S3299" s="13"/>
      <c r="T3299" s="13"/>
      <c r="U3299" s="13"/>
      <c r="V3299" s="13"/>
      <c r="W3299" s="13"/>
    </row>
    <row r="3300" spans="1:23" x14ac:dyDescent="0.2">
      <c r="A3300"/>
      <c r="B3300"/>
      <c r="C3300"/>
      <c r="D3300"/>
      <c r="E3300"/>
      <c r="F3300"/>
      <c r="G3300"/>
      <c r="H3300"/>
      <c r="I3300"/>
      <c r="J3300"/>
      <c r="K3300" s="13" t="s">
        <v>255</v>
      </c>
      <c r="L3300" s="13" t="s">
        <v>383</v>
      </c>
      <c r="M3300" s="13" t="s">
        <v>420</v>
      </c>
      <c r="N3300" s="15">
        <v>8</v>
      </c>
      <c r="O3300" s="16">
        <v>0</v>
      </c>
      <c r="P3300" s="17">
        <v>0</v>
      </c>
      <c r="Q3300" s="17">
        <v>0</v>
      </c>
      <c r="R3300" s="13"/>
      <c r="S3300" s="13"/>
      <c r="T3300" s="13"/>
      <c r="U3300" s="13"/>
      <c r="V3300" s="13"/>
      <c r="W3300" s="13"/>
    </row>
    <row r="3301" spans="1:23" x14ac:dyDescent="0.2">
      <c r="A3301"/>
      <c r="B3301"/>
      <c r="C3301"/>
      <c r="D3301"/>
      <c r="E3301"/>
      <c r="F3301"/>
      <c r="G3301"/>
      <c r="H3301"/>
      <c r="I3301"/>
      <c r="J3301"/>
      <c r="K3301" s="13" t="s">
        <v>255</v>
      </c>
      <c r="L3301" s="13" t="s">
        <v>528</v>
      </c>
      <c r="M3301" s="13" t="s">
        <v>384</v>
      </c>
      <c r="N3301" s="15">
        <v>0</v>
      </c>
      <c r="O3301" s="16">
        <v>102.72444970347135</v>
      </c>
      <c r="P3301" s="17">
        <v>0</v>
      </c>
      <c r="Q3301" s="17">
        <v>0</v>
      </c>
      <c r="R3301" s="13"/>
      <c r="S3301" s="13"/>
      <c r="T3301" s="13"/>
      <c r="U3301" s="13"/>
      <c r="V3301" s="13"/>
      <c r="W3301" s="13"/>
    </row>
    <row r="3302" spans="1:23" x14ac:dyDescent="0.2">
      <c r="A3302"/>
      <c r="B3302"/>
      <c r="C3302"/>
      <c r="D3302"/>
      <c r="E3302"/>
      <c r="F3302"/>
      <c r="G3302"/>
      <c r="H3302"/>
      <c r="I3302"/>
      <c r="J3302"/>
      <c r="K3302" s="13" t="s">
        <v>255</v>
      </c>
      <c r="L3302" s="13" t="s">
        <v>613</v>
      </c>
      <c r="M3302" s="13" t="s">
        <v>444</v>
      </c>
      <c r="N3302" s="15">
        <v>0</v>
      </c>
      <c r="O3302" s="16">
        <v>65.827260667766225</v>
      </c>
      <c r="P3302" s="17">
        <v>0</v>
      </c>
      <c r="Q3302" s="17">
        <v>0</v>
      </c>
      <c r="R3302" s="13"/>
      <c r="S3302" s="13"/>
      <c r="T3302" s="13"/>
      <c r="U3302" s="13"/>
      <c r="V3302" s="13"/>
      <c r="W3302" s="13"/>
    </row>
    <row r="3303" spans="1:23" x14ac:dyDescent="0.2">
      <c r="A3303"/>
      <c r="B3303"/>
      <c r="C3303"/>
      <c r="D3303"/>
      <c r="E3303"/>
      <c r="F3303"/>
      <c r="G3303"/>
      <c r="H3303"/>
      <c r="I3303"/>
      <c r="J3303"/>
      <c r="K3303" s="13" t="s">
        <v>255</v>
      </c>
      <c r="L3303" s="13" t="s">
        <v>611</v>
      </c>
      <c r="M3303" s="13" t="s">
        <v>423</v>
      </c>
      <c r="N3303" s="15">
        <v>0</v>
      </c>
      <c r="O3303" s="16">
        <v>18.700387156094667</v>
      </c>
      <c r="P3303" s="17">
        <v>0</v>
      </c>
      <c r="Q3303" s="17">
        <v>0</v>
      </c>
      <c r="R3303" s="13"/>
      <c r="S3303" s="13"/>
      <c r="T3303" s="13"/>
      <c r="U3303" s="13"/>
      <c r="V3303" s="13"/>
      <c r="W3303" s="13"/>
    </row>
    <row r="3304" spans="1:23" x14ac:dyDescent="0.2">
      <c r="A3304"/>
      <c r="B3304"/>
      <c r="C3304"/>
      <c r="D3304"/>
      <c r="E3304"/>
      <c r="F3304"/>
      <c r="G3304"/>
      <c r="H3304"/>
      <c r="I3304"/>
      <c r="J3304"/>
      <c r="K3304" s="13" t="s">
        <v>255</v>
      </c>
      <c r="L3304" s="13" t="s">
        <v>446</v>
      </c>
      <c r="M3304" s="13" t="s">
        <v>371</v>
      </c>
      <c r="N3304" s="15">
        <v>5</v>
      </c>
      <c r="O3304" s="16">
        <v>0</v>
      </c>
      <c r="P3304" s="17">
        <v>0</v>
      </c>
      <c r="Q3304" s="17">
        <v>0</v>
      </c>
      <c r="R3304" s="13"/>
      <c r="S3304" s="13"/>
      <c r="T3304" s="13"/>
      <c r="U3304" s="13"/>
      <c r="V3304" s="13"/>
      <c r="W3304" s="13"/>
    </row>
    <row r="3305" spans="1:23" x14ac:dyDescent="0.2">
      <c r="A3305"/>
      <c r="B3305"/>
      <c r="C3305"/>
      <c r="D3305"/>
      <c r="E3305"/>
      <c r="F3305"/>
      <c r="G3305"/>
      <c r="H3305"/>
      <c r="I3305"/>
      <c r="J3305"/>
      <c r="K3305" s="13" t="s">
        <v>255</v>
      </c>
      <c r="L3305" s="13" t="s">
        <v>424</v>
      </c>
      <c r="M3305" s="13" t="s">
        <v>468</v>
      </c>
      <c r="N3305" s="15">
        <v>0</v>
      </c>
      <c r="O3305" s="16">
        <v>0</v>
      </c>
      <c r="P3305" s="17">
        <v>30.25040000012531</v>
      </c>
      <c r="Q3305" s="17">
        <v>0</v>
      </c>
      <c r="R3305" s="13"/>
      <c r="S3305" s="13"/>
      <c r="T3305" s="13"/>
      <c r="U3305" s="13"/>
      <c r="V3305" s="13"/>
      <c r="W3305" s="13"/>
    </row>
    <row r="3306" spans="1:23" x14ac:dyDescent="0.2">
      <c r="A3306"/>
      <c r="B3306"/>
      <c r="C3306"/>
      <c r="D3306"/>
      <c r="E3306"/>
      <c r="F3306"/>
      <c r="G3306"/>
      <c r="H3306"/>
      <c r="I3306"/>
      <c r="J3306"/>
      <c r="K3306" s="13" t="s">
        <v>257</v>
      </c>
      <c r="L3306" s="13" t="s">
        <v>435</v>
      </c>
      <c r="M3306" s="13" t="s">
        <v>364</v>
      </c>
      <c r="N3306" s="15">
        <v>0</v>
      </c>
      <c r="O3306" s="16">
        <v>0</v>
      </c>
      <c r="P3306" s="17">
        <v>23.282899997668945</v>
      </c>
      <c r="Q3306" s="17">
        <v>0</v>
      </c>
      <c r="R3306" s="13"/>
      <c r="S3306" s="13"/>
      <c r="T3306" s="13"/>
      <c r="U3306" s="13"/>
      <c r="V3306" s="13"/>
      <c r="W3306" s="13"/>
    </row>
    <row r="3307" spans="1:23" x14ac:dyDescent="0.2">
      <c r="A3307"/>
      <c r="B3307"/>
      <c r="C3307"/>
      <c r="D3307"/>
      <c r="E3307"/>
      <c r="F3307"/>
      <c r="G3307"/>
      <c r="H3307"/>
      <c r="I3307"/>
      <c r="J3307"/>
      <c r="K3307" s="13" t="s">
        <v>257</v>
      </c>
      <c r="L3307" s="13" t="s">
        <v>635</v>
      </c>
      <c r="M3307" s="13" t="s">
        <v>507</v>
      </c>
      <c r="N3307" s="15">
        <v>0</v>
      </c>
      <c r="O3307" s="16">
        <v>0</v>
      </c>
      <c r="P3307" s="17">
        <v>4.203100000268873</v>
      </c>
      <c r="Q3307" s="17">
        <v>0</v>
      </c>
      <c r="R3307" s="13"/>
      <c r="S3307" s="13"/>
      <c r="T3307" s="13"/>
      <c r="U3307" s="13"/>
      <c r="V3307" s="13"/>
      <c r="W3307" s="13"/>
    </row>
    <row r="3308" spans="1:23" x14ac:dyDescent="0.2">
      <c r="A3308"/>
      <c r="B3308"/>
      <c r="C3308"/>
      <c r="D3308"/>
      <c r="E3308"/>
      <c r="F3308"/>
      <c r="G3308"/>
      <c r="H3308"/>
      <c r="I3308"/>
      <c r="J3308"/>
      <c r="K3308" s="13" t="s">
        <v>257</v>
      </c>
      <c r="L3308" s="13" t="s">
        <v>387</v>
      </c>
      <c r="M3308" s="13" t="s">
        <v>386</v>
      </c>
      <c r="N3308" s="15">
        <v>0</v>
      </c>
      <c r="O3308" s="16">
        <v>0</v>
      </c>
      <c r="P3308" s="17">
        <v>376.50629999838839</v>
      </c>
      <c r="Q3308" s="17">
        <v>0</v>
      </c>
      <c r="R3308" s="13"/>
      <c r="S3308" s="13"/>
      <c r="T3308" s="13"/>
      <c r="U3308" s="13"/>
      <c r="V3308" s="13"/>
      <c r="W3308" s="13"/>
    </row>
    <row r="3309" spans="1:23" x14ac:dyDescent="0.2">
      <c r="A3309"/>
      <c r="B3309"/>
      <c r="C3309"/>
      <c r="D3309"/>
      <c r="E3309"/>
      <c r="F3309"/>
      <c r="G3309"/>
      <c r="H3309"/>
      <c r="I3309"/>
      <c r="J3309"/>
      <c r="K3309" s="13" t="s">
        <v>257</v>
      </c>
      <c r="L3309" s="13" t="s">
        <v>389</v>
      </c>
      <c r="M3309" s="13" t="s">
        <v>388</v>
      </c>
      <c r="N3309" s="15">
        <v>0</v>
      </c>
      <c r="O3309" s="16">
        <v>0</v>
      </c>
      <c r="P3309" s="17">
        <v>535.25199999945676</v>
      </c>
      <c r="Q3309" s="17">
        <v>0</v>
      </c>
      <c r="R3309" s="13"/>
      <c r="S3309" s="13"/>
      <c r="T3309" s="13"/>
      <c r="U3309" s="13"/>
      <c r="V3309" s="13"/>
      <c r="W3309" s="13"/>
    </row>
    <row r="3310" spans="1:23" x14ac:dyDescent="0.2">
      <c r="A3310"/>
      <c r="B3310"/>
      <c r="C3310"/>
      <c r="D3310"/>
      <c r="E3310"/>
      <c r="F3310"/>
      <c r="G3310"/>
      <c r="H3310"/>
      <c r="I3310"/>
      <c r="J3310"/>
      <c r="K3310" s="13" t="s">
        <v>257</v>
      </c>
      <c r="L3310" s="13" t="s">
        <v>436</v>
      </c>
      <c r="M3310" s="13" t="s">
        <v>487</v>
      </c>
      <c r="N3310" s="15">
        <v>0</v>
      </c>
      <c r="O3310" s="16">
        <v>0</v>
      </c>
      <c r="P3310" s="17">
        <v>14.551750001100476</v>
      </c>
      <c r="Q3310" s="17">
        <v>0</v>
      </c>
      <c r="R3310" s="13"/>
      <c r="S3310" s="13"/>
      <c r="T3310" s="13"/>
      <c r="U3310" s="13"/>
      <c r="V3310" s="13"/>
      <c r="W3310" s="13"/>
    </row>
    <row r="3311" spans="1:23" x14ac:dyDescent="0.2">
      <c r="A3311"/>
      <c r="B3311"/>
      <c r="C3311"/>
      <c r="D3311"/>
      <c r="E3311"/>
      <c r="F3311"/>
      <c r="G3311"/>
      <c r="H3311"/>
      <c r="I3311"/>
      <c r="J3311"/>
      <c r="K3311" s="13" t="s">
        <v>257</v>
      </c>
      <c r="L3311" s="13" t="s">
        <v>512</v>
      </c>
      <c r="M3311" s="13" t="s">
        <v>466</v>
      </c>
      <c r="N3311" s="15">
        <v>0</v>
      </c>
      <c r="O3311" s="16">
        <v>0</v>
      </c>
      <c r="P3311" s="17">
        <v>299.23114998660213</v>
      </c>
      <c r="Q3311" s="17">
        <v>0</v>
      </c>
      <c r="R3311" s="13"/>
      <c r="S3311" s="13"/>
      <c r="T3311" s="13"/>
      <c r="U3311" s="13"/>
      <c r="V3311" s="13"/>
      <c r="W3311" s="13"/>
    </row>
    <row r="3312" spans="1:23" x14ac:dyDescent="0.2">
      <c r="A3312"/>
      <c r="B3312"/>
      <c r="C3312"/>
      <c r="D3312"/>
      <c r="E3312"/>
      <c r="F3312"/>
      <c r="G3312"/>
      <c r="H3312"/>
      <c r="I3312"/>
      <c r="J3312"/>
      <c r="K3312" s="13" t="s">
        <v>257</v>
      </c>
      <c r="L3312" s="13" t="s">
        <v>532</v>
      </c>
      <c r="M3312" s="13" t="s">
        <v>620</v>
      </c>
      <c r="N3312" s="15">
        <v>0</v>
      </c>
      <c r="O3312" s="16">
        <v>0</v>
      </c>
      <c r="P3312" s="17">
        <v>45.709599997920655</v>
      </c>
      <c r="Q3312" s="17">
        <v>0</v>
      </c>
      <c r="R3312" s="13"/>
      <c r="S3312" s="13"/>
      <c r="T3312" s="13"/>
      <c r="U3312" s="13"/>
      <c r="V3312" s="13"/>
      <c r="W3312" s="13"/>
    </row>
    <row r="3313" spans="1:23" x14ac:dyDescent="0.2">
      <c r="A3313"/>
      <c r="B3313"/>
      <c r="C3313"/>
      <c r="D3313"/>
      <c r="E3313"/>
      <c r="F3313"/>
      <c r="G3313"/>
      <c r="H3313"/>
      <c r="I3313"/>
      <c r="J3313"/>
      <c r="K3313" s="13" t="s">
        <v>257</v>
      </c>
      <c r="L3313" s="13" t="s">
        <v>440</v>
      </c>
      <c r="M3313" s="13" t="s">
        <v>441</v>
      </c>
      <c r="N3313" s="15">
        <v>2</v>
      </c>
      <c r="O3313" s="16">
        <v>0</v>
      </c>
      <c r="P3313" s="17">
        <v>0</v>
      </c>
      <c r="Q3313" s="17">
        <v>0</v>
      </c>
      <c r="R3313" s="13"/>
      <c r="S3313" s="13"/>
      <c r="T3313" s="13"/>
      <c r="U3313" s="13"/>
      <c r="V3313" s="13"/>
      <c r="W3313" s="13"/>
    </row>
    <row r="3314" spans="1:23" x14ac:dyDescent="0.2">
      <c r="A3314"/>
      <c r="B3314"/>
      <c r="C3314"/>
      <c r="D3314"/>
      <c r="E3314"/>
      <c r="F3314"/>
      <c r="G3314"/>
      <c r="H3314"/>
      <c r="I3314"/>
      <c r="J3314"/>
      <c r="K3314" s="13" t="s">
        <v>257</v>
      </c>
      <c r="L3314" s="13" t="s">
        <v>401</v>
      </c>
      <c r="M3314" s="13" t="s">
        <v>360</v>
      </c>
      <c r="N3314" s="15">
        <v>0</v>
      </c>
      <c r="O3314" s="16">
        <v>0</v>
      </c>
      <c r="P3314" s="17">
        <v>161.00554997721383</v>
      </c>
      <c r="Q3314" s="17">
        <v>0</v>
      </c>
      <c r="R3314" s="13"/>
      <c r="S3314" s="13"/>
      <c r="T3314" s="13"/>
      <c r="U3314" s="13"/>
      <c r="V3314" s="13"/>
      <c r="W3314" s="13"/>
    </row>
    <row r="3315" spans="1:23" x14ac:dyDescent="0.2">
      <c r="A3315"/>
      <c r="B3315"/>
      <c r="C3315"/>
      <c r="D3315"/>
      <c r="E3315"/>
      <c r="F3315"/>
      <c r="G3315"/>
      <c r="H3315"/>
      <c r="I3315"/>
      <c r="J3315"/>
      <c r="K3315" s="13" t="s">
        <v>257</v>
      </c>
      <c r="L3315" s="13" t="s">
        <v>402</v>
      </c>
      <c r="M3315" s="13" t="s">
        <v>403</v>
      </c>
      <c r="N3315" s="15">
        <v>0</v>
      </c>
      <c r="O3315" s="16">
        <v>0</v>
      </c>
      <c r="P3315" s="17">
        <v>1116.5226552091146</v>
      </c>
      <c r="Q3315" s="17">
        <v>0</v>
      </c>
      <c r="R3315" s="13"/>
      <c r="S3315" s="13"/>
      <c r="T3315" s="13"/>
      <c r="U3315" s="13"/>
      <c r="V3315" s="13"/>
      <c r="W3315" s="13"/>
    </row>
    <row r="3316" spans="1:23" x14ac:dyDescent="0.2">
      <c r="A3316"/>
      <c r="B3316"/>
      <c r="C3316"/>
      <c r="D3316"/>
      <c r="E3316"/>
      <c r="F3316"/>
      <c r="G3316"/>
      <c r="H3316"/>
      <c r="I3316"/>
      <c r="J3316"/>
      <c r="K3316" s="13" t="s">
        <v>257</v>
      </c>
      <c r="L3316" s="13" t="s">
        <v>456</v>
      </c>
      <c r="M3316" s="13" t="s">
        <v>457</v>
      </c>
      <c r="N3316" s="15">
        <v>0</v>
      </c>
      <c r="O3316" s="16">
        <v>0</v>
      </c>
      <c r="P3316" s="17">
        <v>27.243400002056994</v>
      </c>
      <c r="Q3316" s="17">
        <v>0</v>
      </c>
      <c r="R3316" s="13"/>
      <c r="S3316" s="13"/>
      <c r="T3316" s="13"/>
      <c r="U3316" s="13"/>
      <c r="V3316" s="13"/>
      <c r="W3316" s="13"/>
    </row>
    <row r="3317" spans="1:23" x14ac:dyDescent="0.2">
      <c r="A3317"/>
      <c r="B3317"/>
      <c r="C3317"/>
      <c r="D3317"/>
      <c r="E3317"/>
      <c r="F3317"/>
      <c r="G3317"/>
      <c r="H3317"/>
      <c r="I3317"/>
      <c r="J3317"/>
      <c r="K3317" s="13" t="s">
        <v>257</v>
      </c>
      <c r="L3317" s="13" t="s">
        <v>404</v>
      </c>
      <c r="M3317" s="13" t="s">
        <v>405</v>
      </c>
      <c r="N3317" s="15">
        <v>0</v>
      </c>
      <c r="O3317" s="16">
        <v>0</v>
      </c>
      <c r="P3317" s="17">
        <v>3.6751500000625619</v>
      </c>
      <c r="Q3317" s="17">
        <v>24.289347401558924</v>
      </c>
      <c r="R3317" s="13"/>
      <c r="S3317" s="13"/>
      <c r="T3317" s="13"/>
      <c r="U3317" s="13"/>
      <c r="V3317" s="13"/>
      <c r="W3317" s="13"/>
    </row>
    <row r="3318" spans="1:23" x14ac:dyDescent="0.2">
      <c r="A3318"/>
      <c r="B3318"/>
      <c r="C3318"/>
      <c r="D3318"/>
      <c r="E3318"/>
      <c r="F3318"/>
      <c r="G3318"/>
      <c r="H3318"/>
      <c r="I3318"/>
      <c r="J3318"/>
      <c r="K3318" s="13" t="s">
        <v>257</v>
      </c>
      <c r="L3318" s="13" t="s">
        <v>406</v>
      </c>
      <c r="M3318" s="13" t="s">
        <v>361</v>
      </c>
      <c r="N3318" s="15">
        <v>0</v>
      </c>
      <c r="O3318" s="16">
        <v>0</v>
      </c>
      <c r="P3318" s="17">
        <v>10.230949997705476</v>
      </c>
      <c r="Q3318" s="17">
        <v>25.315861058839275</v>
      </c>
      <c r="R3318" s="13"/>
      <c r="S3318" s="13"/>
      <c r="T3318" s="13"/>
      <c r="U3318" s="13"/>
      <c r="V3318" s="13"/>
      <c r="W3318" s="13"/>
    </row>
    <row r="3319" spans="1:23" x14ac:dyDescent="0.2">
      <c r="A3319"/>
      <c r="B3319"/>
      <c r="C3319"/>
      <c r="D3319"/>
      <c r="E3319"/>
      <c r="F3319"/>
      <c r="G3319"/>
      <c r="H3319"/>
      <c r="I3319"/>
      <c r="J3319"/>
      <c r="K3319" s="13" t="s">
        <v>257</v>
      </c>
      <c r="L3319" s="13" t="s">
        <v>381</v>
      </c>
      <c r="M3319" s="13" t="s">
        <v>382</v>
      </c>
      <c r="N3319" s="15">
        <v>43</v>
      </c>
      <c r="O3319" s="16">
        <v>0</v>
      </c>
      <c r="P3319" s="17">
        <v>0</v>
      </c>
      <c r="Q3319" s="17">
        <v>0</v>
      </c>
      <c r="R3319" s="13"/>
      <c r="S3319" s="13"/>
      <c r="T3319" s="13"/>
      <c r="U3319" s="13"/>
      <c r="V3319" s="13"/>
      <c r="W3319" s="13"/>
    </row>
    <row r="3320" spans="1:23" x14ac:dyDescent="0.2">
      <c r="A3320"/>
      <c r="B3320"/>
      <c r="C3320"/>
      <c r="D3320"/>
      <c r="E3320"/>
      <c r="F3320"/>
      <c r="G3320"/>
      <c r="H3320"/>
      <c r="I3320"/>
      <c r="J3320"/>
      <c r="K3320" s="13" t="s">
        <v>257</v>
      </c>
      <c r="L3320" s="13" t="s">
        <v>452</v>
      </c>
      <c r="M3320" s="13" t="s">
        <v>453</v>
      </c>
      <c r="N3320" s="15">
        <v>7</v>
      </c>
      <c r="O3320" s="16">
        <v>0</v>
      </c>
      <c r="P3320" s="17">
        <v>0</v>
      </c>
      <c r="Q3320" s="17">
        <v>0</v>
      </c>
      <c r="R3320" s="13"/>
      <c r="S3320" s="13"/>
      <c r="T3320" s="13"/>
      <c r="U3320" s="13"/>
      <c r="V3320" s="13"/>
      <c r="W3320" s="13"/>
    </row>
    <row r="3321" spans="1:23" x14ac:dyDescent="0.2">
      <c r="A3321"/>
      <c r="B3321"/>
      <c r="C3321"/>
      <c r="D3321"/>
      <c r="E3321"/>
      <c r="F3321"/>
      <c r="G3321"/>
      <c r="H3321"/>
      <c r="I3321"/>
      <c r="J3321"/>
      <c r="K3321" s="13" t="s">
        <v>257</v>
      </c>
      <c r="L3321" s="13" t="s">
        <v>411</v>
      </c>
      <c r="M3321" s="13" t="s">
        <v>362</v>
      </c>
      <c r="N3321" s="15">
        <v>0</v>
      </c>
      <c r="O3321" s="16">
        <v>111.08593159948636</v>
      </c>
      <c r="P3321" s="17">
        <v>0</v>
      </c>
      <c r="Q3321" s="17">
        <v>0</v>
      </c>
      <c r="R3321" s="13"/>
      <c r="S3321" s="13"/>
      <c r="T3321" s="13"/>
      <c r="U3321" s="13"/>
      <c r="V3321" s="13"/>
      <c r="W3321" s="13"/>
    </row>
    <row r="3322" spans="1:23" x14ac:dyDescent="0.2">
      <c r="A3322"/>
      <c r="B3322"/>
      <c r="C3322"/>
      <c r="D3322"/>
      <c r="E3322"/>
      <c r="F3322"/>
      <c r="G3322"/>
      <c r="H3322"/>
      <c r="I3322"/>
      <c r="J3322"/>
      <c r="K3322" s="13" t="s">
        <v>257</v>
      </c>
      <c r="L3322" s="13" t="s">
        <v>606</v>
      </c>
      <c r="M3322" s="13" t="s">
        <v>430</v>
      </c>
      <c r="N3322" s="15">
        <v>4</v>
      </c>
      <c r="O3322" s="16">
        <v>0</v>
      </c>
      <c r="P3322" s="17">
        <v>0</v>
      </c>
      <c r="Q3322" s="17">
        <v>0</v>
      </c>
      <c r="R3322" s="13"/>
      <c r="S3322" s="13"/>
      <c r="T3322" s="13"/>
      <c r="U3322" s="13"/>
      <c r="V3322" s="13"/>
      <c r="W3322" s="13"/>
    </row>
    <row r="3323" spans="1:23" x14ac:dyDescent="0.2">
      <c r="A3323"/>
      <c r="B3323"/>
      <c r="C3323"/>
      <c r="D3323"/>
      <c r="E3323"/>
      <c r="F3323"/>
      <c r="G3323"/>
      <c r="H3323"/>
      <c r="I3323"/>
      <c r="J3323"/>
      <c r="K3323" s="13" t="s">
        <v>257</v>
      </c>
      <c r="L3323" s="13" t="s">
        <v>623</v>
      </c>
      <c r="M3323" s="13" t="s">
        <v>530</v>
      </c>
      <c r="N3323" s="15">
        <v>0</v>
      </c>
      <c r="O3323" s="16">
        <v>131.03696533206437</v>
      </c>
      <c r="P3323" s="17">
        <v>0</v>
      </c>
      <c r="Q3323" s="17">
        <v>0</v>
      </c>
      <c r="R3323" s="13"/>
      <c r="S3323" s="13"/>
      <c r="T3323" s="13"/>
      <c r="U3323" s="13"/>
      <c r="V3323" s="13"/>
      <c r="W3323" s="13"/>
    </row>
    <row r="3324" spans="1:23" x14ac:dyDescent="0.2">
      <c r="A3324"/>
      <c r="B3324"/>
      <c r="C3324"/>
      <c r="D3324"/>
      <c r="E3324"/>
      <c r="F3324"/>
      <c r="G3324"/>
      <c r="H3324"/>
      <c r="I3324"/>
      <c r="J3324"/>
      <c r="K3324" s="13" t="s">
        <v>257</v>
      </c>
      <c r="L3324" s="13" t="s">
        <v>607</v>
      </c>
      <c r="M3324" s="13" t="s">
        <v>431</v>
      </c>
      <c r="N3324" s="15">
        <v>3</v>
      </c>
      <c r="O3324" s="16">
        <v>0</v>
      </c>
      <c r="P3324" s="17">
        <v>0</v>
      </c>
      <c r="Q3324" s="17">
        <v>0</v>
      </c>
      <c r="R3324" s="13"/>
      <c r="S3324" s="13"/>
      <c r="T3324" s="13"/>
      <c r="U3324" s="13"/>
      <c r="V3324" s="13"/>
      <c r="W3324" s="13"/>
    </row>
    <row r="3325" spans="1:23" x14ac:dyDescent="0.2">
      <c r="A3325"/>
      <c r="B3325"/>
      <c r="C3325"/>
      <c r="D3325"/>
      <c r="E3325"/>
      <c r="F3325"/>
      <c r="G3325"/>
      <c r="H3325"/>
      <c r="I3325"/>
      <c r="J3325"/>
      <c r="K3325" s="13" t="s">
        <v>257</v>
      </c>
      <c r="L3325" s="13" t="s">
        <v>608</v>
      </c>
      <c r="M3325" s="13" t="s">
        <v>432</v>
      </c>
      <c r="N3325" s="15">
        <v>8</v>
      </c>
      <c r="O3325" s="16">
        <v>0</v>
      </c>
      <c r="P3325" s="17">
        <v>0</v>
      </c>
      <c r="Q3325" s="17">
        <v>0</v>
      </c>
      <c r="R3325" s="13"/>
      <c r="S3325" s="13"/>
      <c r="T3325" s="13"/>
      <c r="U3325" s="13"/>
      <c r="V3325" s="13"/>
      <c r="W3325" s="13"/>
    </row>
    <row r="3326" spans="1:23" x14ac:dyDescent="0.2">
      <c r="A3326"/>
      <c r="B3326"/>
      <c r="C3326"/>
      <c r="D3326"/>
      <c r="E3326"/>
      <c r="F3326"/>
      <c r="G3326"/>
      <c r="H3326"/>
      <c r="I3326"/>
      <c r="J3326"/>
      <c r="K3326" s="13" t="s">
        <v>257</v>
      </c>
      <c r="L3326" s="13" t="s">
        <v>615</v>
      </c>
      <c r="M3326" s="13" t="s">
        <v>449</v>
      </c>
      <c r="N3326" s="15">
        <v>1</v>
      </c>
      <c r="O3326" s="16">
        <v>0</v>
      </c>
      <c r="P3326" s="17">
        <v>0</v>
      </c>
      <c r="Q3326" s="17">
        <v>0</v>
      </c>
      <c r="R3326" s="13"/>
      <c r="S3326" s="13"/>
      <c r="T3326" s="13"/>
      <c r="U3326" s="13"/>
      <c r="V3326" s="13"/>
      <c r="W3326" s="13"/>
    </row>
    <row r="3327" spans="1:23" x14ac:dyDescent="0.2">
      <c r="A3327"/>
      <c r="B3327"/>
      <c r="C3327"/>
      <c r="D3327"/>
      <c r="E3327"/>
      <c r="F3327"/>
      <c r="G3327"/>
      <c r="H3327"/>
      <c r="I3327"/>
      <c r="J3327"/>
      <c r="K3327" s="13" t="s">
        <v>257</v>
      </c>
      <c r="L3327" s="13" t="s">
        <v>415</v>
      </c>
      <c r="M3327" s="13" t="s">
        <v>412</v>
      </c>
      <c r="N3327" s="15">
        <v>0</v>
      </c>
      <c r="O3327" s="16">
        <v>0</v>
      </c>
      <c r="P3327" s="17">
        <v>2.3046500002211192</v>
      </c>
      <c r="Q3327" s="17">
        <v>0</v>
      </c>
      <c r="R3327" s="13"/>
      <c r="S3327" s="13"/>
      <c r="T3327" s="13"/>
      <c r="U3327" s="13"/>
      <c r="V3327" s="13"/>
      <c r="W3327" s="13"/>
    </row>
    <row r="3328" spans="1:23" x14ac:dyDescent="0.2">
      <c r="A3328"/>
      <c r="B3328"/>
      <c r="C3328"/>
      <c r="D3328"/>
      <c r="E3328"/>
      <c r="F3328"/>
      <c r="G3328"/>
      <c r="H3328"/>
      <c r="I3328"/>
      <c r="J3328"/>
      <c r="K3328" s="13" t="s">
        <v>257</v>
      </c>
      <c r="L3328" s="13" t="s">
        <v>609</v>
      </c>
      <c r="M3328" s="13" t="s">
        <v>416</v>
      </c>
      <c r="N3328" s="15">
        <v>0</v>
      </c>
      <c r="O3328" s="16">
        <v>18.344506889515625</v>
      </c>
      <c r="P3328" s="17">
        <v>0</v>
      </c>
      <c r="Q3328" s="17">
        <v>0</v>
      </c>
      <c r="R3328" s="13"/>
      <c r="S3328" s="13"/>
      <c r="T3328" s="13"/>
      <c r="U3328" s="13"/>
      <c r="V3328" s="13"/>
      <c r="W3328" s="13"/>
    </row>
    <row r="3329" spans="1:23" x14ac:dyDescent="0.2">
      <c r="A3329"/>
      <c r="B3329"/>
      <c r="C3329"/>
      <c r="D3329"/>
      <c r="E3329"/>
      <c r="F3329"/>
      <c r="G3329"/>
      <c r="H3329"/>
      <c r="I3329"/>
      <c r="J3329"/>
      <c r="K3329" s="13" t="s">
        <v>257</v>
      </c>
      <c r="L3329" s="13" t="s">
        <v>622</v>
      </c>
      <c r="M3329" s="13" t="s">
        <v>524</v>
      </c>
      <c r="N3329" s="15">
        <v>0</v>
      </c>
      <c r="O3329" s="16">
        <v>31.840905562135532</v>
      </c>
      <c r="P3329" s="17">
        <v>0</v>
      </c>
      <c r="Q3329" s="17">
        <v>0</v>
      </c>
      <c r="R3329" s="13"/>
      <c r="S3329" s="13"/>
      <c r="T3329" s="13"/>
      <c r="U3329" s="13"/>
      <c r="V3329" s="13"/>
      <c r="W3329" s="13"/>
    </row>
    <row r="3330" spans="1:23" x14ac:dyDescent="0.2">
      <c r="A3330"/>
      <c r="B3330"/>
      <c r="C3330"/>
      <c r="D3330"/>
      <c r="E3330"/>
      <c r="F3330"/>
      <c r="G3330"/>
      <c r="H3330"/>
      <c r="I3330"/>
      <c r="J3330"/>
      <c r="K3330" s="13" t="s">
        <v>257</v>
      </c>
      <c r="L3330" s="13" t="s">
        <v>383</v>
      </c>
      <c r="M3330" s="13" t="s">
        <v>420</v>
      </c>
      <c r="N3330" s="15">
        <v>11</v>
      </c>
      <c r="O3330" s="16">
        <v>0</v>
      </c>
      <c r="P3330" s="17">
        <v>0</v>
      </c>
      <c r="Q3330" s="17">
        <v>0</v>
      </c>
      <c r="R3330" s="13"/>
      <c r="S3330" s="13"/>
      <c r="T3330" s="13"/>
      <c r="U3330" s="13"/>
      <c r="V3330" s="13"/>
      <c r="W3330" s="13"/>
    </row>
    <row r="3331" spans="1:23" x14ac:dyDescent="0.2">
      <c r="A3331"/>
      <c r="B3331"/>
      <c r="C3331"/>
      <c r="D3331"/>
      <c r="E3331"/>
      <c r="F3331"/>
      <c r="G3331"/>
      <c r="H3331"/>
      <c r="I3331"/>
      <c r="J3331"/>
      <c r="K3331" s="13" t="s">
        <v>257</v>
      </c>
      <c r="L3331" s="13" t="s">
        <v>528</v>
      </c>
      <c r="M3331" s="13" t="s">
        <v>384</v>
      </c>
      <c r="N3331" s="15">
        <v>0</v>
      </c>
      <c r="O3331" s="16">
        <v>221.54078996489767</v>
      </c>
      <c r="P3331" s="17">
        <v>0</v>
      </c>
      <c r="Q3331" s="17">
        <v>0</v>
      </c>
      <c r="R3331" s="13"/>
      <c r="S3331" s="13"/>
      <c r="T3331" s="13"/>
      <c r="U3331" s="13"/>
      <c r="V3331" s="13"/>
      <c r="W3331" s="13"/>
    </row>
    <row r="3332" spans="1:23" x14ac:dyDescent="0.2">
      <c r="A3332"/>
      <c r="B3332"/>
      <c r="C3332"/>
      <c r="D3332"/>
      <c r="E3332"/>
      <c r="F3332"/>
      <c r="G3332"/>
      <c r="H3332"/>
      <c r="I3332"/>
      <c r="J3332"/>
      <c r="K3332" s="13" t="s">
        <v>257</v>
      </c>
      <c r="L3332" s="13" t="s">
        <v>613</v>
      </c>
      <c r="M3332" s="13" t="s">
        <v>444</v>
      </c>
      <c r="N3332" s="15">
        <v>0</v>
      </c>
      <c r="O3332" s="16">
        <v>3.6143756115439465</v>
      </c>
      <c r="P3332" s="17">
        <v>0</v>
      </c>
      <c r="Q3332" s="17">
        <v>0</v>
      </c>
      <c r="R3332" s="13"/>
      <c r="S3332" s="13"/>
      <c r="T3332" s="13"/>
      <c r="U3332" s="13"/>
      <c r="V3332" s="13"/>
      <c r="W3332" s="13"/>
    </row>
    <row r="3333" spans="1:23" x14ac:dyDescent="0.2">
      <c r="A3333"/>
      <c r="B3333"/>
      <c r="C3333"/>
      <c r="D3333"/>
      <c r="E3333"/>
      <c r="F3333"/>
      <c r="G3333"/>
      <c r="H3333"/>
      <c r="I3333"/>
      <c r="J3333"/>
      <c r="K3333" s="13" t="s">
        <v>257</v>
      </c>
      <c r="L3333" s="13" t="s">
        <v>446</v>
      </c>
      <c r="M3333" s="13" t="s">
        <v>371</v>
      </c>
      <c r="N3333" s="15">
        <v>23</v>
      </c>
      <c r="O3333" s="16">
        <v>0</v>
      </c>
      <c r="P3333" s="17">
        <v>0</v>
      </c>
      <c r="Q3333" s="17">
        <v>0</v>
      </c>
      <c r="R3333" s="13"/>
      <c r="S3333" s="13"/>
      <c r="T3333" s="13"/>
      <c r="U3333" s="13"/>
      <c r="V3333" s="13"/>
      <c r="W3333" s="13"/>
    </row>
    <row r="3334" spans="1:23" x14ac:dyDescent="0.2">
      <c r="A3334"/>
      <c r="B3334"/>
      <c r="C3334"/>
      <c r="D3334"/>
      <c r="E3334"/>
      <c r="F3334"/>
      <c r="G3334"/>
      <c r="H3334"/>
      <c r="I3334"/>
      <c r="J3334"/>
      <c r="K3334" s="13" t="s">
        <v>257</v>
      </c>
      <c r="L3334" s="13" t="s">
        <v>424</v>
      </c>
      <c r="M3334" s="13" t="s">
        <v>468</v>
      </c>
      <c r="N3334" s="15">
        <v>0</v>
      </c>
      <c r="O3334" s="16">
        <v>0</v>
      </c>
      <c r="P3334" s="17">
        <v>26.456349998425669</v>
      </c>
      <c r="Q3334" s="17">
        <v>0</v>
      </c>
      <c r="R3334" s="13"/>
      <c r="S3334" s="13"/>
      <c r="T3334" s="13"/>
      <c r="U3334" s="13"/>
      <c r="V3334" s="13"/>
      <c r="W3334" s="13"/>
    </row>
    <row r="3335" spans="1:23" x14ac:dyDescent="0.2">
      <c r="A3335"/>
      <c r="B3335"/>
      <c r="C3335"/>
      <c r="D3335"/>
      <c r="E3335"/>
      <c r="F3335"/>
      <c r="G3335"/>
      <c r="H3335"/>
      <c r="I3335"/>
      <c r="J3335"/>
      <c r="K3335" s="13" t="s">
        <v>257</v>
      </c>
      <c r="L3335" s="13" t="s">
        <v>484</v>
      </c>
      <c r="M3335" s="13" t="s">
        <v>529</v>
      </c>
      <c r="N3335" s="15">
        <v>0</v>
      </c>
      <c r="O3335" s="16">
        <v>69.208874644360961</v>
      </c>
      <c r="P3335" s="17">
        <v>0</v>
      </c>
      <c r="Q3335" s="17">
        <v>0</v>
      </c>
      <c r="R3335" s="13"/>
      <c r="S3335" s="13"/>
      <c r="T3335" s="13"/>
      <c r="U3335" s="13"/>
      <c r="V3335" s="13"/>
      <c r="W3335" s="13"/>
    </row>
    <row r="3336" spans="1:23" x14ac:dyDescent="0.2">
      <c r="A3336"/>
      <c r="B3336"/>
      <c r="C3336"/>
      <c r="D3336"/>
      <c r="E3336"/>
      <c r="F3336"/>
      <c r="G3336"/>
      <c r="H3336"/>
      <c r="I3336"/>
      <c r="J3336"/>
      <c r="K3336" s="13" t="s">
        <v>259</v>
      </c>
      <c r="L3336" s="13" t="s">
        <v>435</v>
      </c>
      <c r="M3336" s="13" t="s">
        <v>364</v>
      </c>
      <c r="N3336" s="15">
        <v>0</v>
      </c>
      <c r="O3336" s="16">
        <v>89.359044581629988</v>
      </c>
      <c r="P3336" s="17">
        <v>0</v>
      </c>
      <c r="Q3336" s="17">
        <v>0</v>
      </c>
      <c r="R3336" s="13"/>
      <c r="S3336" s="13"/>
      <c r="T3336" s="13"/>
      <c r="U3336" s="13"/>
      <c r="V3336" s="13"/>
      <c r="W3336" s="13"/>
    </row>
    <row r="3337" spans="1:23" x14ac:dyDescent="0.2">
      <c r="A3337"/>
      <c r="B3337"/>
      <c r="C3337"/>
      <c r="D3337"/>
      <c r="E3337"/>
      <c r="F3337"/>
      <c r="G3337"/>
      <c r="H3337"/>
      <c r="I3337"/>
      <c r="J3337"/>
      <c r="K3337" s="13" t="s">
        <v>259</v>
      </c>
      <c r="L3337" s="13" t="s">
        <v>435</v>
      </c>
      <c r="M3337" s="13" t="s">
        <v>364</v>
      </c>
      <c r="N3337" s="15">
        <v>3</v>
      </c>
      <c r="O3337" s="16">
        <v>0</v>
      </c>
      <c r="P3337" s="17">
        <v>0</v>
      </c>
      <c r="Q3337" s="17">
        <v>0</v>
      </c>
      <c r="R3337" s="13"/>
      <c r="S3337" s="13"/>
      <c r="T3337" s="13"/>
      <c r="U3337" s="13"/>
      <c r="V3337" s="13"/>
      <c r="W3337" s="13"/>
    </row>
    <row r="3338" spans="1:23" x14ac:dyDescent="0.2">
      <c r="A3338"/>
      <c r="B3338"/>
      <c r="C3338"/>
      <c r="D3338"/>
      <c r="E3338"/>
      <c r="F3338"/>
      <c r="G3338"/>
      <c r="H3338"/>
      <c r="I3338"/>
      <c r="J3338"/>
      <c r="K3338" s="13" t="s">
        <v>259</v>
      </c>
      <c r="L3338" s="13" t="s">
        <v>387</v>
      </c>
      <c r="M3338" s="13" t="s">
        <v>386</v>
      </c>
      <c r="N3338" s="15">
        <v>0</v>
      </c>
      <c r="O3338" s="16">
        <v>0</v>
      </c>
      <c r="P3338" s="17">
        <v>201.06170000895196</v>
      </c>
      <c r="Q3338" s="17">
        <v>0</v>
      </c>
      <c r="R3338" s="13"/>
      <c r="S3338" s="13"/>
      <c r="T3338" s="13"/>
      <c r="U3338" s="13"/>
      <c r="V3338" s="13"/>
      <c r="W3338" s="13"/>
    </row>
    <row r="3339" spans="1:23" x14ac:dyDescent="0.2">
      <c r="A3339"/>
      <c r="B3339"/>
      <c r="C3339"/>
      <c r="D3339"/>
      <c r="E3339"/>
      <c r="F3339"/>
      <c r="G3339"/>
      <c r="H3339"/>
      <c r="I3339"/>
      <c r="J3339"/>
      <c r="K3339" s="13" t="s">
        <v>259</v>
      </c>
      <c r="L3339" s="13" t="s">
        <v>389</v>
      </c>
      <c r="M3339" s="13" t="s">
        <v>388</v>
      </c>
      <c r="N3339" s="15">
        <v>0</v>
      </c>
      <c r="O3339" s="16">
        <v>0</v>
      </c>
      <c r="P3339" s="17">
        <v>258.48200002984561</v>
      </c>
      <c r="Q3339" s="17">
        <v>0</v>
      </c>
      <c r="R3339" s="13"/>
      <c r="S3339" s="13"/>
      <c r="T3339" s="13"/>
      <c r="U3339" s="13"/>
      <c r="V3339" s="13"/>
      <c r="W3339" s="13"/>
    </row>
    <row r="3340" spans="1:23" x14ac:dyDescent="0.2">
      <c r="A3340"/>
      <c r="B3340"/>
      <c r="C3340"/>
      <c r="D3340"/>
      <c r="E3340"/>
      <c r="F3340"/>
      <c r="G3340"/>
      <c r="H3340"/>
      <c r="I3340"/>
      <c r="J3340"/>
      <c r="K3340" s="13" t="s">
        <v>259</v>
      </c>
      <c r="L3340" s="13" t="s">
        <v>486</v>
      </c>
      <c r="M3340" s="13" t="s">
        <v>439</v>
      </c>
      <c r="N3340" s="15">
        <v>0</v>
      </c>
      <c r="O3340" s="16">
        <v>0</v>
      </c>
      <c r="P3340" s="17">
        <v>96.831250009352814</v>
      </c>
      <c r="Q3340" s="17">
        <v>0</v>
      </c>
      <c r="R3340" s="13"/>
      <c r="S3340" s="13"/>
      <c r="T3340" s="13"/>
      <c r="U3340" s="13"/>
      <c r="V3340" s="13"/>
      <c r="W3340" s="13"/>
    </row>
    <row r="3341" spans="1:23" x14ac:dyDescent="0.2">
      <c r="A3341"/>
      <c r="B3341"/>
      <c r="C3341"/>
      <c r="D3341"/>
      <c r="E3341"/>
      <c r="F3341"/>
      <c r="G3341"/>
      <c r="H3341"/>
      <c r="I3341"/>
      <c r="J3341"/>
      <c r="K3341" s="13" t="s">
        <v>259</v>
      </c>
      <c r="L3341" s="13" t="s">
        <v>512</v>
      </c>
      <c r="M3341" s="13" t="s">
        <v>466</v>
      </c>
      <c r="N3341" s="15">
        <v>0</v>
      </c>
      <c r="O3341" s="16">
        <v>0</v>
      </c>
      <c r="P3341" s="17">
        <v>154.77840000412453</v>
      </c>
      <c r="Q3341" s="17">
        <v>0</v>
      </c>
      <c r="R3341" s="13"/>
      <c r="S3341" s="13"/>
      <c r="T3341" s="13"/>
      <c r="U3341" s="13"/>
      <c r="V3341" s="13"/>
      <c r="W3341" s="13"/>
    </row>
    <row r="3342" spans="1:23" x14ac:dyDescent="0.2">
      <c r="A3342"/>
      <c r="B3342"/>
      <c r="C3342"/>
      <c r="D3342"/>
      <c r="E3342"/>
      <c r="F3342"/>
      <c r="G3342"/>
      <c r="H3342"/>
      <c r="I3342"/>
      <c r="J3342"/>
      <c r="K3342" s="13" t="s">
        <v>259</v>
      </c>
      <c r="L3342" s="13" t="s">
        <v>440</v>
      </c>
      <c r="M3342" s="13" t="s">
        <v>441</v>
      </c>
      <c r="N3342" s="15">
        <v>11</v>
      </c>
      <c r="O3342" s="16">
        <v>0</v>
      </c>
      <c r="P3342" s="17">
        <v>0</v>
      </c>
      <c r="Q3342" s="17">
        <v>0</v>
      </c>
      <c r="R3342" s="13"/>
      <c r="S3342" s="13"/>
      <c r="T3342" s="13"/>
      <c r="U3342" s="13"/>
      <c r="V3342" s="13"/>
      <c r="W3342" s="13"/>
    </row>
    <row r="3343" spans="1:23" x14ac:dyDescent="0.2">
      <c r="A3343"/>
      <c r="B3343"/>
      <c r="C3343"/>
      <c r="D3343"/>
      <c r="E3343"/>
      <c r="F3343"/>
      <c r="G3343"/>
      <c r="H3343"/>
      <c r="I3343"/>
      <c r="J3343"/>
      <c r="K3343" s="13" t="s">
        <v>259</v>
      </c>
      <c r="L3343" s="13" t="s">
        <v>399</v>
      </c>
      <c r="M3343" s="13" t="s">
        <v>400</v>
      </c>
      <c r="N3343" s="15">
        <v>0</v>
      </c>
      <c r="O3343" s="16">
        <v>0</v>
      </c>
      <c r="P3343" s="17">
        <v>2.98939999972065</v>
      </c>
      <c r="Q3343" s="17">
        <v>0</v>
      </c>
      <c r="R3343" s="13"/>
      <c r="S3343" s="13"/>
      <c r="T3343" s="13"/>
      <c r="U3343" s="13"/>
      <c r="V3343" s="13"/>
      <c r="W3343" s="13"/>
    </row>
    <row r="3344" spans="1:23" x14ac:dyDescent="0.2">
      <c r="A3344"/>
      <c r="B3344"/>
      <c r="C3344"/>
      <c r="D3344"/>
      <c r="E3344"/>
      <c r="F3344"/>
      <c r="G3344"/>
      <c r="H3344"/>
      <c r="I3344"/>
      <c r="J3344"/>
      <c r="K3344" s="13" t="s">
        <v>259</v>
      </c>
      <c r="L3344" s="13" t="s">
        <v>401</v>
      </c>
      <c r="M3344" s="13" t="s">
        <v>360</v>
      </c>
      <c r="N3344" s="15">
        <v>0</v>
      </c>
      <c r="O3344" s="16">
        <v>0</v>
      </c>
      <c r="P3344" s="17">
        <v>481.17315000326857</v>
      </c>
      <c r="Q3344" s="17">
        <v>0</v>
      </c>
      <c r="R3344" s="13"/>
      <c r="S3344" s="13"/>
      <c r="T3344" s="13"/>
      <c r="U3344" s="13"/>
      <c r="V3344" s="13"/>
      <c r="W3344" s="13"/>
    </row>
    <row r="3345" spans="1:23" x14ac:dyDescent="0.2">
      <c r="A3345"/>
      <c r="B3345"/>
      <c r="C3345"/>
      <c r="D3345"/>
      <c r="E3345"/>
      <c r="F3345"/>
      <c r="G3345"/>
      <c r="H3345"/>
      <c r="I3345"/>
      <c r="J3345"/>
      <c r="K3345" s="13" t="s">
        <v>259</v>
      </c>
      <c r="L3345" s="13" t="s">
        <v>402</v>
      </c>
      <c r="M3345" s="13" t="s">
        <v>403</v>
      </c>
      <c r="N3345" s="15">
        <v>0</v>
      </c>
      <c r="O3345" s="16">
        <v>0</v>
      </c>
      <c r="P3345" s="17">
        <v>1269.2066499155678</v>
      </c>
      <c r="Q3345" s="17">
        <v>0</v>
      </c>
      <c r="R3345" s="13"/>
      <c r="S3345" s="13"/>
      <c r="T3345" s="13"/>
      <c r="U3345" s="13"/>
      <c r="V3345" s="13"/>
      <c r="W3345" s="13"/>
    </row>
    <row r="3346" spans="1:23" x14ac:dyDescent="0.2">
      <c r="A3346"/>
      <c r="B3346"/>
      <c r="C3346"/>
      <c r="D3346"/>
      <c r="E3346"/>
      <c r="F3346"/>
      <c r="G3346"/>
      <c r="H3346"/>
      <c r="I3346"/>
      <c r="J3346"/>
      <c r="K3346" s="13" t="s">
        <v>259</v>
      </c>
      <c r="L3346" s="13" t="s">
        <v>381</v>
      </c>
      <c r="M3346" s="13" t="s">
        <v>382</v>
      </c>
      <c r="N3346" s="15">
        <v>14</v>
      </c>
      <c r="O3346" s="16">
        <v>0</v>
      </c>
      <c r="P3346" s="17">
        <v>0</v>
      </c>
      <c r="Q3346" s="17">
        <v>0</v>
      </c>
      <c r="R3346" s="13"/>
      <c r="S3346" s="13"/>
      <c r="T3346" s="13"/>
      <c r="U3346" s="13"/>
      <c r="V3346" s="13"/>
      <c r="W3346" s="13"/>
    </row>
    <row r="3347" spans="1:23" x14ac:dyDescent="0.2">
      <c r="A3347"/>
      <c r="B3347"/>
      <c r="C3347"/>
      <c r="D3347"/>
      <c r="E3347"/>
      <c r="F3347"/>
      <c r="G3347"/>
      <c r="H3347"/>
      <c r="I3347"/>
      <c r="J3347"/>
      <c r="K3347" s="13" t="s">
        <v>259</v>
      </c>
      <c r="L3347" s="13" t="s">
        <v>411</v>
      </c>
      <c r="M3347" s="13" t="s">
        <v>362</v>
      </c>
      <c r="N3347" s="15">
        <v>0</v>
      </c>
      <c r="O3347" s="16">
        <v>36.248683629396467</v>
      </c>
      <c r="P3347" s="17">
        <v>0</v>
      </c>
      <c r="Q3347" s="17">
        <v>0</v>
      </c>
      <c r="R3347" s="13"/>
      <c r="S3347" s="13"/>
      <c r="T3347" s="13"/>
      <c r="U3347" s="13"/>
      <c r="V3347" s="13"/>
      <c r="W3347" s="13"/>
    </row>
    <row r="3348" spans="1:23" x14ac:dyDescent="0.2">
      <c r="A3348"/>
      <c r="B3348"/>
      <c r="C3348"/>
      <c r="D3348"/>
      <c r="E3348"/>
      <c r="F3348"/>
      <c r="G3348"/>
      <c r="H3348"/>
      <c r="I3348"/>
      <c r="J3348"/>
      <c r="K3348" s="13" t="s">
        <v>259</v>
      </c>
      <c r="L3348" s="13" t="s">
        <v>605</v>
      </c>
      <c r="M3348" s="13" t="s">
        <v>429</v>
      </c>
      <c r="N3348" s="15">
        <v>0</v>
      </c>
      <c r="O3348" s="16">
        <v>4.0636190762513671</v>
      </c>
      <c r="P3348" s="17">
        <v>0</v>
      </c>
      <c r="Q3348" s="17">
        <v>0</v>
      </c>
      <c r="R3348" s="13"/>
      <c r="S3348" s="13"/>
      <c r="T3348" s="13"/>
      <c r="U3348" s="13"/>
      <c r="V3348" s="13"/>
      <c r="W3348" s="13"/>
    </row>
    <row r="3349" spans="1:23" x14ac:dyDescent="0.2">
      <c r="A3349"/>
      <c r="B3349"/>
      <c r="C3349"/>
      <c r="D3349"/>
      <c r="E3349"/>
      <c r="F3349"/>
      <c r="G3349"/>
      <c r="H3349"/>
      <c r="I3349"/>
      <c r="J3349"/>
      <c r="K3349" s="13" t="s">
        <v>259</v>
      </c>
      <c r="L3349" s="13" t="s">
        <v>606</v>
      </c>
      <c r="M3349" s="13" t="s">
        <v>430</v>
      </c>
      <c r="N3349" s="15">
        <v>1</v>
      </c>
      <c r="O3349" s="16">
        <v>0</v>
      </c>
      <c r="P3349" s="17">
        <v>0</v>
      </c>
      <c r="Q3349" s="17">
        <v>0</v>
      </c>
      <c r="R3349" s="13"/>
      <c r="S3349" s="13"/>
      <c r="T3349" s="13"/>
      <c r="U3349" s="13"/>
      <c r="V3349" s="13"/>
      <c r="W3349" s="13"/>
    </row>
    <row r="3350" spans="1:23" x14ac:dyDescent="0.2">
      <c r="A3350"/>
      <c r="B3350"/>
      <c r="C3350"/>
      <c r="D3350"/>
      <c r="E3350"/>
      <c r="F3350"/>
      <c r="G3350"/>
      <c r="H3350"/>
      <c r="I3350"/>
      <c r="J3350"/>
      <c r="K3350" s="13" t="s">
        <v>259</v>
      </c>
      <c r="L3350" s="13" t="s">
        <v>623</v>
      </c>
      <c r="M3350" s="13" t="s">
        <v>530</v>
      </c>
      <c r="N3350" s="15">
        <v>0</v>
      </c>
      <c r="O3350" s="16">
        <v>116.94609306718391</v>
      </c>
      <c r="P3350" s="17">
        <v>0</v>
      </c>
      <c r="Q3350" s="17">
        <v>0</v>
      </c>
      <c r="R3350" s="13"/>
      <c r="S3350" s="13"/>
      <c r="T3350" s="13"/>
      <c r="U3350" s="13"/>
      <c r="V3350" s="13"/>
      <c r="W3350" s="13"/>
    </row>
    <row r="3351" spans="1:23" x14ac:dyDescent="0.2">
      <c r="A3351"/>
      <c r="B3351"/>
      <c r="C3351"/>
      <c r="D3351"/>
      <c r="E3351"/>
      <c r="F3351"/>
      <c r="G3351"/>
      <c r="H3351"/>
      <c r="I3351"/>
      <c r="J3351"/>
      <c r="K3351" s="13" t="s">
        <v>259</v>
      </c>
      <c r="L3351" s="13" t="s">
        <v>624</v>
      </c>
      <c r="M3351" s="13" t="s">
        <v>531</v>
      </c>
      <c r="N3351" s="15">
        <v>1</v>
      </c>
      <c r="O3351" s="16">
        <v>0</v>
      </c>
      <c r="P3351" s="17">
        <v>0</v>
      </c>
      <c r="Q3351" s="17">
        <v>0</v>
      </c>
      <c r="R3351" s="13"/>
      <c r="S3351" s="13"/>
      <c r="T3351" s="13"/>
      <c r="U3351" s="13"/>
      <c r="V3351" s="13"/>
      <c r="W3351" s="13"/>
    </row>
    <row r="3352" spans="1:23" x14ac:dyDescent="0.2">
      <c r="A3352"/>
      <c r="B3352"/>
      <c r="C3352"/>
      <c r="D3352"/>
      <c r="E3352"/>
      <c r="F3352"/>
      <c r="G3352"/>
      <c r="H3352"/>
      <c r="I3352"/>
      <c r="J3352"/>
      <c r="K3352" s="13" t="s">
        <v>259</v>
      </c>
      <c r="L3352" s="13" t="s">
        <v>625</v>
      </c>
      <c r="M3352" s="13" t="s">
        <v>537</v>
      </c>
      <c r="N3352" s="15">
        <v>2</v>
      </c>
      <c r="O3352" s="16">
        <v>0</v>
      </c>
      <c r="P3352" s="17">
        <v>0</v>
      </c>
      <c r="Q3352" s="17">
        <v>0</v>
      </c>
      <c r="R3352" s="13"/>
      <c r="S3352" s="13"/>
      <c r="T3352" s="13"/>
      <c r="U3352" s="13"/>
      <c r="V3352" s="13"/>
      <c r="W3352" s="13"/>
    </row>
    <row r="3353" spans="1:23" x14ac:dyDescent="0.2">
      <c r="A3353"/>
      <c r="B3353"/>
      <c r="C3353"/>
      <c r="D3353"/>
      <c r="E3353"/>
      <c r="F3353"/>
      <c r="G3353"/>
      <c r="H3353"/>
      <c r="I3353"/>
      <c r="J3353"/>
      <c r="K3353" s="13" t="s">
        <v>259</v>
      </c>
      <c r="L3353" s="13" t="s">
        <v>607</v>
      </c>
      <c r="M3353" s="13" t="s">
        <v>431</v>
      </c>
      <c r="N3353" s="15">
        <v>3</v>
      </c>
      <c r="O3353" s="16">
        <v>0</v>
      </c>
      <c r="P3353" s="17">
        <v>0</v>
      </c>
      <c r="Q3353" s="17">
        <v>0</v>
      </c>
      <c r="R3353" s="13"/>
      <c r="S3353" s="13"/>
      <c r="T3353" s="13"/>
      <c r="U3353" s="13"/>
      <c r="V3353" s="13"/>
      <c r="W3353" s="13"/>
    </row>
    <row r="3354" spans="1:23" x14ac:dyDescent="0.2">
      <c r="A3354"/>
      <c r="B3354"/>
      <c r="C3354"/>
      <c r="D3354"/>
      <c r="E3354"/>
      <c r="F3354"/>
      <c r="G3354"/>
      <c r="H3354"/>
      <c r="I3354"/>
      <c r="J3354"/>
      <c r="K3354" s="13" t="s">
        <v>259</v>
      </c>
      <c r="L3354" s="13" t="s">
        <v>608</v>
      </c>
      <c r="M3354" s="13" t="s">
        <v>432</v>
      </c>
      <c r="N3354" s="15">
        <v>7</v>
      </c>
      <c r="O3354" s="16">
        <v>0</v>
      </c>
      <c r="P3354" s="17">
        <v>0</v>
      </c>
      <c r="Q3354" s="17">
        <v>0</v>
      </c>
      <c r="R3354" s="13"/>
      <c r="S3354" s="13"/>
      <c r="T3354" s="13"/>
      <c r="U3354" s="13"/>
      <c r="V3354" s="13"/>
      <c r="W3354" s="13"/>
    </row>
    <row r="3355" spans="1:23" x14ac:dyDescent="0.2">
      <c r="A3355"/>
      <c r="B3355"/>
      <c r="C3355"/>
      <c r="D3355"/>
      <c r="E3355"/>
      <c r="F3355"/>
      <c r="G3355"/>
      <c r="H3355"/>
      <c r="I3355"/>
      <c r="J3355"/>
      <c r="K3355" s="13" t="s">
        <v>259</v>
      </c>
      <c r="L3355" s="13" t="s">
        <v>615</v>
      </c>
      <c r="M3355" s="13" t="s">
        <v>449</v>
      </c>
      <c r="N3355" s="15">
        <v>1</v>
      </c>
      <c r="O3355" s="16">
        <v>0</v>
      </c>
      <c r="P3355" s="17">
        <v>0</v>
      </c>
      <c r="Q3355" s="17">
        <v>0</v>
      </c>
      <c r="R3355" s="13"/>
      <c r="S3355" s="13"/>
      <c r="T3355" s="13"/>
      <c r="U3355" s="13"/>
      <c r="V3355" s="13"/>
      <c r="W3355" s="13"/>
    </row>
    <row r="3356" spans="1:23" x14ac:dyDescent="0.2">
      <c r="A3356"/>
      <c r="B3356"/>
      <c r="C3356"/>
      <c r="D3356"/>
      <c r="E3356"/>
      <c r="F3356"/>
      <c r="G3356"/>
      <c r="H3356"/>
      <c r="I3356"/>
      <c r="J3356"/>
      <c r="K3356" s="13" t="s">
        <v>259</v>
      </c>
      <c r="L3356" s="13" t="s">
        <v>523</v>
      </c>
      <c r="M3356" s="13" t="s">
        <v>476</v>
      </c>
      <c r="N3356" s="15">
        <v>0</v>
      </c>
      <c r="O3356" s="16">
        <v>0</v>
      </c>
      <c r="P3356" s="17">
        <v>3.0807999997744804</v>
      </c>
      <c r="Q3356" s="17">
        <v>0</v>
      </c>
      <c r="R3356" s="13"/>
      <c r="S3356" s="13"/>
      <c r="T3356" s="13"/>
      <c r="U3356" s="13"/>
      <c r="V3356" s="13"/>
      <c r="W3356" s="13"/>
    </row>
    <row r="3357" spans="1:23" x14ac:dyDescent="0.2">
      <c r="A3357"/>
      <c r="B3357"/>
      <c r="C3357"/>
      <c r="D3357"/>
      <c r="E3357"/>
      <c r="F3357"/>
      <c r="G3357"/>
      <c r="H3357"/>
      <c r="I3357"/>
      <c r="J3357"/>
      <c r="K3357" s="13" t="s">
        <v>259</v>
      </c>
      <c r="L3357" s="13" t="s">
        <v>383</v>
      </c>
      <c r="M3357" s="13" t="s">
        <v>420</v>
      </c>
      <c r="N3357" s="15">
        <v>8</v>
      </c>
      <c r="O3357" s="16">
        <v>0</v>
      </c>
      <c r="P3357" s="17">
        <v>0</v>
      </c>
      <c r="Q3357" s="17">
        <v>0</v>
      </c>
      <c r="R3357" s="13"/>
      <c r="S3357" s="13"/>
      <c r="T3357" s="13"/>
      <c r="U3357" s="13"/>
      <c r="V3357" s="13"/>
      <c r="W3357" s="13"/>
    </row>
    <row r="3358" spans="1:23" x14ac:dyDescent="0.2">
      <c r="A3358"/>
      <c r="B3358"/>
      <c r="C3358"/>
      <c r="D3358"/>
      <c r="E3358"/>
      <c r="F3358"/>
      <c r="G3358"/>
      <c r="H3358"/>
      <c r="I3358"/>
      <c r="J3358"/>
      <c r="K3358" s="13" t="s">
        <v>259</v>
      </c>
      <c r="L3358" s="13" t="s">
        <v>528</v>
      </c>
      <c r="M3358" s="13" t="s">
        <v>384</v>
      </c>
      <c r="N3358" s="15">
        <v>0</v>
      </c>
      <c r="O3358" s="16">
        <v>103.14365116951885</v>
      </c>
      <c r="P3358" s="17">
        <v>0</v>
      </c>
      <c r="Q3358" s="17">
        <v>0</v>
      </c>
      <c r="R3358" s="13"/>
      <c r="S3358" s="13"/>
      <c r="T3358" s="13"/>
      <c r="U3358" s="13"/>
      <c r="V3358" s="13"/>
      <c r="W3358" s="13"/>
    </row>
    <row r="3359" spans="1:23" x14ac:dyDescent="0.2">
      <c r="A3359"/>
      <c r="B3359"/>
      <c r="C3359"/>
      <c r="D3359"/>
      <c r="E3359"/>
      <c r="F3359"/>
      <c r="G3359"/>
      <c r="H3359"/>
      <c r="I3359"/>
      <c r="J3359"/>
      <c r="K3359" s="13" t="s">
        <v>259</v>
      </c>
      <c r="L3359" s="13" t="s">
        <v>613</v>
      </c>
      <c r="M3359" s="13" t="s">
        <v>444</v>
      </c>
      <c r="N3359" s="15">
        <v>0</v>
      </c>
      <c r="O3359" s="16">
        <v>7.2841853243363559</v>
      </c>
      <c r="P3359" s="17">
        <v>0</v>
      </c>
      <c r="Q3359" s="17">
        <v>0</v>
      </c>
      <c r="R3359" s="13"/>
      <c r="S3359" s="13"/>
      <c r="T3359" s="13"/>
      <c r="U3359" s="13"/>
      <c r="V3359" s="13"/>
      <c r="W3359" s="13"/>
    </row>
    <row r="3360" spans="1:23" x14ac:dyDescent="0.2">
      <c r="A3360"/>
      <c r="B3360"/>
      <c r="C3360"/>
      <c r="D3360"/>
      <c r="E3360"/>
      <c r="F3360"/>
      <c r="G3360"/>
      <c r="H3360"/>
      <c r="I3360"/>
      <c r="J3360"/>
      <c r="K3360" s="13" t="s">
        <v>259</v>
      </c>
      <c r="L3360" s="13" t="s">
        <v>446</v>
      </c>
      <c r="M3360" s="13" t="s">
        <v>371</v>
      </c>
      <c r="N3360" s="15">
        <v>5</v>
      </c>
      <c r="O3360" s="16">
        <v>0</v>
      </c>
      <c r="P3360" s="17">
        <v>0</v>
      </c>
      <c r="Q3360" s="17">
        <v>0</v>
      </c>
      <c r="R3360" s="13"/>
      <c r="S3360" s="13"/>
      <c r="T3360" s="13"/>
      <c r="U3360" s="13"/>
      <c r="V3360" s="13"/>
      <c r="W3360" s="13"/>
    </row>
    <row r="3361" spans="1:23" x14ac:dyDescent="0.2">
      <c r="A3361"/>
      <c r="B3361"/>
      <c r="C3361"/>
      <c r="D3361"/>
      <c r="E3361"/>
      <c r="F3361"/>
      <c r="G3361"/>
      <c r="H3361"/>
      <c r="I3361"/>
      <c r="J3361"/>
      <c r="K3361" s="13" t="s">
        <v>259</v>
      </c>
      <c r="L3361" s="13" t="s">
        <v>424</v>
      </c>
      <c r="M3361" s="13" t="s">
        <v>468</v>
      </c>
      <c r="N3361" s="15">
        <v>0</v>
      </c>
      <c r="O3361" s="16">
        <v>0</v>
      </c>
      <c r="P3361" s="17">
        <v>25.31559999913906</v>
      </c>
      <c r="Q3361" s="17">
        <v>0</v>
      </c>
      <c r="R3361" s="13"/>
      <c r="S3361" s="13"/>
      <c r="T3361" s="13"/>
      <c r="U3361" s="13"/>
      <c r="V3361" s="13"/>
      <c r="W3361" s="13"/>
    </row>
    <row r="3362" spans="1:23" x14ac:dyDescent="0.2">
      <c r="A3362"/>
      <c r="B3362"/>
      <c r="C3362"/>
      <c r="D3362"/>
      <c r="E3362"/>
      <c r="F3362"/>
      <c r="G3362"/>
      <c r="H3362"/>
      <c r="I3362"/>
      <c r="J3362"/>
      <c r="K3362" s="13" t="s">
        <v>259</v>
      </c>
      <c r="L3362" s="13" t="s">
        <v>484</v>
      </c>
      <c r="M3362" s="13" t="s">
        <v>529</v>
      </c>
      <c r="N3362" s="15">
        <v>0</v>
      </c>
      <c r="O3362" s="16">
        <v>69.658188490824784</v>
      </c>
      <c r="P3362" s="17">
        <v>0</v>
      </c>
      <c r="Q3362" s="17">
        <v>0</v>
      </c>
      <c r="R3362" s="13"/>
      <c r="S3362" s="13"/>
      <c r="T3362" s="13"/>
      <c r="U3362" s="13"/>
      <c r="V3362" s="13"/>
      <c r="W3362" s="13"/>
    </row>
    <row r="3363" spans="1:23" x14ac:dyDescent="0.2">
      <c r="A3363"/>
      <c r="B3363"/>
      <c r="C3363"/>
      <c r="D3363"/>
      <c r="E3363"/>
      <c r="F3363"/>
      <c r="G3363"/>
      <c r="H3363"/>
      <c r="I3363"/>
      <c r="J3363"/>
      <c r="K3363" s="13" t="s">
        <v>259</v>
      </c>
      <c r="L3363" s="13" t="s">
        <v>469</v>
      </c>
      <c r="M3363" s="13" t="s">
        <v>426</v>
      </c>
      <c r="N3363" s="15">
        <v>2</v>
      </c>
      <c r="O3363" s="16">
        <v>0</v>
      </c>
      <c r="P3363" s="17">
        <v>0</v>
      </c>
      <c r="Q3363" s="17">
        <v>0</v>
      </c>
      <c r="R3363" s="13"/>
      <c r="S3363" s="13"/>
      <c r="T3363" s="13"/>
      <c r="U3363" s="13"/>
      <c r="V3363" s="13"/>
      <c r="W3363" s="13"/>
    </row>
    <row r="3364" spans="1:23" x14ac:dyDescent="0.2">
      <c r="A3364"/>
      <c r="B3364"/>
      <c r="C3364"/>
      <c r="D3364"/>
      <c r="E3364"/>
      <c r="F3364"/>
      <c r="G3364"/>
      <c r="H3364"/>
      <c r="I3364"/>
      <c r="J3364"/>
      <c r="K3364" s="13" t="s">
        <v>261</v>
      </c>
      <c r="L3364" s="13" t="s">
        <v>435</v>
      </c>
      <c r="M3364" s="13" t="s">
        <v>364</v>
      </c>
      <c r="N3364" s="15">
        <v>0</v>
      </c>
      <c r="O3364" s="16">
        <v>0</v>
      </c>
      <c r="P3364" s="17">
        <v>15.067100002338039</v>
      </c>
      <c r="Q3364" s="17">
        <v>0</v>
      </c>
      <c r="R3364" s="13"/>
      <c r="S3364" s="13"/>
      <c r="T3364" s="13"/>
      <c r="U3364" s="13"/>
      <c r="V3364" s="13"/>
      <c r="W3364" s="13"/>
    </row>
    <row r="3365" spans="1:23" x14ac:dyDescent="0.2">
      <c r="A3365"/>
      <c r="B3365"/>
      <c r="C3365"/>
      <c r="D3365"/>
      <c r="E3365"/>
      <c r="F3365"/>
      <c r="G3365"/>
      <c r="H3365"/>
      <c r="I3365"/>
      <c r="J3365"/>
      <c r="K3365" s="13" t="s">
        <v>261</v>
      </c>
      <c r="L3365" s="13" t="s">
        <v>435</v>
      </c>
      <c r="M3365" s="13" t="s">
        <v>364</v>
      </c>
      <c r="N3365" s="15">
        <v>0</v>
      </c>
      <c r="O3365" s="16">
        <v>86.286191720390079</v>
      </c>
      <c r="P3365" s="17">
        <v>0</v>
      </c>
      <c r="Q3365" s="17">
        <v>0</v>
      </c>
      <c r="R3365" s="13"/>
      <c r="S3365" s="13"/>
      <c r="T3365" s="13"/>
      <c r="U3365" s="13"/>
      <c r="V3365" s="13"/>
      <c r="W3365" s="13"/>
    </row>
    <row r="3366" spans="1:23" x14ac:dyDescent="0.2">
      <c r="A3366"/>
      <c r="B3366"/>
      <c r="C3366"/>
      <c r="D3366"/>
      <c r="E3366"/>
      <c r="F3366"/>
      <c r="G3366"/>
      <c r="H3366"/>
      <c r="I3366"/>
      <c r="J3366"/>
      <c r="K3366" s="13" t="s">
        <v>261</v>
      </c>
      <c r="L3366" s="13" t="s">
        <v>635</v>
      </c>
      <c r="M3366" s="13" t="s">
        <v>507</v>
      </c>
      <c r="N3366" s="15">
        <v>0</v>
      </c>
      <c r="O3366" s="16">
        <v>0</v>
      </c>
      <c r="P3366" s="17">
        <v>15.009700000875466</v>
      </c>
      <c r="Q3366" s="17">
        <v>0</v>
      </c>
      <c r="R3366" s="13"/>
      <c r="S3366" s="13"/>
      <c r="T3366" s="13"/>
      <c r="U3366" s="13"/>
      <c r="V3366" s="13"/>
      <c r="W3366" s="13"/>
    </row>
    <row r="3367" spans="1:23" x14ac:dyDescent="0.2">
      <c r="A3367"/>
      <c r="B3367"/>
      <c r="C3367"/>
      <c r="D3367"/>
      <c r="E3367"/>
      <c r="F3367"/>
      <c r="G3367"/>
      <c r="H3367"/>
      <c r="I3367"/>
      <c r="J3367"/>
      <c r="K3367" s="13" t="s">
        <v>261</v>
      </c>
      <c r="L3367" s="13" t="s">
        <v>387</v>
      </c>
      <c r="M3367" s="13" t="s">
        <v>386</v>
      </c>
      <c r="N3367" s="15">
        <v>0</v>
      </c>
      <c r="O3367" s="16">
        <v>0</v>
      </c>
      <c r="P3367" s="17">
        <v>260.75534998797258</v>
      </c>
      <c r="Q3367" s="17">
        <v>0</v>
      </c>
      <c r="R3367" s="13"/>
      <c r="S3367" s="13"/>
      <c r="T3367" s="13"/>
      <c r="U3367" s="13"/>
      <c r="V3367" s="13"/>
      <c r="W3367" s="13"/>
    </row>
    <row r="3368" spans="1:23" x14ac:dyDescent="0.2">
      <c r="A3368"/>
      <c r="B3368"/>
      <c r="C3368"/>
      <c r="D3368"/>
      <c r="E3368"/>
      <c r="F3368"/>
      <c r="G3368"/>
      <c r="H3368"/>
      <c r="I3368"/>
      <c r="J3368"/>
      <c r="K3368" s="13" t="s">
        <v>261</v>
      </c>
      <c r="L3368" s="13" t="s">
        <v>389</v>
      </c>
      <c r="M3368" s="13" t="s">
        <v>388</v>
      </c>
      <c r="N3368" s="15">
        <v>0</v>
      </c>
      <c r="O3368" s="16">
        <v>0</v>
      </c>
      <c r="P3368" s="17">
        <v>1052.3649435354664</v>
      </c>
      <c r="Q3368" s="17">
        <v>0</v>
      </c>
      <c r="R3368" s="13"/>
      <c r="S3368" s="13"/>
      <c r="T3368" s="13"/>
      <c r="U3368" s="13"/>
      <c r="V3368" s="13"/>
      <c r="W3368" s="13"/>
    </row>
    <row r="3369" spans="1:23" x14ac:dyDescent="0.2">
      <c r="A3369"/>
      <c r="B3369"/>
      <c r="C3369"/>
      <c r="D3369"/>
      <c r="E3369"/>
      <c r="F3369"/>
      <c r="G3369"/>
      <c r="H3369"/>
      <c r="I3369"/>
      <c r="J3369"/>
      <c r="K3369" s="13" t="s">
        <v>261</v>
      </c>
      <c r="L3369" s="13" t="s">
        <v>486</v>
      </c>
      <c r="M3369" s="13" t="s">
        <v>439</v>
      </c>
      <c r="N3369" s="15">
        <v>0</v>
      </c>
      <c r="O3369" s="16">
        <v>0</v>
      </c>
      <c r="P3369" s="17">
        <v>161.25555001375841</v>
      </c>
      <c r="Q3369" s="17">
        <v>0</v>
      </c>
      <c r="R3369" s="13"/>
      <c r="S3369" s="13"/>
      <c r="T3369" s="13"/>
      <c r="U3369" s="13"/>
      <c r="V3369" s="13"/>
      <c r="W3369" s="13"/>
    </row>
    <row r="3370" spans="1:23" x14ac:dyDescent="0.2">
      <c r="A3370"/>
      <c r="B3370"/>
      <c r="C3370"/>
      <c r="D3370"/>
      <c r="E3370"/>
      <c r="F3370"/>
      <c r="G3370"/>
      <c r="H3370"/>
      <c r="I3370"/>
      <c r="J3370"/>
      <c r="K3370" s="13" t="s">
        <v>261</v>
      </c>
      <c r="L3370" s="13" t="s">
        <v>512</v>
      </c>
      <c r="M3370" s="13" t="s">
        <v>466</v>
      </c>
      <c r="N3370" s="15">
        <v>0</v>
      </c>
      <c r="O3370" s="16">
        <v>0</v>
      </c>
      <c r="P3370" s="17">
        <v>186.20914997542081</v>
      </c>
      <c r="Q3370" s="17">
        <v>0</v>
      </c>
      <c r="R3370" s="13"/>
      <c r="S3370" s="13"/>
      <c r="T3370" s="13"/>
      <c r="U3370" s="13"/>
      <c r="V3370" s="13"/>
      <c r="W3370" s="13"/>
    </row>
    <row r="3371" spans="1:23" x14ac:dyDescent="0.2">
      <c r="A3371"/>
      <c r="B3371"/>
      <c r="C3371"/>
      <c r="D3371"/>
      <c r="E3371"/>
      <c r="F3371"/>
      <c r="G3371"/>
      <c r="H3371"/>
      <c r="I3371"/>
      <c r="J3371"/>
      <c r="K3371" s="13" t="s">
        <v>261</v>
      </c>
      <c r="L3371" s="13" t="s">
        <v>513</v>
      </c>
      <c r="M3371" s="13" t="s">
        <v>533</v>
      </c>
      <c r="N3371" s="15">
        <v>0</v>
      </c>
      <c r="O3371" s="16">
        <v>0</v>
      </c>
      <c r="P3371" s="17">
        <v>6.0320499992325676</v>
      </c>
      <c r="Q3371" s="17">
        <v>0</v>
      </c>
      <c r="R3371" s="13"/>
      <c r="S3371" s="13"/>
      <c r="T3371" s="13"/>
      <c r="U3371" s="13"/>
      <c r="V3371" s="13"/>
      <c r="W3371" s="13"/>
    </row>
    <row r="3372" spans="1:23" x14ac:dyDescent="0.2">
      <c r="A3372"/>
      <c r="B3372"/>
      <c r="C3372"/>
      <c r="D3372"/>
      <c r="E3372"/>
      <c r="F3372"/>
      <c r="G3372"/>
      <c r="H3372"/>
      <c r="I3372"/>
      <c r="J3372"/>
      <c r="K3372" s="13" t="s">
        <v>261</v>
      </c>
      <c r="L3372" s="13" t="s">
        <v>394</v>
      </c>
      <c r="M3372" s="13" t="s">
        <v>359</v>
      </c>
      <c r="N3372" s="15">
        <v>0</v>
      </c>
      <c r="O3372" s="16">
        <v>0</v>
      </c>
      <c r="P3372" s="17">
        <v>20.848000001818754</v>
      </c>
      <c r="Q3372" s="17">
        <v>0</v>
      </c>
      <c r="R3372" s="13"/>
      <c r="S3372" s="13"/>
      <c r="T3372" s="13"/>
      <c r="U3372" s="13"/>
      <c r="V3372" s="13"/>
      <c r="W3372" s="13"/>
    </row>
    <row r="3373" spans="1:23" x14ac:dyDescent="0.2">
      <c r="A3373"/>
      <c r="B3373"/>
      <c r="C3373"/>
      <c r="D3373"/>
      <c r="E3373"/>
      <c r="F3373"/>
      <c r="G3373"/>
      <c r="H3373"/>
      <c r="I3373"/>
      <c r="J3373"/>
      <c r="K3373" s="13" t="s">
        <v>261</v>
      </c>
      <c r="L3373" s="13" t="s">
        <v>395</v>
      </c>
      <c r="M3373" s="13" t="s">
        <v>602</v>
      </c>
      <c r="N3373" s="15">
        <v>15</v>
      </c>
      <c r="O3373" s="16">
        <v>0</v>
      </c>
      <c r="P3373" s="17">
        <v>0</v>
      </c>
      <c r="Q3373" s="17">
        <v>0</v>
      </c>
      <c r="R3373" s="13"/>
      <c r="S3373" s="13"/>
      <c r="T3373" s="13"/>
      <c r="U3373" s="13"/>
      <c r="V3373" s="13"/>
      <c r="W3373" s="13"/>
    </row>
    <row r="3374" spans="1:23" x14ac:dyDescent="0.2">
      <c r="A3374"/>
      <c r="B3374"/>
      <c r="C3374"/>
      <c r="D3374"/>
      <c r="E3374"/>
      <c r="F3374"/>
      <c r="G3374"/>
      <c r="H3374"/>
      <c r="I3374"/>
      <c r="J3374"/>
      <c r="K3374" s="13" t="s">
        <v>261</v>
      </c>
      <c r="L3374" s="13" t="s">
        <v>399</v>
      </c>
      <c r="M3374" s="13" t="s">
        <v>400</v>
      </c>
      <c r="N3374" s="15">
        <v>0</v>
      </c>
      <c r="O3374" s="16">
        <v>0</v>
      </c>
      <c r="P3374" s="17">
        <v>105.02084999296369</v>
      </c>
      <c r="Q3374" s="17">
        <v>0</v>
      </c>
      <c r="R3374" s="13"/>
      <c r="S3374" s="13"/>
      <c r="T3374" s="13"/>
      <c r="U3374" s="13"/>
      <c r="V3374" s="13"/>
      <c r="W3374" s="13"/>
    </row>
    <row r="3375" spans="1:23" x14ac:dyDescent="0.2">
      <c r="A3375"/>
      <c r="B3375"/>
      <c r="C3375"/>
      <c r="D3375"/>
      <c r="E3375"/>
      <c r="F3375"/>
      <c r="G3375"/>
      <c r="H3375"/>
      <c r="I3375"/>
      <c r="J3375"/>
      <c r="K3375" s="13" t="s">
        <v>261</v>
      </c>
      <c r="L3375" s="13" t="s">
        <v>401</v>
      </c>
      <c r="M3375" s="13" t="s">
        <v>360</v>
      </c>
      <c r="N3375" s="15">
        <v>0</v>
      </c>
      <c r="O3375" s="16">
        <v>0</v>
      </c>
      <c r="P3375" s="17">
        <v>964.8510500283146</v>
      </c>
      <c r="Q3375" s="17">
        <v>0</v>
      </c>
      <c r="R3375" s="13"/>
      <c r="S3375" s="13"/>
      <c r="T3375" s="13"/>
      <c r="U3375" s="13"/>
      <c r="V3375" s="13"/>
      <c r="W3375" s="13"/>
    </row>
    <row r="3376" spans="1:23" x14ac:dyDescent="0.2">
      <c r="A3376"/>
      <c r="B3376"/>
      <c r="C3376"/>
      <c r="D3376"/>
      <c r="E3376"/>
      <c r="F3376"/>
      <c r="G3376"/>
      <c r="H3376"/>
      <c r="I3376"/>
      <c r="J3376"/>
      <c r="K3376" s="13" t="s">
        <v>261</v>
      </c>
      <c r="L3376" s="13" t="s">
        <v>402</v>
      </c>
      <c r="M3376" s="13" t="s">
        <v>403</v>
      </c>
      <c r="N3376" s="15">
        <v>0</v>
      </c>
      <c r="O3376" s="16">
        <v>0</v>
      </c>
      <c r="P3376" s="17">
        <v>3484.1190063799677</v>
      </c>
      <c r="Q3376" s="17">
        <v>0</v>
      </c>
      <c r="R3376" s="13"/>
      <c r="S3376" s="13"/>
      <c r="T3376" s="13"/>
      <c r="U3376" s="13"/>
      <c r="V3376" s="13"/>
      <c r="W3376" s="13"/>
    </row>
    <row r="3377" spans="1:23" x14ac:dyDescent="0.2">
      <c r="A3377"/>
      <c r="B3377"/>
      <c r="C3377"/>
      <c r="D3377"/>
      <c r="E3377"/>
      <c r="F3377"/>
      <c r="G3377"/>
      <c r="H3377"/>
      <c r="I3377"/>
      <c r="J3377"/>
      <c r="K3377" s="13" t="s">
        <v>261</v>
      </c>
      <c r="L3377" s="13" t="s">
        <v>448</v>
      </c>
      <c r="M3377" s="13" t="s">
        <v>366</v>
      </c>
      <c r="N3377" s="15">
        <v>0</v>
      </c>
      <c r="O3377" s="16">
        <v>0</v>
      </c>
      <c r="P3377" s="17">
        <v>126.19659999641623</v>
      </c>
      <c r="Q3377" s="17">
        <v>0</v>
      </c>
      <c r="R3377" s="13"/>
      <c r="S3377" s="13"/>
      <c r="T3377" s="13"/>
      <c r="U3377" s="13"/>
      <c r="V3377" s="13"/>
      <c r="W3377" s="13"/>
    </row>
    <row r="3378" spans="1:23" x14ac:dyDescent="0.2">
      <c r="A3378"/>
      <c r="B3378"/>
      <c r="C3378"/>
      <c r="D3378"/>
      <c r="E3378"/>
      <c r="F3378"/>
      <c r="G3378"/>
      <c r="H3378"/>
      <c r="I3378"/>
      <c r="J3378"/>
      <c r="K3378" s="13" t="s">
        <v>261</v>
      </c>
      <c r="L3378" s="13" t="s">
        <v>404</v>
      </c>
      <c r="M3378" s="13" t="s">
        <v>405</v>
      </c>
      <c r="N3378" s="15">
        <v>0</v>
      </c>
      <c r="O3378" s="16">
        <v>0</v>
      </c>
      <c r="P3378" s="17">
        <v>31.949550037337055</v>
      </c>
      <c r="Q3378" s="17">
        <v>212.67186040700935</v>
      </c>
      <c r="R3378" s="13"/>
      <c r="S3378" s="13"/>
      <c r="T3378" s="13"/>
      <c r="U3378" s="13"/>
      <c r="V3378" s="13"/>
      <c r="W3378" s="13"/>
    </row>
    <row r="3379" spans="1:23" x14ac:dyDescent="0.2">
      <c r="A3379"/>
      <c r="B3379"/>
      <c r="C3379"/>
      <c r="D3379"/>
      <c r="E3379"/>
      <c r="F3379"/>
      <c r="G3379"/>
      <c r="H3379"/>
      <c r="I3379"/>
      <c r="J3379"/>
      <c r="K3379" s="13" t="s">
        <v>261</v>
      </c>
      <c r="L3379" s="13" t="s">
        <v>406</v>
      </c>
      <c r="M3379" s="13" t="s">
        <v>361</v>
      </c>
      <c r="N3379" s="15">
        <v>0</v>
      </c>
      <c r="O3379" s="16">
        <v>0</v>
      </c>
      <c r="P3379" s="17">
        <v>53.232449981368227</v>
      </c>
      <c r="Q3379" s="17">
        <v>322.21531916368667</v>
      </c>
      <c r="R3379" s="13"/>
      <c r="S3379" s="13"/>
      <c r="T3379" s="13"/>
      <c r="U3379" s="13"/>
      <c r="V3379" s="13"/>
      <c r="W3379" s="13"/>
    </row>
    <row r="3380" spans="1:23" x14ac:dyDescent="0.2">
      <c r="A3380"/>
      <c r="B3380"/>
      <c r="C3380"/>
      <c r="D3380"/>
      <c r="E3380"/>
      <c r="F3380"/>
      <c r="G3380"/>
      <c r="H3380"/>
      <c r="I3380"/>
      <c r="J3380"/>
      <c r="K3380" s="13" t="s">
        <v>261</v>
      </c>
      <c r="L3380" s="13" t="s">
        <v>381</v>
      </c>
      <c r="M3380" s="13" t="s">
        <v>382</v>
      </c>
      <c r="N3380" s="15">
        <v>48</v>
      </c>
      <c r="O3380" s="16">
        <v>0</v>
      </c>
      <c r="P3380" s="17">
        <v>0</v>
      </c>
      <c r="Q3380" s="17">
        <v>0</v>
      </c>
      <c r="R3380" s="13"/>
      <c r="S3380" s="13"/>
      <c r="T3380" s="13"/>
      <c r="U3380" s="13"/>
      <c r="V3380" s="13"/>
      <c r="W3380" s="13"/>
    </row>
    <row r="3381" spans="1:23" x14ac:dyDescent="0.2">
      <c r="A3381"/>
      <c r="B3381"/>
      <c r="C3381"/>
      <c r="D3381"/>
      <c r="E3381"/>
      <c r="F3381"/>
      <c r="G3381"/>
      <c r="H3381"/>
      <c r="I3381"/>
      <c r="J3381"/>
      <c r="K3381" s="13" t="s">
        <v>261</v>
      </c>
      <c r="L3381" s="13" t="s">
        <v>409</v>
      </c>
      <c r="M3381" s="13" t="s">
        <v>410</v>
      </c>
      <c r="N3381" s="15">
        <v>8</v>
      </c>
      <c r="O3381" s="16">
        <v>0</v>
      </c>
      <c r="P3381" s="17">
        <v>0</v>
      </c>
      <c r="Q3381" s="17">
        <v>0</v>
      </c>
      <c r="R3381" s="13"/>
      <c r="S3381" s="13"/>
      <c r="T3381" s="13"/>
      <c r="U3381" s="13"/>
      <c r="V3381" s="13"/>
      <c r="W3381" s="13"/>
    </row>
    <row r="3382" spans="1:23" x14ac:dyDescent="0.2">
      <c r="A3382"/>
      <c r="B3382"/>
      <c r="C3382"/>
      <c r="D3382"/>
      <c r="E3382"/>
      <c r="F3382"/>
      <c r="G3382"/>
      <c r="H3382"/>
      <c r="I3382"/>
      <c r="J3382"/>
      <c r="K3382" s="13" t="s">
        <v>261</v>
      </c>
      <c r="L3382" s="13" t="s">
        <v>411</v>
      </c>
      <c r="M3382" s="13" t="s">
        <v>362</v>
      </c>
      <c r="N3382" s="15">
        <v>0</v>
      </c>
      <c r="O3382" s="16">
        <v>44.192859009029533</v>
      </c>
      <c r="P3382" s="17">
        <v>0</v>
      </c>
      <c r="Q3382" s="17">
        <v>0</v>
      </c>
      <c r="R3382" s="13"/>
      <c r="S3382" s="13"/>
      <c r="T3382" s="13"/>
      <c r="U3382" s="13"/>
      <c r="V3382" s="13"/>
      <c r="W3382" s="13"/>
    </row>
    <row r="3383" spans="1:23" x14ac:dyDescent="0.2">
      <c r="A3383"/>
      <c r="B3383"/>
      <c r="C3383"/>
      <c r="D3383"/>
      <c r="E3383"/>
      <c r="F3383"/>
      <c r="G3383"/>
      <c r="H3383"/>
      <c r="I3383"/>
      <c r="J3383"/>
      <c r="K3383" s="13" t="s">
        <v>261</v>
      </c>
      <c r="L3383" s="13" t="s">
        <v>605</v>
      </c>
      <c r="M3383" s="13" t="s">
        <v>429</v>
      </c>
      <c r="N3383" s="15">
        <v>0</v>
      </c>
      <c r="O3383" s="16">
        <v>5.4971382034953429</v>
      </c>
      <c r="P3383" s="17">
        <v>0</v>
      </c>
      <c r="Q3383" s="17">
        <v>0</v>
      </c>
      <c r="R3383" s="13"/>
      <c r="S3383" s="13"/>
      <c r="T3383" s="13"/>
      <c r="U3383" s="13"/>
      <c r="V3383" s="13"/>
      <c r="W3383" s="13"/>
    </row>
    <row r="3384" spans="1:23" x14ac:dyDescent="0.2">
      <c r="A3384"/>
      <c r="B3384"/>
      <c r="C3384"/>
      <c r="D3384"/>
      <c r="E3384"/>
      <c r="F3384"/>
      <c r="G3384"/>
      <c r="H3384"/>
      <c r="I3384"/>
      <c r="J3384"/>
      <c r="K3384" s="13" t="s">
        <v>261</v>
      </c>
      <c r="L3384" s="13" t="s">
        <v>606</v>
      </c>
      <c r="M3384" s="13" t="s">
        <v>430</v>
      </c>
      <c r="N3384" s="15">
        <v>9</v>
      </c>
      <c r="O3384" s="16">
        <v>0</v>
      </c>
      <c r="P3384" s="17">
        <v>0</v>
      </c>
      <c r="Q3384" s="17">
        <v>0</v>
      </c>
      <c r="R3384" s="13"/>
      <c r="S3384" s="13"/>
      <c r="T3384" s="13"/>
      <c r="U3384" s="13"/>
      <c r="V3384" s="13"/>
      <c r="W3384" s="13"/>
    </row>
    <row r="3385" spans="1:23" x14ac:dyDescent="0.2">
      <c r="A3385"/>
      <c r="B3385"/>
      <c r="C3385"/>
      <c r="D3385"/>
      <c r="E3385"/>
      <c r="F3385"/>
      <c r="G3385"/>
      <c r="H3385"/>
      <c r="I3385"/>
      <c r="J3385"/>
      <c r="K3385" s="13" t="s">
        <v>261</v>
      </c>
      <c r="L3385" s="13" t="s">
        <v>623</v>
      </c>
      <c r="M3385" s="13" t="s">
        <v>530</v>
      </c>
      <c r="N3385" s="15">
        <v>0</v>
      </c>
      <c r="O3385" s="16">
        <v>184.17982728642326</v>
      </c>
      <c r="P3385" s="17">
        <v>0</v>
      </c>
      <c r="Q3385" s="17">
        <v>0</v>
      </c>
      <c r="R3385" s="13"/>
      <c r="S3385" s="13"/>
      <c r="T3385" s="13"/>
      <c r="U3385" s="13"/>
      <c r="V3385" s="13"/>
      <c r="W3385" s="13"/>
    </row>
    <row r="3386" spans="1:23" x14ac:dyDescent="0.2">
      <c r="A3386"/>
      <c r="B3386"/>
      <c r="C3386"/>
      <c r="D3386"/>
      <c r="E3386"/>
      <c r="F3386"/>
      <c r="G3386"/>
      <c r="H3386"/>
      <c r="I3386"/>
      <c r="J3386"/>
      <c r="K3386" s="13" t="s">
        <v>261</v>
      </c>
      <c r="L3386" s="13" t="s">
        <v>607</v>
      </c>
      <c r="M3386" s="13" t="s">
        <v>431</v>
      </c>
      <c r="N3386" s="15">
        <v>5</v>
      </c>
      <c r="O3386" s="16">
        <v>0</v>
      </c>
      <c r="P3386" s="17">
        <v>0</v>
      </c>
      <c r="Q3386" s="17">
        <v>0</v>
      </c>
      <c r="R3386" s="13"/>
      <c r="S3386" s="13"/>
      <c r="T3386" s="13"/>
      <c r="U3386" s="13"/>
      <c r="V3386" s="13"/>
      <c r="W3386" s="13"/>
    </row>
    <row r="3387" spans="1:23" x14ac:dyDescent="0.2">
      <c r="A3387"/>
      <c r="B3387"/>
      <c r="C3387"/>
      <c r="D3387"/>
      <c r="E3387"/>
      <c r="F3387"/>
      <c r="G3387"/>
      <c r="H3387"/>
      <c r="I3387"/>
      <c r="J3387"/>
      <c r="K3387" s="13" t="s">
        <v>261</v>
      </c>
      <c r="L3387" s="13" t="s">
        <v>608</v>
      </c>
      <c r="M3387" s="13" t="s">
        <v>432</v>
      </c>
      <c r="N3387" s="15">
        <v>23</v>
      </c>
      <c r="O3387" s="16">
        <v>0</v>
      </c>
      <c r="P3387" s="17">
        <v>0</v>
      </c>
      <c r="Q3387" s="17">
        <v>0</v>
      </c>
      <c r="R3387" s="13"/>
      <c r="S3387" s="13"/>
      <c r="T3387" s="13"/>
      <c r="U3387" s="13"/>
      <c r="V3387" s="13"/>
      <c r="W3387" s="13"/>
    </row>
    <row r="3388" spans="1:23" x14ac:dyDescent="0.2">
      <c r="A3388"/>
      <c r="B3388"/>
      <c r="C3388"/>
      <c r="D3388"/>
      <c r="E3388"/>
      <c r="F3388"/>
      <c r="G3388"/>
      <c r="H3388"/>
      <c r="I3388"/>
      <c r="J3388"/>
      <c r="K3388" s="13" t="s">
        <v>261</v>
      </c>
      <c r="L3388" s="13" t="s">
        <v>615</v>
      </c>
      <c r="M3388" s="13" t="s">
        <v>449</v>
      </c>
      <c r="N3388" s="15">
        <v>1</v>
      </c>
      <c r="O3388" s="16">
        <v>0</v>
      </c>
      <c r="P3388" s="17">
        <v>0</v>
      </c>
      <c r="Q3388" s="17">
        <v>0</v>
      </c>
      <c r="R3388" s="13"/>
      <c r="S3388" s="13"/>
      <c r="T3388" s="13"/>
      <c r="U3388" s="13"/>
      <c r="V3388" s="13"/>
      <c r="W3388" s="13"/>
    </row>
    <row r="3389" spans="1:23" x14ac:dyDescent="0.2">
      <c r="A3389"/>
      <c r="B3389"/>
      <c r="C3389"/>
      <c r="D3389"/>
      <c r="E3389"/>
      <c r="F3389"/>
      <c r="G3389"/>
      <c r="H3389"/>
      <c r="I3389"/>
      <c r="J3389"/>
      <c r="K3389" s="13" t="s">
        <v>261</v>
      </c>
      <c r="L3389" s="13" t="s">
        <v>415</v>
      </c>
      <c r="M3389" s="13" t="s">
        <v>412</v>
      </c>
      <c r="N3389" s="15">
        <v>0</v>
      </c>
      <c r="O3389" s="16">
        <v>0</v>
      </c>
      <c r="P3389" s="17">
        <v>3.3102499985289757</v>
      </c>
      <c r="Q3389" s="17">
        <v>0</v>
      </c>
      <c r="R3389" s="13"/>
      <c r="S3389" s="13"/>
      <c r="T3389" s="13"/>
      <c r="U3389" s="13"/>
      <c r="V3389" s="13"/>
      <c r="W3389" s="13"/>
    </row>
    <row r="3390" spans="1:23" x14ac:dyDescent="0.2">
      <c r="A3390"/>
      <c r="B3390"/>
      <c r="C3390"/>
      <c r="D3390"/>
      <c r="E3390"/>
      <c r="F3390"/>
      <c r="G3390"/>
      <c r="H3390"/>
      <c r="I3390"/>
      <c r="J3390"/>
      <c r="K3390" s="13" t="s">
        <v>261</v>
      </c>
      <c r="L3390" s="13" t="s">
        <v>421</v>
      </c>
      <c r="M3390" s="13" t="s">
        <v>443</v>
      </c>
      <c r="N3390" s="15">
        <v>2</v>
      </c>
      <c r="O3390" s="16">
        <v>0</v>
      </c>
      <c r="P3390" s="17">
        <v>0</v>
      </c>
      <c r="Q3390" s="17">
        <v>0</v>
      </c>
      <c r="R3390" s="13"/>
      <c r="S3390" s="13"/>
      <c r="T3390" s="13"/>
      <c r="U3390" s="13"/>
      <c r="V3390" s="13"/>
      <c r="W3390" s="13"/>
    </row>
    <row r="3391" spans="1:23" x14ac:dyDescent="0.2">
      <c r="A3391"/>
      <c r="B3391"/>
      <c r="C3391"/>
      <c r="D3391"/>
      <c r="E3391"/>
      <c r="F3391"/>
      <c r="G3391"/>
      <c r="H3391"/>
      <c r="I3391"/>
      <c r="J3391"/>
      <c r="K3391" s="13" t="s">
        <v>261</v>
      </c>
      <c r="L3391" s="13" t="s">
        <v>383</v>
      </c>
      <c r="M3391" s="13" t="s">
        <v>420</v>
      </c>
      <c r="N3391" s="15">
        <v>13</v>
      </c>
      <c r="O3391" s="16">
        <v>0</v>
      </c>
      <c r="P3391" s="17">
        <v>0</v>
      </c>
      <c r="Q3391" s="17">
        <v>0</v>
      </c>
      <c r="R3391" s="13"/>
      <c r="S3391" s="13"/>
      <c r="T3391" s="13"/>
      <c r="U3391" s="13"/>
      <c r="V3391" s="13"/>
      <c r="W3391" s="13"/>
    </row>
    <row r="3392" spans="1:23" x14ac:dyDescent="0.2">
      <c r="A3392"/>
      <c r="B3392"/>
      <c r="C3392"/>
      <c r="D3392"/>
      <c r="E3392"/>
      <c r="F3392"/>
      <c r="G3392"/>
      <c r="H3392"/>
      <c r="I3392"/>
      <c r="J3392"/>
      <c r="K3392" s="13" t="s">
        <v>261</v>
      </c>
      <c r="L3392" s="13" t="s">
        <v>528</v>
      </c>
      <c r="M3392" s="13" t="s">
        <v>384</v>
      </c>
      <c r="N3392" s="15">
        <v>0</v>
      </c>
      <c r="O3392" s="16">
        <v>564.05079259313914</v>
      </c>
      <c r="P3392" s="17">
        <v>0</v>
      </c>
      <c r="Q3392" s="17">
        <v>0</v>
      </c>
      <c r="R3392" s="13"/>
      <c r="S3392" s="13"/>
      <c r="T3392" s="13"/>
      <c r="U3392" s="13"/>
      <c r="V3392" s="13"/>
      <c r="W3392" s="13"/>
    </row>
    <row r="3393" spans="1:23" x14ac:dyDescent="0.2">
      <c r="A3393"/>
      <c r="B3393"/>
      <c r="C3393"/>
      <c r="D3393"/>
      <c r="E3393"/>
      <c r="F3393"/>
      <c r="G3393"/>
      <c r="H3393"/>
      <c r="I3393"/>
      <c r="J3393"/>
      <c r="K3393" s="13" t="s">
        <v>261</v>
      </c>
      <c r="L3393" s="13" t="s">
        <v>613</v>
      </c>
      <c r="M3393" s="13" t="s">
        <v>444</v>
      </c>
      <c r="N3393" s="15">
        <v>0</v>
      </c>
      <c r="O3393" s="16">
        <v>26.23146033405305</v>
      </c>
      <c r="P3393" s="17">
        <v>0</v>
      </c>
      <c r="Q3393" s="17">
        <v>0</v>
      </c>
      <c r="R3393" s="13"/>
      <c r="S3393" s="13"/>
      <c r="T3393" s="13"/>
      <c r="U3393" s="13"/>
      <c r="V3393" s="13"/>
      <c r="W3393" s="13"/>
    </row>
    <row r="3394" spans="1:23" x14ac:dyDescent="0.2">
      <c r="A3394"/>
      <c r="B3394"/>
      <c r="C3394"/>
      <c r="D3394"/>
      <c r="E3394"/>
      <c r="F3394"/>
      <c r="G3394"/>
      <c r="H3394"/>
      <c r="I3394"/>
      <c r="J3394"/>
      <c r="K3394" s="13" t="s">
        <v>261</v>
      </c>
      <c r="L3394" s="13" t="s">
        <v>446</v>
      </c>
      <c r="M3394" s="13" t="s">
        <v>371</v>
      </c>
      <c r="N3394" s="15">
        <v>25</v>
      </c>
      <c r="O3394" s="16">
        <v>0</v>
      </c>
      <c r="P3394" s="17">
        <v>0</v>
      </c>
      <c r="Q3394" s="17">
        <v>0</v>
      </c>
      <c r="R3394" s="13"/>
      <c r="S3394" s="13"/>
      <c r="T3394" s="13"/>
      <c r="U3394" s="13"/>
      <c r="V3394" s="13"/>
      <c r="W3394" s="13"/>
    </row>
    <row r="3395" spans="1:23" x14ac:dyDescent="0.2">
      <c r="A3395"/>
      <c r="B3395"/>
      <c r="C3395"/>
      <c r="D3395"/>
      <c r="E3395"/>
      <c r="F3395"/>
      <c r="G3395"/>
      <c r="H3395"/>
      <c r="I3395"/>
      <c r="J3395"/>
      <c r="K3395" s="13" t="s">
        <v>261</v>
      </c>
      <c r="L3395" s="13" t="s">
        <v>424</v>
      </c>
      <c r="M3395" s="13" t="s">
        <v>468</v>
      </c>
      <c r="N3395" s="15">
        <v>0</v>
      </c>
      <c r="O3395" s="16">
        <v>0</v>
      </c>
      <c r="P3395" s="17">
        <v>28.039699997296861</v>
      </c>
      <c r="Q3395" s="17">
        <v>0</v>
      </c>
      <c r="R3395" s="13"/>
      <c r="S3395" s="13"/>
      <c r="T3395" s="13"/>
      <c r="U3395" s="13"/>
      <c r="V3395" s="13"/>
      <c r="W3395" s="13"/>
    </row>
    <row r="3396" spans="1:23" x14ac:dyDescent="0.2">
      <c r="A3396"/>
      <c r="B3396"/>
      <c r="C3396"/>
      <c r="D3396"/>
      <c r="E3396"/>
      <c r="F3396"/>
      <c r="G3396"/>
      <c r="H3396"/>
      <c r="I3396"/>
      <c r="J3396"/>
      <c r="K3396" s="13" t="s">
        <v>261</v>
      </c>
      <c r="L3396" s="13" t="s">
        <v>484</v>
      </c>
      <c r="M3396" s="13" t="s">
        <v>529</v>
      </c>
      <c r="N3396" s="15">
        <v>0</v>
      </c>
      <c r="O3396" s="16">
        <v>74.684147804245313</v>
      </c>
      <c r="P3396" s="17">
        <v>0</v>
      </c>
      <c r="Q3396" s="17">
        <v>0</v>
      </c>
      <c r="R3396" s="13"/>
      <c r="S3396" s="13"/>
      <c r="T3396" s="13"/>
      <c r="U3396" s="13"/>
      <c r="V3396" s="13"/>
      <c r="W3396" s="13"/>
    </row>
    <row r="3397" spans="1:23" x14ac:dyDescent="0.2">
      <c r="A3397"/>
      <c r="B3397"/>
      <c r="C3397"/>
      <c r="D3397"/>
      <c r="E3397"/>
      <c r="F3397"/>
      <c r="G3397"/>
      <c r="H3397"/>
      <c r="I3397"/>
      <c r="J3397"/>
      <c r="K3397" s="13" t="s">
        <v>261</v>
      </c>
      <c r="L3397" s="13" t="s">
        <v>469</v>
      </c>
      <c r="M3397" s="13" t="s">
        <v>426</v>
      </c>
      <c r="N3397" s="15">
        <v>2</v>
      </c>
      <c r="O3397" s="16">
        <v>0</v>
      </c>
      <c r="P3397" s="17">
        <v>0</v>
      </c>
      <c r="Q3397" s="17">
        <v>0</v>
      </c>
      <c r="R3397" s="13"/>
      <c r="S3397" s="13"/>
      <c r="T3397" s="13"/>
      <c r="U3397" s="13"/>
      <c r="V3397" s="13"/>
      <c r="W3397" s="13"/>
    </row>
    <row r="3398" spans="1:23" x14ac:dyDescent="0.2">
      <c r="A3398"/>
      <c r="B3398"/>
      <c r="C3398"/>
      <c r="D3398"/>
      <c r="E3398"/>
      <c r="F3398"/>
      <c r="G3398"/>
      <c r="H3398"/>
      <c r="I3398"/>
      <c r="J3398"/>
      <c r="K3398" s="13" t="s">
        <v>263</v>
      </c>
      <c r="L3398" s="13" t="s">
        <v>435</v>
      </c>
      <c r="M3398" s="13" t="s">
        <v>364</v>
      </c>
      <c r="N3398" s="15">
        <v>0</v>
      </c>
      <c r="O3398" s="16">
        <v>0</v>
      </c>
      <c r="P3398" s="17">
        <v>44.186450001661036</v>
      </c>
      <c r="Q3398" s="17">
        <v>0</v>
      </c>
      <c r="R3398" s="13"/>
      <c r="S3398" s="13"/>
      <c r="T3398" s="13"/>
      <c r="U3398" s="13"/>
      <c r="V3398" s="13"/>
      <c r="W3398" s="13"/>
    </row>
    <row r="3399" spans="1:23" x14ac:dyDescent="0.2">
      <c r="A3399"/>
      <c r="B3399"/>
      <c r="C3399"/>
      <c r="D3399"/>
      <c r="E3399"/>
      <c r="F3399"/>
      <c r="G3399"/>
      <c r="H3399"/>
      <c r="I3399"/>
      <c r="J3399"/>
      <c r="K3399" s="13" t="s">
        <v>263</v>
      </c>
      <c r="L3399" s="13" t="s">
        <v>435</v>
      </c>
      <c r="M3399" s="13" t="s">
        <v>364</v>
      </c>
      <c r="N3399" s="15">
        <v>0</v>
      </c>
      <c r="O3399" s="16">
        <v>55.338340108857835</v>
      </c>
      <c r="P3399" s="17">
        <v>0</v>
      </c>
      <c r="Q3399" s="17">
        <v>0</v>
      </c>
      <c r="R3399" s="13"/>
      <c r="S3399" s="13"/>
      <c r="T3399" s="13"/>
      <c r="U3399" s="13"/>
      <c r="V3399" s="13"/>
      <c r="W3399" s="13"/>
    </row>
    <row r="3400" spans="1:23" x14ac:dyDescent="0.2">
      <c r="A3400"/>
      <c r="B3400"/>
      <c r="C3400"/>
      <c r="D3400"/>
      <c r="E3400"/>
      <c r="F3400"/>
      <c r="G3400"/>
      <c r="H3400"/>
      <c r="I3400"/>
      <c r="J3400"/>
      <c r="K3400" s="13" t="s">
        <v>263</v>
      </c>
      <c r="L3400" s="13" t="s">
        <v>435</v>
      </c>
      <c r="M3400" s="13" t="s">
        <v>364</v>
      </c>
      <c r="N3400" s="15">
        <v>1</v>
      </c>
      <c r="O3400" s="16">
        <v>0</v>
      </c>
      <c r="P3400" s="17">
        <v>0</v>
      </c>
      <c r="Q3400" s="17">
        <v>0</v>
      </c>
      <c r="R3400" s="13"/>
      <c r="S3400" s="13"/>
      <c r="T3400" s="13"/>
      <c r="U3400" s="13"/>
      <c r="V3400" s="13"/>
      <c r="W3400" s="13"/>
    </row>
    <row r="3401" spans="1:23" x14ac:dyDescent="0.2">
      <c r="A3401"/>
      <c r="B3401"/>
      <c r="C3401"/>
      <c r="D3401"/>
      <c r="E3401"/>
      <c r="F3401"/>
      <c r="G3401"/>
      <c r="H3401"/>
      <c r="I3401"/>
      <c r="J3401"/>
      <c r="K3401" s="13" t="s">
        <v>263</v>
      </c>
      <c r="L3401" s="13" t="s">
        <v>635</v>
      </c>
      <c r="M3401" s="13" t="s">
        <v>507</v>
      </c>
      <c r="N3401" s="15">
        <v>0</v>
      </c>
      <c r="O3401" s="16">
        <v>0</v>
      </c>
      <c r="P3401" s="17">
        <v>35.472499998781132</v>
      </c>
      <c r="Q3401" s="17">
        <v>0</v>
      </c>
      <c r="R3401" s="13"/>
      <c r="S3401" s="13"/>
      <c r="T3401" s="13"/>
      <c r="U3401" s="13"/>
      <c r="V3401" s="13"/>
      <c r="W3401" s="13"/>
    </row>
    <row r="3402" spans="1:23" x14ac:dyDescent="0.2">
      <c r="A3402"/>
      <c r="B3402"/>
      <c r="C3402"/>
      <c r="D3402"/>
      <c r="E3402"/>
      <c r="F3402"/>
      <c r="G3402"/>
      <c r="H3402"/>
      <c r="I3402"/>
      <c r="J3402"/>
      <c r="K3402" s="13" t="s">
        <v>263</v>
      </c>
      <c r="L3402" s="13" t="s">
        <v>389</v>
      </c>
      <c r="M3402" s="13" t="s">
        <v>388</v>
      </c>
      <c r="N3402" s="15">
        <v>0</v>
      </c>
      <c r="O3402" s="16">
        <v>0</v>
      </c>
      <c r="P3402" s="17">
        <v>461.24764999456926</v>
      </c>
      <c r="Q3402" s="17">
        <v>0</v>
      </c>
      <c r="R3402" s="13"/>
      <c r="S3402" s="13"/>
      <c r="T3402" s="13"/>
      <c r="U3402" s="13"/>
      <c r="V3402" s="13"/>
      <c r="W3402" s="13"/>
    </row>
    <row r="3403" spans="1:23" x14ac:dyDescent="0.2">
      <c r="A3403"/>
      <c r="B3403"/>
      <c r="C3403"/>
      <c r="D3403"/>
      <c r="E3403"/>
      <c r="F3403"/>
      <c r="G3403"/>
      <c r="H3403"/>
      <c r="I3403"/>
      <c r="J3403"/>
      <c r="K3403" s="13" t="s">
        <v>263</v>
      </c>
      <c r="L3403" s="13" t="s">
        <v>391</v>
      </c>
      <c r="M3403" s="13" t="s">
        <v>358</v>
      </c>
      <c r="N3403" s="15">
        <v>0</v>
      </c>
      <c r="O3403" s="16">
        <v>0</v>
      </c>
      <c r="P3403" s="17">
        <v>25.133800001710817</v>
      </c>
      <c r="Q3403" s="17">
        <v>0</v>
      </c>
      <c r="R3403" s="13"/>
      <c r="S3403" s="13"/>
      <c r="T3403" s="13"/>
      <c r="U3403" s="13"/>
      <c r="V3403" s="13"/>
      <c r="W3403" s="13"/>
    </row>
    <row r="3404" spans="1:23" x14ac:dyDescent="0.2">
      <c r="A3404"/>
      <c r="B3404"/>
      <c r="C3404"/>
      <c r="D3404"/>
      <c r="E3404"/>
      <c r="F3404"/>
      <c r="G3404"/>
      <c r="H3404"/>
      <c r="I3404"/>
      <c r="J3404"/>
      <c r="K3404" s="13" t="s">
        <v>263</v>
      </c>
      <c r="L3404" s="13" t="s">
        <v>486</v>
      </c>
      <c r="M3404" s="13" t="s">
        <v>439</v>
      </c>
      <c r="N3404" s="15">
        <v>0</v>
      </c>
      <c r="O3404" s="16">
        <v>0</v>
      </c>
      <c r="P3404" s="17">
        <v>20.74780000136262</v>
      </c>
      <c r="Q3404" s="17">
        <v>0</v>
      </c>
      <c r="R3404" s="13"/>
      <c r="S3404" s="13"/>
      <c r="T3404" s="13"/>
      <c r="U3404" s="13"/>
      <c r="V3404" s="13"/>
      <c r="W3404" s="13"/>
    </row>
    <row r="3405" spans="1:23" x14ac:dyDescent="0.2">
      <c r="A3405"/>
      <c r="B3405"/>
      <c r="C3405"/>
      <c r="D3405"/>
      <c r="E3405"/>
      <c r="F3405"/>
      <c r="G3405"/>
      <c r="H3405"/>
      <c r="I3405"/>
      <c r="J3405"/>
      <c r="K3405" s="13" t="s">
        <v>263</v>
      </c>
      <c r="L3405" s="13" t="s">
        <v>512</v>
      </c>
      <c r="M3405" s="13" t="s">
        <v>466</v>
      </c>
      <c r="N3405" s="15">
        <v>0</v>
      </c>
      <c r="O3405" s="16">
        <v>0</v>
      </c>
      <c r="P3405" s="17">
        <v>252.28474999316535</v>
      </c>
      <c r="Q3405" s="17">
        <v>0</v>
      </c>
      <c r="R3405" s="13"/>
      <c r="S3405" s="13"/>
      <c r="T3405" s="13"/>
      <c r="U3405" s="13"/>
      <c r="V3405" s="13"/>
      <c r="W3405" s="13"/>
    </row>
    <row r="3406" spans="1:23" x14ac:dyDescent="0.2">
      <c r="A3406"/>
      <c r="B3406"/>
      <c r="C3406"/>
      <c r="D3406"/>
      <c r="E3406"/>
      <c r="F3406"/>
      <c r="G3406"/>
      <c r="H3406"/>
      <c r="I3406"/>
      <c r="J3406"/>
      <c r="K3406" s="13" t="s">
        <v>263</v>
      </c>
      <c r="L3406" s="13" t="s">
        <v>513</v>
      </c>
      <c r="M3406" s="13" t="s">
        <v>533</v>
      </c>
      <c r="N3406" s="15">
        <v>0</v>
      </c>
      <c r="O3406" s="16">
        <v>0</v>
      </c>
      <c r="P3406" s="17">
        <v>7.8496999967089618</v>
      </c>
      <c r="Q3406" s="17">
        <v>0</v>
      </c>
      <c r="R3406" s="13"/>
      <c r="S3406" s="13"/>
      <c r="T3406" s="13"/>
      <c r="U3406" s="13"/>
      <c r="V3406" s="13"/>
      <c r="W3406" s="13"/>
    </row>
    <row r="3407" spans="1:23" x14ac:dyDescent="0.2">
      <c r="A3407"/>
      <c r="B3407"/>
      <c r="C3407"/>
      <c r="D3407"/>
      <c r="E3407"/>
      <c r="F3407"/>
      <c r="G3407"/>
      <c r="H3407"/>
      <c r="I3407"/>
      <c r="J3407"/>
      <c r="K3407" s="13" t="s">
        <v>263</v>
      </c>
      <c r="L3407" s="13" t="s">
        <v>440</v>
      </c>
      <c r="M3407" s="13" t="s">
        <v>441</v>
      </c>
      <c r="N3407" s="15">
        <v>3</v>
      </c>
      <c r="O3407" s="16">
        <v>0</v>
      </c>
      <c r="P3407" s="17">
        <v>0</v>
      </c>
      <c r="Q3407" s="17">
        <v>0</v>
      </c>
      <c r="R3407" s="13"/>
      <c r="S3407" s="13"/>
      <c r="T3407" s="13"/>
      <c r="U3407" s="13"/>
      <c r="V3407" s="13"/>
      <c r="W3407" s="13"/>
    </row>
    <row r="3408" spans="1:23" x14ac:dyDescent="0.2">
      <c r="A3408"/>
      <c r="B3408"/>
      <c r="C3408"/>
      <c r="D3408"/>
      <c r="E3408"/>
      <c r="F3408"/>
      <c r="G3408"/>
      <c r="H3408"/>
      <c r="I3408"/>
      <c r="J3408"/>
      <c r="K3408" s="13" t="s">
        <v>263</v>
      </c>
      <c r="L3408" s="13" t="s">
        <v>394</v>
      </c>
      <c r="M3408" s="13" t="s">
        <v>359</v>
      </c>
      <c r="N3408" s="15">
        <v>0</v>
      </c>
      <c r="O3408" s="16">
        <v>0</v>
      </c>
      <c r="P3408" s="17">
        <v>1.053800000948296</v>
      </c>
      <c r="Q3408" s="17">
        <v>0</v>
      </c>
      <c r="R3408" s="13"/>
      <c r="S3408" s="13"/>
      <c r="T3408" s="13"/>
      <c r="U3408" s="13"/>
      <c r="V3408" s="13"/>
      <c r="W3408" s="13"/>
    </row>
    <row r="3409" spans="1:23" x14ac:dyDescent="0.2">
      <c r="A3409"/>
      <c r="B3409"/>
      <c r="C3409"/>
      <c r="D3409"/>
      <c r="E3409"/>
      <c r="F3409"/>
      <c r="G3409"/>
      <c r="H3409"/>
      <c r="I3409"/>
      <c r="J3409"/>
      <c r="K3409" s="13" t="s">
        <v>263</v>
      </c>
      <c r="L3409" s="13" t="s">
        <v>399</v>
      </c>
      <c r="M3409" s="13" t="s">
        <v>400</v>
      </c>
      <c r="N3409" s="15">
        <v>0</v>
      </c>
      <c r="O3409" s="16">
        <v>0</v>
      </c>
      <c r="P3409" s="17">
        <v>55.245199999208751</v>
      </c>
      <c r="Q3409" s="17">
        <v>0</v>
      </c>
      <c r="R3409" s="13"/>
      <c r="S3409" s="13"/>
      <c r="T3409" s="13"/>
      <c r="U3409" s="13"/>
      <c r="V3409" s="13"/>
      <c r="W3409" s="13"/>
    </row>
    <row r="3410" spans="1:23" x14ac:dyDescent="0.2">
      <c r="A3410"/>
      <c r="B3410"/>
      <c r="C3410"/>
      <c r="D3410"/>
      <c r="E3410"/>
      <c r="F3410"/>
      <c r="G3410"/>
      <c r="H3410"/>
      <c r="I3410"/>
      <c r="J3410"/>
      <c r="K3410" s="13" t="s">
        <v>263</v>
      </c>
      <c r="L3410" s="13" t="s">
        <v>401</v>
      </c>
      <c r="M3410" s="13" t="s">
        <v>360</v>
      </c>
      <c r="N3410" s="15">
        <v>0</v>
      </c>
      <c r="O3410" s="16">
        <v>0</v>
      </c>
      <c r="P3410" s="17">
        <v>14.975549999604631</v>
      </c>
      <c r="Q3410" s="17">
        <v>0</v>
      </c>
      <c r="R3410" s="13"/>
      <c r="S3410" s="13"/>
      <c r="T3410" s="13"/>
      <c r="U3410" s="13"/>
      <c r="V3410" s="13"/>
      <c r="W3410" s="13"/>
    </row>
    <row r="3411" spans="1:23" x14ac:dyDescent="0.2">
      <c r="A3411"/>
      <c r="B3411"/>
      <c r="C3411"/>
      <c r="D3411"/>
      <c r="E3411"/>
      <c r="F3411"/>
      <c r="G3411"/>
      <c r="H3411"/>
      <c r="I3411"/>
      <c r="J3411"/>
      <c r="K3411" s="13" t="s">
        <v>263</v>
      </c>
      <c r="L3411" s="13" t="s">
        <v>402</v>
      </c>
      <c r="M3411" s="13" t="s">
        <v>403</v>
      </c>
      <c r="N3411" s="15">
        <v>0</v>
      </c>
      <c r="O3411" s="16">
        <v>0</v>
      </c>
      <c r="P3411" s="17">
        <v>1191.5319821089665</v>
      </c>
      <c r="Q3411" s="17">
        <v>0</v>
      </c>
      <c r="R3411" s="13"/>
      <c r="S3411" s="13"/>
      <c r="T3411" s="13"/>
      <c r="U3411" s="13"/>
      <c r="V3411" s="13"/>
      <c r="W3411" s="13"/>
    </row>
    <row r="3412" spans="1:23" x14ac:dyDescent="0.2">
      <c r="A3412"/>
      <c r="B3412"/>
      <c r="C3412"/>
      <c r="D3412"/>
      <c r="E3412"/>
      <c r="F3412"/>
      <c r="G3412"/>
      <c r="H3412"/>
      <c r="I3412"/>
      <c r="J3412"/>
      <c r="K3412" s="13" t="s">
        <v>263</v>
      </c>
      <c r="L3412" s="13" t="s">
        <v>404</v>
      </c>
      <c r="M3412" s="13" t="s">
        <v>405</v>
      </c>
      <c r="N3412" s="15">
        <v>0</v>
      </c>
      <c r="O3412" s="16">
        <v>0</v>
      </c>
      <c r="P3412" s="17">
        <v>70.786550001013353</v>
      </c>
      <c r="Q3412" s="17">
        <v>397.25506872112396</v>
      </c>
      <c r="R3412" s="13"/>
      <c r="S3412" s="13"/>
      <c r="T3412" s="13"/>
      <c r="U3412" s="13"/>
      <c r="V3412" s="13"/>
      <c r="W3412" s="13"/>
    </row>
    <row r="3413" spans="1:23" x14ac:dyDescent="0.2">
      <c r="A3413"/>
      <c r="B3413"/>
      <c r="C3413"/>
      <c r="D3413"/>
      <c r="E3413"/>
      <c r="F3413"/>
      <c r="G3413"/>
      <c r="H3413"/>
      <c r="I3413"/>
      <c r="J3413"/>
      <c r="K3413" s="13" t="s">
        <v>263</v>
      </c>
      <c r="L3413" s="13" t="s">
        <v>381</v>
      </c>
      <c r="M3413" s="13" t="s">
        <v>382</v>
      </c>
      <c r="N3413" s="15">
        <v>37</v>
      </c>
      <c r="O3413" s="16">
        <v>0</v>
      </c>
      <c r="P3413" s="17">
        <v>0</v>
      </c>
      <c r="Q3413" s="17">
        <v>0</v>
      </c>
      <c r="R3413" s="13"/>
      <c r="S3413" s="13"/>
      <c r="T3413" s="13"/>
      <c r="U3413" s="13"/>
      <c r="V3413" s="13"/>
      <c r="W3413" s="13"/>
    </row>
    <row r="3414" spans="1:23" x14ac:dyDescent="0.2">
      <c r="A3414"/>
      <c r="B3414"/>
      <c r="C3414"/>
      <c r="D3414"/>
      <c r="E3414"/>
      <c r="F3414"/>
      <c r="G3414"/>
      <c r="H3414"/>
      <c r="I3414"/>
      <c r="J3414"/>
      <c r="K3414" s="13" t="s">
        <v>263</v>
      </c>
      <c r="L3414" s="13" t="s">
        <v>409</v>
      </c>
      <c r="M3414" s="13" t="s">
        <v>410</v>
      </c>
      <c r="N3414" s="15">
        <v>4</v>
      </c>
      <c r="O3414" s="16">
        <v>0</v>
      </c>
      <c r="P3414" s="17">
        <v>0</v>
      </c>
      <c r="Q3414" s="17">
        <v>0</v>
      </c>
      <c r="R3414" s="13"/>
      <c r="S3414" s="13"/>
      <c r="T3414" s="13"/>
      <c r="U3414" s="13"/>
      <c r="V3414" s="13"/>
      <c r="W3414" s="13"/>
    </row>
    <row r="3415" spans="1:23" x14ac:dyDescent="0.2">
      <c r="A3415"/>
      <c r="B3415"/>
      <c r="C3415"/>
      <c r="D3415"/>
      <c r="E3415"/>
      <c r="F3415"/>
      <c r="G3415"/>
      <c r="H3415"/>
      <c r="I3415"/>
      <c r="J3415"/>
      <c r="K3415" s="13" t="s">
        <v>263</v>
      </c>
      <c r="L3415" s="13" t="s">
        <v>411</v>
      </c>
      <c r="M3415" s="13" t="s">
        <v>362</v>
      </c>
      <c r="N3415" s="15">
        <v>0</v>
      </c>
      <c r="O3415" s="16">
        <v>27.010279169566719</v>
      </c>
      <c r="P3415" s="17">
        <v>0</v>
      </c>
      <c r="Q3415" s="17">
        <v>0</v>
      </c>
      <c r="R3415" s="13"/>
      <c r="S3415" s="13"/>
      <c r="T3415" s="13"/>
      <c r="U3415" s="13"/>
      <c r="V3415" s="13"/>
      <c r="W3415" s="13"/>
    </row>
    <row r="3416" spans="1:23" x14ac:dyDescent="0.2">
      <c r="A3416"/>
      <c r="B3416"/>
      <c r="C3416"/>
      <c r="D3416"/>
      <c r="E3416"/>
      <c r="F3416"/>
      <c r="G3416"/>
      <c r="H3416"/>
      <c r="I3416"/>
      <c r="J3416"/>
      <c r="K3416" s="13" t="s">
        <v>263</v>
      </c>
      <c r="L3416" s="13" t="s">
        <v>605</v>
      </c>
      <c r="M3416" s="13" t="s">
        <v>429</v>
      </c>
      <c r="N3416" s="15">
        <v>0</v>
      </c>
      <c r="O3416" s="16">
        <v>4.0576471009737833</v>
      </c>
      <c r="P3416" s="17">
        <v>0</v>
      </c>
      <c r="Q3416" s="17">
        <v>0</v>
      </c>
      <c r="R3416" s="13"/>
      <c r="S3416" s="13"/>
      <c r="T3416" s="13"/>
      <c r="U3416" s="13"/>
      <c r="V3416" s="13"/>
      <c r="W3416" s="13"/>
    </row>
    <row r="3417" spans="1:23" x14ac:dyDescent="0.2">
      <c r="A3417"/>
      <c r="B3417"/>
      <c r="C3417"/>
      <c r="D3417"/>
      <c r="E3417"/>
      <c r="F3417"/>
      <c r="G3417"/>
      <c r="H3417"/>
      <c r="I3417"/>
      <c r="J3417"/>
      <c r="K3417" s="13" t="s">
        <v>263</v>
      </c>
      <c r="L3417" s="13" t="s">
        <v>623</v>
      </c>
      <c r="M3417" s="13" t="s">
        <v>530</v>
      </c>
      <c r="N3417" s="15">
        <v>0</v>
      </c>
      <c r="O3417" s="16">
        <v>127.19808455691421</v>
      </c>
      <c r="P3417" s="17">
        <v>0</v>
      </c>
      <c r="Q3417" s="17">
        <v>0</v>
      </c>
      <c r="R3417" s="13"/>
      <c r="S3417" s="13"/>
      <c r="T3417" s="13"/>
      <c r="U3417" s="13"/>
      <c r="V3417" s="13"/>
      <c r="W3417" s="13"/>
    </row>
    <row r="3418" spans="1:23" x14ac:dyDescent="0.2">
      <c r="A3418"/>
      <c r="B3418"/>
      <c r="C3418"/>
      <c r="D3418"/>
      <c r="E3418"/>
      <c r="F3418"/>
      <c r="G3418"/>
      <c r="H3418"/>
      <c r="I3418"/>
      <c r="J3418"/>
      <c r="K3418" s="13" t="s">
        <v>263</v>
      </c>
      <c r="L3418" s="13" t="s">
        <v>608</v>
      </c>
      <c r="M3418" s="13" t="s">
        <v>432</v>
      </c>
      <c r="N3418" s="15">
        <v>1</v>
      </c>
      <c r="O3418" s="16">
        <v>0</v>
      </c>
      <c r="P3418" s="17">
        <v>0</v>
      </c>
      <c r="Q3418" s="17">
        <v>0</v>
      </c>
      <c r="R3418" s="13"/>
      <c r="S3418" s="13"/>
      <c r="T3418" s="13"/>
      <c r="U3418" s="13"/>
      <c r="V3418" s="13"/>
      <c r="W3418" s="13"/>
    </row>
    <row r="3419" spans="1:23" x14ac:dyDescent="0.2">
      <c r="A3419"/>
      <c r="B3419"/>
      <c r="C3419"/>
      <c r="D3419"/>
      <c r="E3419"/>
      <c r="F3419"/>
      <c r="G3419"/>
      <c r="H3419"/>
      <c r="I3419"/>
      <c r="J3419"/>
      <c r="K3419" s="13" t="s">
        <v>263</v>
      </c>
      <c r="L3419" s="13" t="s">
        <v>615</v>
      </c>
      <c r="M3419" s="13" t="s">
        <v>449</v>
      </c>
      <c r="N3419" s="15">
        <v>1</v>
      </c>
      <c r="O3419" s="16">
        <v>0</v>
      </c>
      <c r="P3419" s="17">
        <v>0</v>
      </c>
      <c r="Q3419" s="17">
        <v>0</v>
      </c>
      <c r="R3419" s="13"/>
      <c r="S3419" s="13"/>
      <c r="T3419" s="13"/>
      <c r="U3419" s="13"/>
      <c r="V3419" s="13"/>
      <c r="W3419" s="13"/>
    </row>
    <row r="3420" spans="1:23" x14ac:dyDescent="0.2">
      <c r="A3420"/>
      <c r="B3420"/>
      <c r="C3420"/>
      <c r="D3420"/>
      <c r="E3420"/>
      <c r="F3420"/>
      <c r="G3420"/>
      <c r="H3420"/>
      <c r="I3420"/>
      <c r="J3420"/>
      <c r="K3420" s="13" t="s">
        <v>263</v>
      </c>
      <c r="L3420" s="13" t="s">
        <v>421</v>
      </c>
      <c r="M3420" s="13" t="s">
        <v>443</v>
      </c>
      <c r="N3420" s="15">
        <v>2</v>
      </c>
      <c r="O3420" s="16">
        <v>0</v>
      </c>
      <c r="P3420" s="17">
        <v>0</v>
      </c>
      <c r="Q3420" s="17">
        <v>0</v>
      </c>
      <c r="R3420" s="13"/>
      <c r="S3420" s="13"/>
      <c r="T3420" s="13"/>
      <c r="U3420" s="13"/>
      <c r="V3420" s="13"/>
      <c r="W3420" s="13"/>
    </row>
    <row r="3421" spans="1:23" x14ac:dyDescent="0.2">
      <c r="A3421"/>
      <c r="B3421"/>
      <c r="C3421"/>
      <c r="D3421"/>
      <c r="E3421"/>
      <c r="F3421"/>
      <c r="G3421"/>
      <c r="H3421"/>
      <c r="I3421"/>
      <c r="J3421"/>
      <c r="K3421" s="13" t="s">
        <v>263</v>
      </c>
      <c r="L3421" s="13" t="s">
        <v>383</v>
      </c>
      <c r="M3421" s="13" t="s">
        <v>420</v>
      </c>
      <c r="N3421" s="15">
        <v>4</v>
      </c>
      <c r="O3421" s="16">
        <v>0</v>
      </c>
      <c r="P3421" s="17">
        <v>0</v>
      </c>
      <c r="Q3421" s="17">
        <v>0</v>
      </c>
      <c r="R3421" s="13"/>
      <c r="S3421" s="13"/>
      <c r="T3421" s="13"/>
      <c r="U3421" s="13"/>
      <c r="V3421" s="13"/>
      <c r="W3421" s="13"/>
    </row>
    <row r="3422" spans="1:23" x14ac:dyDescent="0.2">
      <c r="A3422"/>
      <c r="B3422"/>
      <c r="C3422"/>
      <c r="D3422"/>
      <c r="E3422"/>
      <c r="F3422"/>
      <c r="G3422"/>
      <c r="H3422"/>
      <c r="I3422"/>
      <c r="J3422"/>
      <c r="K3422" s="13" t="s">
        <v>263</v>
      </c>
      <c r="L3422" s="13" t="s">
        <v>528</v>
      </c>
      <c r="M3422" s="13" t="s">
        <v>384</v>
      </c>
      <c r="N3422" s="15">
        <v>0</v>
      </c>
      <c r="O3422" s="16">
        <v>285.72928225781101</v>
      </c>
      <c r="P3422" s="17">
        <v>0</v>
      </c>
      <c r="Q3422" s="17">
        <v>0</v>
      </c>
      <c r="R3422" s="13"/>
      <c r="S3422" s="13"/>
      <c r="T3422" s="13"/>
      <c r="U3422" s="13"/>
      <c r="V3422" s="13"/>
      <c r="W3422" s="13"/>
    </row>
    <row r="3423" spans="1:23" x14ac:dyDescent="0.2">
      <c r="A3423"/>
      <c r="B3423"/>
      <c r="C3423"/>
      <c r="D3423"/>
      <c r="E3423"/>
      <c r="F3423"/>
      <c r="G3423"/>
      <c r="H3423"/>
      <c r="I3423"/>
      <c r="J3423"/>
      <c r="K3423" s="13" t="s">
        <v>263</v>
      </c>
      <c r="L3423" s="13" t="s">
        <v>613</v>
      </c>
      <c r="M3423" s="13" t="s">
        <v>444</v>
      </c>
      <c r="N3423" s="15">
        <v>0</v>
      </c>
      <c r="O3423" s="16">
        <v>30.060520285695375</v>
      </c>
      <c r="P3423" s="17">
        <v>0</v>
      </c>
      <c r="Q3423" s="17">
        <v>0</v>
      </c>
      <c r="R3423" s="13"/>
      <c r="S3423" s="13"/>
      <c r="T3423" s="13"/>
      <c r="U3423" s="13"/>
      <c r="V3423" s="13"/>
      <c r="W3423" s="13"/>
    </row>
    <row r="3424" spans="1:23" x14ac:dyDescent="0.2">
      <c r="A3424"/>
      <c r="B3424"/>
      <c r="C3424"/>
      <c r="D3424"/>
      <c r="E3424"/>
      <c r="F3424"/>
      <c r="G3424"/>
      <c r="H3424"/>
      <c r="I3424"/>
      <c r="J3424"/>
      <c r="K3424" s="13" t="s">
        <v>263</v>
      </c>
      <c r="L3424" s="13" t="s">
        <v>611</v>
      </c>
      <c r="M3424" s="13" t="s">
        <v>423</v>
      </c>
      <c r="N3424" s="15">
        <v>0</v>
      </c>
      <c r="O3424" s="16">
        <v>30.485561641874778</v>
      </c>
      <c r="P3424" s="17">
        <v>0</v>
      </c>
      <c r="Q3424" s="17">
        <v>0</v>
      </c>
      <c r="R3424" s="13"/>
      <c r="S3424" s="13"/>
      <c r="T3424" s="13"/>
      <c r="U3424" s="13"/>
      <c r="V3424" s="13"/>
      <c r="W3424" s="13"/>
    </row>
    <row r="3425" spans="1:23" x14ac:dyDescent="0.2">
      <c r="A3425"/>
      <c r="B3425"/>
      <c r="C3425"/>
      <c r="D3425"/>
      <c r="E3425"/>
      <c r="F3425"/>
      <c r="G3425"/>
      <c r="H3425"/>
      <c r="I3425"/>
      <c r="J3425"/>
      <c r="K3425" s="13" t="s">
        <v>263</v>
      </c>
      <c r="L3425" s="13" t="s">
        <v>446</v>
      </c>
      <c r="M3425" s="13" t="s">
        <v>371</v>
      </c>
      <c r="N3425" s="15">
        <v>9</v>
      </c>
      <c r="O3425" s="16">
        <v>0</v>
      </c>
      <c r="P3425" s="17">
        <v>0</v>
      </c>
      <c r="Q3425" s="17">
        <v>0</v>
      </c>
      <c r="R3425" s="13"/>
      <c r="S3425" s="13"/>
      <c r="T3425" s="13"/>
      <c r="U3425" s="13"/>
      <c r="V3425" s="13"/>
      <c r="W3425" s="13"/>
    </row>
    <row r="3426" spans="1:23" x14ac:dyDescent="0.2">
      <c r="A3426"/>
      <c r="B3426"/>
      <c r="C3426"/>
      <c r="D3426"/>
      <c r="E3426"/>
      <c r="F3426"/>
      <c r="G3426"/>
      <c r="H3426"/>
      <c r="I3426"/>
      <c r="J3426"/>
      <c r="K3426" s="13" t="s">
        <v>263</v>
      </c>
      <c r="L3426" s="13" t="s">
        <v>424</v>
      </c>
      <c r="M3426" s="13" t="s">
        <v>468</v>
      </c>
      <c r="N3426" s="15">
        <v>0</v>
      </c>
      <c r="O3426" s="16">
        <v>0</v>
      </c>
      <c r="P3426" s="17">
        <v>16.064450004005991</v>
      </c>
      <c r="Q3426" s="17">
        <v>0</v>
      </c>
      <c r="R3426" s="13"/>
      <c r="S3426" s="13"/>
      <c r="T3426" s="13"/>
      <c r="U3426" s="13"/>
      <c r="V3426" s="13"/>
      <c r="W3426" s="13"/>
    </row>
    <row r="3427" spans="1:23" x14ac:dyDescent="0.2">
      <c r="A3427"/>
      <c r="B3427"/>
      <c r="C3427"/>
      <c r="D3427"/>
      <c r="E3427"/>
      <c r="F3427"/>
      <c r="G3427"/>
      <c r="H3427"/>
      <c r="I3427"/>
      <c r="J3427"/>
      <c r="K3427" s="13" t="s">
        <v>263</v>
      </c>
      <c r="L3427" s="13" t="s">
        <v>484</v>
      </c>
      <c r="M3427" s="13" t="s">
        <v>529</v>
      </c>
      <c r="N3427" s="15">
        <v>0</v>
      </c>
      <c r="O3427" s="16">
        <v>106.51424019663607</v>
      </c>
      <c r="P3427" s="17">
        <v>0</v>
      </c>
      <c r="Q3427" s="17">
        <v>0</v>
      </c>
      <c r="R3427" s="13"/>
      <c r="S3427" s="13"/>
      <c r="T3427" s="13"/>
      <c r="U3427" s="13"/>
      <c r="V3427" s="13"/>
      <c r="W3427" s="13"/>
    </row>
    <row r="3428" spans="1:23" x14ac:dyDescent="0.2">
      <c r="A3428"/>
      <c r="B3428"/>
      <c r="C3428"/>
      <c r="D3428"/>
      <c r="E3428"/>
      <c r="F3428"/>
      <c r="G3428"/>
      <c r="H3428"/>
      <c r="I3428"/>
      <c r="J3428"/>
      <c r="K3428" s="13" t="s">
        <v>265</v>
      </c>
      <c r="L3428" s="13" t="s">
        <v>435</v>
      </c>
      <c r="M3428" s="13" t="s">
        <v>364</v>
      </c>
      <c r="N3428" s="15">
        <v>0</v>
      </c>
      <c r="O3428" s="16">
        <v>61.065671589663282</v>
      </c>
      <c r="P3428" s="17">
        <v>0</v>
      </c>
      <c r="Q3428" s="17">
        <v>0</v>
      </c>
      <c r="R3428" s="13"/>
      <c r="S3428" s="13"/>
      <c r="T3428" s="13"/>
      <c r="U3428" s="13"/>
      <c r="V3428" s="13"/>
      <c r="W3428" s="13"/>
    </row>
    <row r="3429" spans="1:23" x14ac:dyDescent="0.2">
      <c r="A3429"/>
      <c r="B3429"/>
      <c r="C3429"/>
      <c r="D3429"/>
      <c r="E3429"/>
      <c r="F3429"/>
      <c r="G3429"/>
      <c r="H3429"/>
      <c r="I3429"/>
      <c r="J3429"/>
      <c r="K3429" s="13" t="s">
        <v>265</v>
      </c>
      <c r="L3429" s="13" t="s">
        <v>635</v>
      </c>
      <c r="M3429" s="13" t="s">
        <v>507</v>
      </c>
      <c r="N3429" s="15">
        <v>0</v>
      </c>
      <c r="O3429" s="16">
        <v>0</v>
      </c>
      <c r="P3429" s="17">
        <v>14.556249999459833</v>
      </c>
      <c r="Q3429" s="17">
        <v>0</v>
      </c>
      <c r="R3429" s="13"/>
      <c r="S3429" s="13"/>
      <c r="T3429" s="13"/>
      <c r="U3429" s="13"/>
      <c r="V3429" s="13"/>
      <c r="W3429" s="13"/>
    </row>
    <row r="3430" spans="1:23" x14ac:dyDescent="0.2">
      <c r="A3430"/>
      <c r="B3430"/>
      <c r="C3430"/>
      <c r="D3430"/>
      <c r="E3430"/>
      <c r="F3430"/>
      <c r="G3430"/>
      <c r="H3430"/>
      <c r="I3430"/>
      <c r="J3430"/>
      <c r="K3430" s="13" t="s">
        <v>265</v>
      </c>
      <c r="L3430" s="13" t="s">
        <v>389</v>
      </c>
      <c r="M3430" s="13" t="s">
        <v>388</v>
      </c>
      <c r="N3430" s="15">
        <v>0</v>
      </c>
      <c r="O3430" s="16">
        <v>0</v>
      </c>
      <c r="P3430" s="17">
        <v>1019.0093999758038</v>
      </c>
      <c r="Q3430" s="17">
        <v>0</v>
      </c>
      <c r="R3430" s="13"/>
      <c r="S3430" s="13"/>
      <c r="T3430" s="13"/>
      <c r="U3430" s="13"/>
      <c r="V3430" s="13"/>
      <c r="W3430" s="13"/>
    </row>
    <row r="3431" spans="1:23" x14ac:dyDescent="0.2">
      <c r="A3431"/>
      <c r="B3431"/>
      <c r="C3431"/>
      <c r="D3431"/>
      <c r="E3431"/>
      <c r="F3431"/>
      <c r="G3431"/>
      <c r="H3431"/>
      <c r="I3431"/>
      <c r="J3431"/>
      <c r="K3431" s="13" t="s">
        <v>265</v>
      </c>
      <c r="L3431" s="13" t="s">
        <v>392</v>
      </c>
      <c r="M3431" s="13" t="s">
        <v>437</v>
      </c>
      <c r="N3431" s="15">
        <v>0</v>
      </c>
      <c r="O3431" s="16">
        <v>0</v>
      </c>
      <c r="P3431" s="17">
        <v>2.4188000002265211</v>
      </c>
      <c r="Q3431" s="17">
        <v>0</v>
      </c>
      <c r="R3431" s="13"/>
      <c r="S3431" s="13"/>
      <c r="T3431" s="13"/>
      <c r="U3431" s="13"/>
      <c r="V3431" s="13"/>
      <c r="W3431" s="13"/>
    </row>
    <row r="3432" spans="1:23" x14ac:dyDescent="0.2">
      <c r="A3432"/>
      <c r="B3432"/>
      <c r="C3432"/>
      <c r="D3432"/>
      <c r="E3432"/>
      <c r="F3432"/>
      <c r="G3432"/>
      <c r="H3432"/>
      <c r="I3432"/>
      <c r="J3432"/>
      <c r="K3432" s="13" t="s">
        <v>265</v>
      </c>
      <c r="L3432" s="13" t="s">
        <v>486</v>
      </c>
      <c r="M3432" s="13" t="s">
        <v>439</v>
      </c>
      <c r="N3432" s="15">
        <v>0</v>
      </c>
      <c r="O3432" s="16">
        <v>0</v>
      </c>
      <c r="P3432" s="17">
        <v>17.669900001071998</v>
      </c>
      <c r="Q3432" s="17">
        <v>0</v>
      </c>
      <c r="R3432" s="13"/>
      <c r="S3432" s="13"/>
      <c r="T3432" s="13"/>
      <c r="U3432" s="13"/>
      <c r="V3432" s="13"/>
      <c r="W3432" s="13"/>
    </row>
    <row r="3433" spans="1:23" x14ac:dyDescent="0.2">
      <c r="A3433"/>
      <c r="B3433"/>
      <c r="C3433"/>
      <c r="D3433"/>
      <c r="E3433"/>
      <c r="F3433"/>
      <c r="G3433"/>
      <c r="H3433"/>
      <c r="I3433"/>
      <c r="J3433"/>
      <c r="K3433" s="13" t="s">
        <v>265</v>
      </c>
      <c r="L3433" s="13" t="s">
        <v>512</v>
      </c>
      <c r="M3433" s="13" t="s">
        <v>466</v>
      </c>
      <c r="N3433" s="15">
        <v>0</v>
      </c>
      <c r="O3433" s="16">
        <v>0</v>
      </c>
      <c r="P3433" s="17">
        <v>264.31830001456444</v>
      </c>
      <c r="Q3433" s="17">
        <v>0</v>
      </c>
      <c r="R3433" s="13"/>
      <c r="S3433" s="13"/>
      <c r="T3433" s="13"/>
      <c r="U3433" s="13"/>
      <c r="V3433" s="13"/>
      <c r="W3433" s="13"/>
    </row>
    <row r="3434" spans="1:23" x14ac:dyDescent="0.2">
      <c r="A3434"/>
      <c r="B3434"/>
      <c r="C3434"/>
      <c r="D3434"/>
      <c r="E3434"/>
      <c r="F3434"/>
      <c r="G3434"/>
      <c r="H3434"/>
      <c r="I3434"/>
      <c r="J3434"/>
      <c r="K3434" s="13" t="s">
        <v>265</v>
      </c>
      <c r="L3434" s="13" t="s">
        <v>532</v>
      </c>
      <c r="M3434" s="13" t="s">
        <v>620</v>
      </c>
      <c r="N3434" s="15">
        <v>0</v>
      </c>
      <c r="O3434" s="16">
        <v>0</v>
      </c>
      <c r="P3434" s="17">
        <v>14.795299996421951</v>
      </c>
      <c r="Q3434" s="17">
        <v>0</v>
      </c>
      <c r="R3434" s="13"/>
      <c r="S3434" s="13"/>
      <c r="T3434" s="13"/>
      <c r="U3434" s="13"/>
      <c r="V3434" s="13"/>
      <c r="W3434" s="13"/>
    </row>
    <row r="3435" spans="1:23" x14ac:dyDescent="0.2">
      <c r="A3435"/>
      <c r="B3435"/>
      <c r="C3435"/>
      <c r="D3435"/>
      <c r="E3435"/>
      <c r="F3435"/>
      <c r="G3435"/>
      <c r="H3435"/>
      <c r="I3435"/>
      <c r="J3435"/>
      <c r="K3435" s="13" t="s">
        <v>265</v>
      </c>
      <c r="L3435" s="13" t="s">
        <v>440</v>
      </c>
      <c r="M3435" s="13" t="s">
        <v>441</v>
      </c>
      <c r="N3435" s="15">
        <v>1</v>
      </c>
      <c r="O3435" s="16">
        <v>0</v>
      </c>
      <c r="P3435" s="17">
        <v>0</v>
      </c>
      <c r="Q3435" s="17">
        <v>0</v>
      </c>
      <c r="R3435" s="13"/>
      <c r="S3435" s="13"/>
      <c r="T3435" s="13"/>
      <c r="U3435" s="13"/>
      <c r="V3435" s="13"/>
      <c r="W3435" s="13"/>
    </row>
    <row r="3436" spans="1:23" x14ac:dyDescent="0.2">
      <c r="A3436"/>
      <c r="B3436"/>
      <c r="C3436"/>
      <c r="D3436"/>
      <c r="E3436"/>
      <c r="F3436"/>
      <c r="G3436"/>
      <c r="H3436"/>
      <c r="I3436"/>
      <c r="J3436"/>
      <c r="K3436" s="13" t="s">
        <v>265</v>
      </c>
      <c r="L3436" s="13" t="s">
        <v>394</v>
      </c>
      <c r="M3436" s="13" t="s">
        <v>359</v>
      </c>
      <c r="N3436" s="15">
        <v>0</v>
      </c>
      <c r="O3436" s="16">
        <v>0</v>
      </c>
      <c r="P3436" s="17">
        <v>7.7346000002518762</v>
      </c>
      <c r="Q3436" s="17">
        <v>0</v>
      </c>
      <c r="R3436" s="13"/>
      <c r="S3436" s="13"/>
      <c r="T3436" s="13"/>
      <c r="U3436" s="13"/>
      <c r="V3436" s="13"/>
      <c r="W3436" s="13"/>
    </row>
    <row r="3437" spans="1:23" x14ac:dyDescent="0.2">
      <c r="A3437"/>
      <c r="B3437"/>
      <c r="C3437"/>
      <c r="D3437"/>
      <c r="E3437"/>
      <c r="F3437"/>
      <c r="G3437"/>
      <c r="H3437"/>
      <c r="I3437"/>
      <c r="J3437"/>
      <c r="K3437" s="13" t="s">
        <v>265</v>
      </c>
      <c r="L3437" s="13" t="s">
        <v>395</v>
      </c>
      <c r="M3437" s="13" t="s">
        <v>602</v>
      </c>
      <c r="N3437" s="15">
        <v>1</v>
      </c>
      <c r="O3437" s="16">
        <v>0</v>
      </c>
      <c r="P3437" s="17">
        <v>0</v>
      </c>
      <c r="Q3437" s="17">
        <v>0</v>
      </c>
      <c r="R3437" s="13"/>
      <c r="S3437" s="13"/>
      <c r="T3437" s="13"/>
      <c r="U3437" s="13"/>
      <c r="V3437" s="13"/>
      <c r="W3437" s="13"/>
    </row>
    <row r="3438" spans="1:23" x14ac:dyDescent="0.2">
      <c r="A3438"/>
      <c r="B3438"/>
      <c r="C3438"/>
      <c r="D3438"/>
      <c r="E3438"/>
      <c r="F3438"/>
      <c r="G3438"/>
      <c r="H3438"/>
      <c r="I3438"/>
      <c r="J3438"/>
      <c r="K3438" s="13" t="s">
        <v>265</v>
      </c>
      <c r="L3438" s="13" t="s">
        <v>399</v>
      </c>
      <c r="M3438" s="13" t="s">
        <v>400</v>
      </c>
      <c r="N3438" s="15">
        <v>0</v>
      </c>
      <c r="O3438" s="16">
        <v>0</v>
      </c>
      <c r="P3438" s="17">
        <v>3.697200001827162</v>
      </c>
      <c r="Q3438" s="17">
        <v>0</v>
      </c>
      <c r="R3438" s="13"/>
      <c r="S3438" s="13"/>
      <c r="T3438" s="13"/>
      <c r="U3438" s="13"/>
      <c r="V3438" s="13"/>
      <c r="W3438" s="13"/>
    </row>
    <row r="3439" spans="1:23" x14ac:dyDescent="0.2">
      <c r="A3439"/>
      <c r="B3439"/>
      <c r="C3439"/>
      <c r="D3439"/>
      <c r="E3439"/>
      <c r="F3439"/>
      <c r="G3439"/>
      <c r="H3439"/>
      <c r="I3439"/>
      <c r="J3439"/>
      <c r="K3439" s="13" t="s">
        <v>265</v>
      </c>
      <c r="L3439" s="13" t="s">
        <v>401</v>
      </c>
      <c r="M3439" s="13" t="s">
        <v>360</v>
      </c>
      <c r="N3439" s="15">
        <v>0</v>
      </c>
      <c r="O3439" s="16">
        <v>0</v>
      </c>
      <c r="P3439" s="17">
        <v>760.19684997913771</v>
      </c>
      <c r="Q3439" s="17">
        <v>0</v>
      </c>
      <c r="R3439" s="13"/>
      <c r="S3439" s="13"/>
      <c r="T3439" s="13"/>
      <c r="U3439" s="13"/>
      <c r="V3439" s="13"/>
      <c r="W3439" s="13"/>
    </row>
    <row r="3440" spans="1:23" x14ac:dyDescent="0.2">
      <c r="A3440"/>
      <c r="B3440"/>
      <c r="C3440"/>
      <c r="D3440"/>
      <c r="E3440"/>
      <c r="F3440"/>
      <c r="G3440"/>
      <c r="H3440"/>
      <c r="I3440"/>
      <c r="J3440"/>
      <c r="K3440" s="13" t="s">
        <v>265</v>
      </c>
      <c r="L3440" s="13" t="s">
        <v>402</v>
      </c>
      <c r="M3440" s="13" t="s">
        <v>403</v>
      </c>
      <c r="N3440" s="15">
        <v>0</v>
      </c>
      <c r="O3440" s="16">
        <v>0</v>
      </c>
      <c r="P3440" s="17">
        <v>1188.3004999711384</v>
      </c>
      <c r="Q3440" s="17">
        <v>0</v>
      </c>
      <c r="R3440" s="13"/>
      <c r="S3440" s="13"/>
      <c r="T3440" s="13"/>
      <c r="U3440" s="13"/>
      <c r="V3440" s="13"/>
      <c r="W3440" s="13"/>
    </row>
    <row r="3441" spans="1:23" x14ac:dyDescent="0.2">
      <c r="A3441"/>
      <c r="B3441"/>
      <c r="C3441"/>
      <c r="D3441"/>
      <c r="E3441"/>
      <c r="F3441"/>
      <c r="G3441"/>
      <c r="H3441"/>
      <c r="I3441"/>
      <c r="J3441"/>
      <c r="K3441" s="13" t="s">
        <v>265</v>
      </c>
      <c r="L3441" s="13" t="s">
        <v>404</v>
      </c>
      <c r="M3441" s="13" t="s">
        <v>405</v>
      </c>
      <c r="N3441" s="15">
        <v>0</v>
      </c>
      <c r="O3441" s="16">
        <v>0</v>
      </c>
      <c r="P3441" s="17">
        <v>15.305000000610596</v>
      </c>
      <c r="Q3441" s="17">
        <v>84.678860558249312</v>
      </c>
      <c r="R3441" s="13"/>
      <c r="S3441" s="13"/>
      <c r="T3441" s="13"/>
      <c r="U3441" s="13"/>
      <c r="V3441" s="13"/>
      <c r="W3441" s="13"/>
    </row>
    <row r="3442" spans="1:23" x14ac:dyDescent="0.2">
      <c r="A3442"/>
      <c r="B3442"/>
      <c r="C3442"/>
      <c r="D3442"/>
      <c r="E3442"/>
      <c r="F3442"/>
      <c r="G3442"/>
      <c r="H3442"/>
      <c r="I3442"/>
      <c r="J3442"/>
      <c r="K3442" s="13" t="s">
        <v>265</v>
      </c>
      <c r="L3442" s="13" t="s">
        <v>406</v>
      </c>
      <c r="M3442" s="13" t="s">
        <v>361</v>
      </c>
      <c r="N3442" s="15">
        <v>0</v>
      </c>
      <c r="O3442" s="16">
        <v>0</v>
      </c>
      <c r="P3442" s="17">
        <v>21.905200003064422</v>
      </c>
      <c r="Q3442" s="17">
        <v>49.245434576582632</v>
      </c>
      <c r="R3442" s="13"/>
      <c r="S3442" s="13"/>
      <c r="T3442" s="13"/>
      <c r="U3442" s="13"/>
      <c r="V3442" s="13"/>
      <c r="W3442" s="13"/>
    </row>
    <row r="3443" spans="1:23" x14ac:dyDescent="0.2">
      <c r="A3443"/>
      <c r="B3443"/>
      <c r="C3443"/>
      <c r="D3443"/>
      <c r="E3443"/>
      <c r="F3443"/>
      <c r="G3443"/>
      <c r="H3443"/>
      <c r="I3443"/>
      <c r="J3443"/>
      <c r="K3443" s="13" t="s">
        <v>265</v>
      </c>
      <c r="L3443" s="13" t="s">
        <v>381</v>
      </c>
      <c r="M3443" s="13" t="s">
        <v>382</v>
      </c>
      <c r="N3443" s="15">
        <v>8</v>
      </c>
      <c r="O3443" s="16">
        <v>0</v>
      </c>
      <c r="P3443" s="17">
        <v>0</v>
      </c>
      <c r="Q3443" s="17">
        <v>0</v>
      </c>
      <c r="R3443" s="13"/>
      <c r="S3443" s="13"/>
      <c r="T3443" s="13"/>
      <c r="U3443" s="13"/>
      <c r="V3443" s="13"/>
      <c r="W3443" s="13"/>
    </row>
    <row r="3444" spans="1:23" x14ac:dyDescent="0.2">
      <c r="A3444"/>
      <c r="B3444"/>
      <c r="C3444"/>
      <c r="D3444"/>
      <c r="E3444"/>
      <c r="F3444"/>
      <c r="G3444"/>
      <c r="H3444"/>
      <c r="I3444"/>
      <c r="J3444"/>
      <c r="K3444" s="13" t="s">
        <v>265</v>
      </c>
      <c r="L3444" s="13" t="s">
        <v>409</v>
      </c>
      <c r="M3444" s="13" t="s">
        <v>410</v>
      </c>
      <c r="N3444" s="15">
        <v>2</v>
      </c>
      <c r="O3444" s="16">
        <v>0</v>
      </c>
      <c r="P3444" s="17">
        <v>0</v>
      </c>
      <c r="Q3444" s="17">
        <v>0</v>
      </c>
      <c r="R3444" s="13"/>
      <c r="S3444" s="13"/>
      <c r="T3444" s="13"/>
      <c r="U3444" s="13"/>
      <c r="V3444" s="13"/>
      <c r="W3444" s="13"/>
    </row>
    <row r="3445" spans="1:23" x14ac:dyDescent="0.2">
      <c r="A3445"/>
      <c r="B3445"/>
      <c r="C3445"/>
      <c r="D3445"/>
      <c r="E3445"/>
      <c r="F3445"/>
      <c r="G3445"/>
      <c r="H3445"/>
      <c r="I3445"/>
      <c r="J3445"/>
      <c r="K3445" s="13" t="s">
        <v>265</v>
      </c>
      <c r="L3445" s="13" t="s">
        <v>411</v>
      </c>
      <c r="M3445" s="13" t="s">
        <v>362</v>
      </c>
      <c r="N3445" s="15">
        <v>0</v>
      </c>
      <c r="O3445" s="16">
        <v>35.212714532044764</v>
      </c>
      <c r="P3445" s="17">
        <v>0</v>
      </c>
      <c r="Q3445" s="17">
        <v>0</v>
      </c>
      <c r="R3445" s="13"/>
      <c r="S3445" s="13"/>
      <c r="T3445" s="13"/>
      <c r="U3445" s="13"/>
      <c r="V3445" s="13"/>
      <c r="W3445" s="13"/>
    </row>
    <row r="3446" spans="1:23" x14ac:dyDescent="0.2">
      <c r="A3446"/>
      <c r="B3446"/>
      <c r="C3446"/>
      <c r="D3446"/>
      <c r="E3446"/>
      <c r="F3446"/>
      <c r="G3446"/>
      <c r="H3446"/>
      <c r="I3446"/>
      <c r="J3446"/>
      <c r="K3446" s="13" t="s">
        <v>265</v>
      </c>
      <c r="L3446" s="13" t="s">
        <v>605</v>
      </c>
      <c r="M3446" s="13" t="s">
        <v>429</v>
      </c>
      <c r="N3446" s="15">
        <v>0</v>
      </c>
      <c r="O3446" s="16">
        <v>6.4250381658923841</v>
      </c>
      <c r="P3446" s="17">
        <v>0</v>
      </c>
      <c r="Q3446" s="17">
        <v>0</v>
      </c>
      <c r="R3446" s="13"/>
      <c r="S3446" s="13"/>
      <c r="T3446" s="13"/>
      <c r="U3446" s="13"/>
      <c r="V3446" s="13"/>
      <c r="W3446" s="13"/>
    </row>
    <row r="3447" spans="1:23" x14ac:dyDescent="0.2">
      <c r="A3447"/>
      <c r="B3447"/>
      <c r="C3447"/>
      <c r="D3447"/>
      <c r="E3447"/>
      <c r="F3447"/>
      <c r="G3447"/>
      <c r="H3447"/>
      <c r="I3447"/>
      <c r="J3447"/>
      <c r="K3447" s="13" t="s">
        <v>265</v>
      </c>
      <c r="L3447" s="13" t="s">
        <v>606</v>
      </c>
      <c r="M3447" s="13" t="s">
        <v>430</v>
      </c>
      <c r="N3447" s="15">
        <v>2</v>
      </c>
      <c r="O3447" s="16">
        <v>0</v>
      </c>
      <c r="P3447" s="17">
        <v>0</v>
      </c>
      <c r="Q3447" s="17">
        <v>0</v>
      </c>
      <c r="R3447" s="13"/>
      <c r="S3447" s="13"/>
      <c r="T3447" s="13"/>
      <c r="U3447" s="13"/>
      <c r="V3447" s="13"/>
      <c r="W3447" s="13"/>
    </row>
    <row r="3448" spans="1:23" x14ac:dyDescent="0.2">
      <c r="A3448"/>
      <c r="B3448"/>
      <c r="C3448"/>
      <c r="D3448"/>
      <c r="E3448"/>
      <c r="F3448"/>
      <c r="G3448"/>
      <c r="H3448"/>
      <c r="I3448"/>
      <c r="J3448"/>
      <c r="K3448" s="13" t="s">
        <v>265</v>
      </c>
      <c r="L3448" s="13" t="s">
        <v>623</v>
      </c>
      <c r="M3448" s="13" t="s">
        <v>530</v>
      </c>
      <c r="N3448" s="15">
        <v>0</v>
      </c>
      <c r="O3448" s="16">
        <v>152.21369998624129</v>
      </c>
      <c r="P3448" s="17">
        <v>0</v>
      </c>
      <c r="Q3448" s="17">
        <v>0</v>
      </c>
      <c r="R3448" s="13"/>
      <c r="S3448" s="13"/>
      <c r="T3448" s="13"/>
      <c r="U3448" s="13"/>
      <c r="V3448" s="13"/>
      <c r="W3448" s="13"/>
    </row>
    <row r="3449" spans="1:23" x14ac:dyDescent="0.2">
      <c r="A3449"/>
      <c r="B3449"/>
      <c r="C3449"/>
      <c r="D3449"/>
      <c r="E3449"/>
      <c r="F3449"/>
      <c r="G3449"/>
      <c r="H3449"/>
      <c r="I3449"/>
      <c r="J3449"/>
      <c r="K3449" s="13" t="s">
        <v>265</v>
      </c>
      <c r="L3449" s="13" t="s">
        <v>624</v>
      </c>
      <c r="M3449" s="13" t="s">
        <v>531</v>
      </c>
      <c r="N3449" s="15">
        <v>1</v>
      </c>
      <c r="O3449" s="16">
        <v>0</v>
      </c>
      <c r="P3449" s="17">
        <v>0</v>
      </c>
      <c r="Q3449" s="17">
        <v>0</v>
      </c>
      <c r="R3449" s="13"/>
      <c r="S3449" s="13"/>
      <c r="T3449" s="13"/>
      <c r="U3449" s="13"/>
      <c r="V3449" s="13"/>
      <c r="W3449" s="13"/>
    </row>
    <row r="3450" spans="1:23" x14ac:dyDescent="0.2">
      <c r="A3450"/>
      <c r="B3450"/>
      <c r="C3450"/>
      <c r="D3450"/>
      <c r="E3450"/>
      <c r="F3450"/>
      <c r="G3450"/>
      <c r="H3450"/>
      <c r="I3450"/>
      <c r="J3450"/>
      <c r="K3450" s="13" t="s">
        <v>265</v>
      </c>
      <c r="L3450" s="13" t="s">
        <v>608</v>
      </c>
      <c r="M3450" s="13" t="s">
        <v>432</v>
      </c>
      <c r="N3450" s="15">
        <v>3</v>
      </c>
      <c r="O3450" s="16">
        <v>0</v>
      </c>
      <c r="P3450" s="17">
        <v>0</v>
      </c>
      <c r="Q3450" s="17">
        <v>0</v>
      </c>
      <c r="R3450" s="13"/>
      <c r="S3450" s="13"/>
      <c r="T3450" s="13"/>
      <c r="U3450" s="13"/>
      <c r="V3450" s="13"/>
      <c r="W3450" s="13"/>
    </row>
    <row r="3451" spans="1:23" x14ac:dyDescent="0.2">
      <c r="A3451"/>
      <c r="B3451"/>
      <c r="C3451"/>
      <c r="D3451"/>
      <c r="E3451"/>
      <c r="F3451"/>
      <c r="G3451"/>
      <c r="H3451"/>
      <c r="I3451"/>
      <c r="J3451"/>
      <c r="K3451" s="13" t="s">
        <v>265</v>
      </c>
      <c r="L3451" s="13" t="s">
        <v>615</v>
      </c>
      <c r="M3451" s="13" t="s">
        <v>449</v>
      </c>
      <c r="N3451" s="15">
        <v>1</v>
      </c>
      <c r="O3451" s="16">
        <v>0</v>
      </c>
      <c r="P3451" s="17">
        <v>0</v>
      </c>
      <c r="Q3451" s="17">
        <v>0</v>
      </c>
      <c r="R3451" s="13"/>
      <c r="S3451" s="13"/>
      <c r="T3451" s="13"/>
      <c r="U3451" s="13"/>
      <c r="V3451" s="13"/>
      <c r="W3451" s="13"/>
    </row>
    <row r="3452" spans="1:23" x14ac:dyDescent="0.2">
      <c r="A3452"/>
      <c r="B3452"/>
      <c r="C3452"/>
      <c r="D3452"/>
      <c r="E3452"/>
      <c r="F3452"/>
      <c r="G3452"/>
      <c r="H3452"/>
      <c r="I3452"/>
      <c r="J3452"/>
      <c r="K3452" s="13" t="s">
        <v>265</v>
      </c>
      <c r="L3452" s="13" t="s">
        <v>415</v>
      </c>
      <c r="M3452" s="13" t="s">
        <v>412</v>
      </c>
      <c r="N3452" s="15">
        <v>0</v>
      </c>
      <c r="O3452" s="16">
        <v>0</v>
      </c>
      <c r="P3452" s="17">
        <v>6.4637999998307087</v>
      </c>
      <c r="Q3452" s="17">
        <v>0</v>
      </c>
      <c r="R3452" s="13"/>
      <c r="S3452" s="13"/>
      <c r="T3452" s="13"/>
      <c r="U3452" s="13"/>
      <c r="V3452" s="13"/>
      <c r="W3452" s="13"/>
    </row>
    <row r="3453" spans="1:23" x14ac:dyDescent="0.2">
      <c r="A3453"/>
      <c r="B3453"/>
      <c r="C3453"/>
      <c r="D3453"/>
      <c r="E3453"/>
      <c r="F3453"/>
      <c r="G3453"/>
      <c r="H3453"/>
      <c r="I3453"/>
      <c r="J3453"/>
      <c r="K3453" s="13" t="s">
        <v>265</v>
      </c>
      <c r="L3453" s="13" t="s">
        <v>523</v>
      </c>
      <c r="M3453" s="13" t="s">
        <v>476</v>
      </c>
      <c r="N3453" s="15">
        <v>0</v>
      </c>
      <c r="O3453" s="16">
        <v>0</v>
      </c>
      <c r="P3453" s="17">
        <v>5.2516500013889971</v>
      </c>
      <c r="Q3453" s="17">
        <v>0</v>
      </c>
      <c r="R3453" s="13"/>
      <c r="S3453" s="13"/>
      <c r="T3453" s="13"/>
      <c r="U3453" s="13"/>
      <c r="V3453" s="13"/>
      <c r="W3453" s="13"/>
    </row>
    <row r="3454" spans="1:23" x14ac:dyDescent="0.2">
      <c r="A3454"/>
      <c r="B3454"/>
      <c r="C3454"/>
      <c r="D3454"/>
      <c r="E3454"/>
      <c r="F3454"/>
      <c r="G3454"/>
      <c r="H3454"/>
      <c r="I3454"/>
      <c r="J3454"/>
      <c r="K3454" s="13" t="s">
        <v>265</v>
      </c>
      <c r="L3454" s="13" t="s">
        <v>421</v>
      </c>
      <c r="M3454" s="13" t="s">
        <v>443</v>
      </c>
      <c r="N3454" s="15">
        <v>6</v>
      </c>
      <c r="O3454" s="16">
        <v>0</v>
      </c>
      <c r="P3454" s="17">
        <v>0</v>
      </c>
      <c r="Q3454" s="17">
        <v>0</v>
      </c>
      <c r="R3454" s="13"/>
      <c r="S3454" s="13"/>
      <c r="T3454" s="13"/>
      <c r="U3454" s="13"/>
      <c r="V3454" s="13"/>
      <c r="W3454" s="13"/>
    </row>
    <row r="3455" spans="1:23" x14ac:dyDescent="0.2">
      <c r="A3455"/>
      <c r="B3455"/>
      <c r="C3455"/>
      <c r="D3455"/>
      <c r="E3455"/>
      <c r="F3455"/>
      <c r="G3455"/>
      <c r="H3455"/>
      <c r="I3455"/>
      <c r="J3455"/>
      <c r="K3455" s="13" t="s">
        <v>265</v>
      </c>
      <c r="L3455" s="13" t="s">
        <v>383</v>
      </c>
      <c r="M3455" s="13" t="s">
        <v>420</v>
      </c>
      <c r="N3455" s="15">
        <v>12</v>
      </c>
      <c r="O3455" s="16">
        <v>0</v>
      </c>
      <c r="P3455" s="17">
        <v>0</v>
      </c>
      <c r="Q3455" s="17">
        <v>0</v>
      </c>
      <c r="R3455" s="13"/>
      <c r="S3455" s="13"/>
      <c r="T3455" s="13"/>
      <c r="U3455" s="13"/>
      <c r="V3455" s="13"/>
      <c r="W3455" s="13"/>
    </row>
    <row r="3456" spans="1:23" x14ac:dyDescent="0.2">
      <c r="A3456"/>
      <c r="B3456"/>
      <c r="C3456"/>
      <c r="D3456"/>
      <c r="E3456"/>
      <c r="F3456"/>
      <c r="G3456"/>
      <c r="H3456"/>
      <c r="I3456"/>
      <c r="J3456"/>
      <c r="K3456" s="13" t="s">
        <v>265</v>
      </c>
      <c r="L3456" s="13" t="s">
        <v>528</v>
      </c>
      <c r="M3456" s="13" t="s">
        <v>384</v>
      </c>
      <c r="N3456" s="15">
        <v>0</v>
      </c>
      <c r="O3456" s="16">
        <v>272.09989818844326</v>
      </c>
      <c r="P3456" s="17">
        <v>0</v>
      </c>
      <c r="Q3456" s="17">
        <v>0</v>
      </c>
      <c r="R3456" s="13"/>
      <c r="S3456" s="13"/>
      <c r="T3456" s="13"/>
      <c r="U3456" s="13"/>
      <c r="V3456" s="13"/>
      <c r="W3456" s="13"/>
    </row>
    <row r="3457" spans="1:23" x14ac:dyDescent="0.2">
      <c r="A3457"/>
      <c r="B3457"/>
      <c r="C3457"/>
      <c r="D3457"/>
      <c r="E3457"/>
      <c r="F3457"/>
      <c r="G3457"/>
      <c r="H3457"/>
      <c r="I3457"/>
      <c r="J3457"/>
      <c r="K3457" s="13" t="s">
        <v>265</v>
      </c>
      <c r="L3457" s="13" t="s">
        <v>613</v>
      </c>
      <c r="M3457" s="13" t="s">
        <v>444</v>
      </c>
      <c r="N3457" s="15">
        <v>0</v>
      </c>
      <c r="O3457" s="16">
        <v>5.564507935592097</v>
      </c>
      <c r="P3457" s="17">
        <v>0</v>
      </c>
      <c r="Q3457" s="17">
        <v>0</v>
      </c>
      <c r="R3457" s="13"/>
      <c r="S3457" s="13"/>
      <c r="T3457" s="13"/>
      <c r="U3457" s="13"/>
      <c r="V3457" s="13"/>
      <c r="W3457" s="13"/>
    </row>
    <row r="3458" spans="1:23" x14ac:dyDescent="0.2">
      <c r="A3458"/>
      <c r="B3458"/>
      <c r="C3458"/>
      <c r="D3458"/>
      <c r="E3458"/>
      <c r="F3458"/>
      <c r="G3458"/>
      <c r="H3458"/>
      <c r="I3458"/>
      <c r="J3458"/>
      <c r="K3458" s="13" t="s">
        <v>265</v>
      </c>
      <c r="L3458" s="13" t="s">
        <v>446</v>
      </c>
      <c r="M3458" s="13" t="s">
        <v>371</v>
      </c>
      <c r="N3458" s="15">
        <v>17</v>
      </c>
      <c r="O3458" s="16">
        <v>0</v>
      </c>
      <c r="P3458" s="17">
        <v>0</v>
      </c>
      <c r="Q3458" s="17">
        <v>0</v>
      </c>
      <c r="R3458" s="13"/>
      <c r="S3458" s="13"/>
      <c r="T3458" s="13"/>
      <c r="U3458" s="13"/>
      <c r="V3458" s="13"/>
      <c r="W3458" s="13"/>
    </row>
    <row r="3459" spans="1:23" x14ac:dyDescent="0.2">
      <c r="A3459"/>
      <c r="B3459"/>
      <c r="C3459"/>
      <c r="D3459"/>
      <c r="E3459"/>
      <c r="F3459"/>
      <c r="G3459"/>
      <c r="H3459"/>
      <c r="I3459"/>
      <c r="J3459"/>
      <c r="K3459" s="13" t="s">
        <v>265</v>
      </c>
      <c r="L3459" s="13" t="s">
        <v>424</v>
      </c>
      <c r="M3459" s="13" t="s">
        <v>468</v>
      </c>
      <c r="N3459" s="15">
        <v>0</v>
      </c>
      <c r="O3459" s="16">
        <v>0</v>
      </c>
      <c r="P3459" s="17">
        <v>12.343700000792113</v>
      </c>
      <c r="Q3459" s="17">
        <v>0</v>
      </c>
      <c r="R3459" s="13"/>
      <c r="S3459" s="13"/>
      <c r="T3459" s="13"/>
      <c r="U3459" s="13"/>
      <c r="V3459" s="13"/>
      <c r="W3459" s="13"/>
    </row>
    <row r="3460" spans="1:23" x14ac:dyDescent="0.2">
      <c r="A3460"/>
      <c r="B3460"/>
      <c r="C3460"/>
      <c r="D3460"/>
      <c r="E3460"/>
      <c r="F3460"/>
      <c r="G3460"/>
      <c r="H3460"/>
      <c r="I3460"/>
      <c r="J3460"/>
      <c r="K3460" s="13" t="s">
        <v>265</v>
      </c>
      <c r="L3460" s="13" t="s">
        <v>484</v>
      </c>
      <c r="M3460" s="13" t="s">
        <v>529</v>
      </c>
      <c r="N3460" s="15">
        <v>0</v>
      </c>
      <c r="O3460" s="16">
        <v>100.26353101207877</v>
      </c>
      <c r="P3460" s="17">
        <v>0</v>
      </c>
      <c r="Q3460" s="17">
        <v>0</v>
      </c>
      <c r="R3460" s="13"/>
      <c r="S3460" s="13"/>
      <c r="T3460" s="13"/>
      <c r="U3460" s="13"/>
      <c r="V3460" s="13"/>
      <c r="W3460" s="13"/>
    </row>
    <row r="3461" spans="1:23" x14ac:dyDescent="0.2">
      <c r="A3461"/>
      <c r="B3461"/>
      <c r="C3461"/>
      <c r="D3461"/>
      <c r="E3461"/>
      <c r="F3461"/>
      <c r="G3461"/>
      <c r="H3461"/>
      <c r="I3461"/>
      <c r="J3461"/>
      <c r="K3461" s="13" t="s">
        <v>267</v>
      </c>
      <c r="L3461" s="13" t="s">
        <v>435</v>
      </c>
      <c r="M3461" s="13" t="s">
        <v>364</v>
      </c>
      <c r="N3461" s="15">
        <v>0</v>
      </c>
      <c r="O3461" s="16">
        <v>0</v>
      </c>
      <c r="P3461" s="17">
        <v>38.490950004096675</v>
      </c>
      <c r="Q3461" s="17">
        <v>0</v>
      </c>
      <c r="R3461" s="13"/>
      <c r="S3461" s="13"/>
      <c r="T3461" s="13"/>
      <c r="U3461" s="13"/>
      <c r="V3461" s="13"/>
      <c r="W3461" s="13"/>
    </row>
    <row r="3462" spans="1:23" x14ac:dyDescent="0.2">
      <c r="A3462"/>
      <c r="B3462"/>
      <c r="C3462"/>
      <c r="D3462"/>
      <c r="E3462"/>
      <c r="F3462"/>
      <c r="G3462"/>
      <c r="H3462"/>
      <c r="I3462"/>
      <c r="J3462"/>
      <c r="K3462" s="13" t="s">
        <v>267</v>
      </c>
      <c r="L3462" s="13" t="s">
        <v>435</v>
      </c>
      <c r="M3462" s="13" t="s">
        <v>364</v>
      </c>
      <c r="N3462" s="15">
        <v>0</v>
      </c>
      <c r="O3462" s="16">
        <v>49.755455042664636</v>
      </c>
      <c r="P3462" s="17">
        <v>0</v>
      </c>
      <c r="Q3462" s="17">
        <v>0</v>
      </c>
      <c r="R3462" s="13"/>
      <c r="S3462" s="13"/>
      <c r="T3462" s="13"/>
      <c r="U3462" s="13"/>
      <c r="V3462" s="13"/>
      <c r="W3462" s="13"/>
    </row>
    <row r="3463" spans="1:23" x14ac:dyDescent="0.2">
      <c r="A3463"/>
      <c r="B3463"/>
      <c r="C3463"/>
      <c r="D3463"/>
      <c r="E3463"/>
      <c r="F3463"/>
      <c r="G3463"/>
      <c r="H3463"/>
      <c r="I3463"/>
      <c r="J3463"/>
      <c r="K3463" s="13" t="s">
        <v>267</v>
      </c>
      <c r="L3463" s="13" t="s">
        <v>635</v>
      </c>
      <c r="M3463" s="13" t="s">
        <v>507</v>
      </c>
      <c r="N3463" s="15">
        <v>0</v>
      </c>
      <c r="O3463" s="16">
        <v>0</v>
      </c>
      <c r="P3463" s="17">
        <v>32.343700003999935</v>
      </c>
      <c r="Q3463" s="17">
        <v>0</v>
      </c>
      <c r="R3463" s="13"/>
      <c r="S3463" s="13"/>
      <c r="T3463" s="13"/>
      <c r="U3463" s="13"/>
      <c r="V3463" s="13"/>
      <c r="W3463" s="13"/>
    </row>
    <row r="3464" spans="1:23" x14ac:dyDescent="0.2">
      <c r="A3464"/>
      <c r="B3464"/>
      <c r="C3464"/>
      <c r="D3464"/>
      <c r="E3464"/>
      <c r="F3464"/>
      <c r="G3464"/>
      <c r="H3464"/>
      <c r="I3464"/>
      <c r="J3464"/>
      <c r="K3464" s="13" t="s">
        <v>267</v>
      </c>
      <c r="L3464" s="13" t="s">
        <v>389</v>
      </c>
      <c r="M3464" s="13" t="s">
        <v>388</v>
      </c>
      <c r="N3464" s="15">
        <v>0</v>
      </c>
      <c r="O3464" s="16">
        <v>0</v>
      </c>
      <c r="P3464" s="17">
        <v>445.39065001012045</v>
      </c>
      <c r="Q3464" s="17">
        <v>0</v>
      </c>
      <c r="R3464" s="13"/>
      <c r="S3464" s="13"/>
      <c r="T3464" s="13"/>
      <c r="U3464" s="13"/>
      <c r="V3464" s="13"/>
      <c r="W3464" s="13"/>
    </row>
    <row r="3465" spans="1:23" x14ac:dyDescent="0.2">
      <c r="A3465"/>
      <c r="B3465"/>
      <c r="C3465"/>
      <c r="D3465"/>
      <c r="E3465"/>
      <c r="F3465"/>
      <c r="G3465"/>
      <c r="H3465"/>
      <c r="I3465"/>
      <c r="J3465"/>
      <c r="K3465" s="13" t="s">
        <v>267</v>
      </c>
      <c r="L3465" s="13" t="s">
        <v>486</v>
      </c>
      <c r="M3465" s="13" t="s">
        <v>439</v>
      </c>
      <c r="N3465" s="15">
        <v>0</v>
      </c>
      <c r="O3465" s="16">
        <v>0</v>
      </c>
      <c r="P3465" s="17">
        <v>88.365099996200087</v>
      </c>
      <c r="Q3465" s="17">
        <v>0</v>
      </c>
      <c r="R3465" s="13"/>
      <c r="S3465" s="13"/>
      <c r="T3465" s="13"/>
      <c r="U3465" s="13"/>
      <c r="V3465" s="13"/>
      <c r="W3465" s="13"/>
    </row>
    <row r="3466" spans="1:23" x14ac:dyDescent="0.2">
      <c r="A3466"/>
      <c r="B3466"/>
      <c r="C3466"/>
      <c r="D3466"/>
      <c r="E3466"/>
      <c r="F3466"/>
      <c r="G3466"/>
      <c r="H3466"/>
      <c r="I3466"/>
      <c r="J3466"/>
      <c r="K3466" s="13" t="s">
        <v>267</v>
      </c>
      <c r="L3466" s="13" t="s">
        <v>465</v>
      </c>
      <c r="M3466" s="13" t="s">
        <v>514</v>
      </c>
      <c r="N3466" s="15">
        <v>0</v>
      </c>
      <c r="O3466" s="16">
        <v>0</v>
      </c>
      <c r="P3466" s="17">
        <v>6.039250003245427</v>
      </c>
      <c r="Q3466" s="17">
        <v>0</v>
      </c>
      <c r="R3466" s="13"/>
      <c r="S3466" s="13"/>
      <c r="T3466" s="13"/>
      <c r="U3466" s="13"/>
      <c r="V3466" s="13"/>
      <c r="W3466" s="13"/>
    </row>
    <row r="3467" spans="1:23" x14ac:dyDescent="0.2">
      <c r="A3467"/>
      <c r="B3467"/>
      <c r="C3467"/>
      <c r="D3467"/>
      <c r="E3467"/>
      <c r="F3467"/>
      <c r="G3467"/>
      <c r="H3467"/>
      <c r="I3467"/>
      <c r="J3467"/>
      <c r="K3467" s="13" t="s">
        <v>267</v>
      </c>
      <c r="L3467" s="13" t="s">
        <v>512</v>
      </c>
      <c r="M3467" s="13" t="s">
        <v>466</v>
      </c>
      <c r="N3467" s="15">
        <v>0</v>
      </c>
      <c r="O3467" s="16">
        <v>0</v>
      </c>
      <c r="P3467" s="17">
        <v>135.03815000238717</v>
      </c>
      <c r="Q3467" s="17">
        <v>0</v>
      </c>
      <c r="R3467" s="13"/>
      <c r="S3467" s="13"/>
      <c r="T3467" s="13"/>
      <c r="U3467" s="13"/>
      <c r="V3467" s="13"/>
      <c r="W3467" s="13"/>
    </row>
    <row r="3468" spans="1:23" x14ac:dyDescent="0.2">
      <c r="A3468"/>
      <c r="B3468"/>
      <c r="C3468"/>
      <c r="D3468"/>
      <c r="E3468"/>
      <c r="F3468"/>
      <c r="G3468"/>
      <c r="H3468"/>
      <c r="I3468"/>
      <c r="J3468"/>
      <c r="K3468" s="13" t="s">
        <v>267</v>
      </c>
      <c r="L3468" s="13" t="s">
        <v>513</v>
      </c>
      <c r="M3468" s="13" t="s">
        <v>533</v>
      </c>
      <c r="N3468" s="15">
        <v>0</v>
      </c>
      <c r="O3468" s="16">
        <v>0</v>
      </c>
      <c r="P3468" s="17">
        <v>28.209599998635451</v>
      </c>
      <c r="Q3468" s="17">
        <v>0</v>
      </c>
      <c r="R3468" s="13"/>
      <c r="S3468" s="13"/>
      <c r="T3468" s="13"/>
      <c r="U3468" s="13"/>
      <c r="V3468" s="13"/>
      <c r="W3468" s="13"/>
    </row>
    <row r="3469" spans="1:23" x14ac:dyDescent="0.2">
      <c r="A3469"/>
      <c r="B3469"/>
      <c r="C3469"/>
      <c r="D3469"/>
      <c r="E3469"/>
      <c r="F3469"/>
      <c r="G3469"/>
      <c r="H3469"/>
      <c r="I3469"/>
      <c r="J3469"/>
      <c r="K3469" s="13" t="s">
        <v>267</v>
      </c>
      <c r="L3469" s="13" t="s">
        <v>440</v>
      </c>
      <c r="M3469" s="13" t="s">
        <v>441</v>
      </c>
      <c r="N3469" s="15">
        <v>13</v>
      </c>
      <c r="O3469" s="16">
        <v>0</v>
      </c>
      <c r="P3469" s="17">
        <v>0</v>
      </c>
      <c r="Q3469" s="17">
        <v>0</v>
      </c>
      <c r="R3469" s="13"/>
      <c r="S3469" s="13"/>
      <c r="T3469" s="13"/>
      <c r="U3469" s="13"/>
      <c r="V3469" s="13"/>
      <c r="W3469" s="13"/>
    </row>
    <row r="3470" spans="1:23" x14ac:dyDescent="0.2">
      <c r="A3470"/>
      <c r="B3470"/>
      <c r="C3470"/>
      <c r="D3470"/>
      <c r="E3470"/>
      <c r="F3470"/>
      <c r="G3470"/>
      <c r="H3470"/>
      <c r="I3470"/>
      <c r="J3470"/>
      <c r="K3470" s="13" t="s">
        <v>267</v>
      </c>
      <c r="L3470" s="13" t="s">
        <v>394</v>
      </c>
      <c r="M3470" s="13" t="s">
        <v>359</v>
      </c>
      <c r="N3470" s="15">
        <v>0</v>
      </c>
      <c r="O3470" s="16">
        <v>0</v>
      </c>
      <c r="P3470" s="17">
        <v>21.335549999061165</v>
      </c>
      <c r="Q3470" s="17">
        <v>0</v>
      </c>
      <c r="R3470" s="13"/>
      <c r="S3470" s="13"/>
      <c r="T3470" s="13"/>
      <c r="U3470" s="13"/>
      <c r="V3470" s="13"/>
      <c r="W3470" s="13"/>
    </row>
    <row r="3471" spans="1:23" x14ac:dyDescent="0.2">
      <c r="A3471"/>
      <c r="B3471"/>
      <c r="C3471"/>
      <c r="D3471"/>
      <c r="E3471"/>
      <c r="F3471"/>
      <c r="G3471"/>
      <c r="H3471"/>
      <c r="I3471"/>
      <c r="J3471"/>
      <c r="K3471" s="13" t="s">
        <v>267</v>
      </c>
      <c r="L3471" s="13" t="s">
        <v>395</v>
      </c>
      <c r="M3471" s="13" t="s">
        <v>602</v>
      </c>
      <c r="N3471" s="15">
        <v>8</v>
      </c>
      <c r="O3471" s="16">
        <v>0</v>
      </c>
      <c r="P3471" s="17">
        <v>0</v>
      </c>
      <c r="Q3471" s="17">
        <v>0</v>
      </c>
      <c r="R3471" s="13"/>
      <c r="S3471" s="13"/>
      <c r="T3471" s="13"/>
      <c r="U3471" s="13"/>
      <c r="V3471" s="13"/>
      <c r="W3471" s="13"/>
    </row>
    <row r="3472" spans="1:23" x14ac:dyDescent="0.2">
      <c r="A3472"/>
      <c r="B3472"/>
      <c r="C3472"/>
      <c r="D3472"/>
      <c r="E3472"/>
      <c r="F3472"/>
      <c r="G3472"/>
      <c r="H3472"/>
      <c r="I3472"/>
      <c r="J3472"/>
      <c r="K3472" s="13" t="s">
        <v>267</v>
      </c>
      <c r="L3472" s="13" t="s">
        <v>397</v>
      </c>
      <c r="M3472" s="13" t="s">
        <v>398</v>
      </c>
      <c r="N3472" s="15">
        <v>0</v>
      </c>
      <c r="O3472" s="16">
        <v>0</v>
      </c>
      <c r="P3472" s="17">
        <v>1.5484000010988908</v>
      </c>
      <c r="Q3472" s="17">
        <v>0</v>
      </c>
      <c r="R3472" s="13"/>
      <c r="S3472" s="13"/>
      <c r="T3472" s="13"/>
      <c r="U3472" s="13"/>
      <c r="V3472" s="13"/>
      <c r="W3472" s="13"/>
    </row>
    <row r="3473" spans="1:23" x14ac:dyDescent="0.2">
      <c r="A3473"/>
      <c r="B3473"/>
      <c r="C3473"/>
      <c r="D3473"/>
      <c r="E3473"/>
      <c r="F3473"/>
      <c r="G3473"/>
      <c r="H3473"/>
      <c r="I3473"/>
      <c r="J3473"/>
      <c r="K3473" s="13" t="s">
        <v>267</v>
      </c>
      <c r="L3473" s="13" t="s">
        <v>399</v>
      </c>
      <c r="M3473" s="13" t="s">
        <v>400</v>
      </c>
      <c r="N3473" s="15">
        <v>0</v>
      </c>
      <c r="O3473" s="16">
        <v>0</v>
      </c>
      <c r="P3473" s="17">
        <v>19.945349997917983</v>
      </c>
      <c r="Q3473" s="17">
        <v>0</v>
      </c>
      <c r="R3473" s="13"/>
      <c r="S3473" s="13"/>
      <c r="T3473" s="13"/>
      <c r="U3473" s="13"/>
      <c r="V3473" s="13"/>
      <c r="W3473" s="13"/>
    </row>
    <row r="3474" spans="1:23" x14ac:dyDescent="0.2">
      <c r="A3474"/>
      <c r="B3474"/>
      <c r="C3474"/>
      <c r="D3474"/>
      <c r="E3474"/>
      <c r="F3474"/>
      <c r="G3474"/>
      <c r="H3474"/>
      <c r="I3474"/>
      <c r="J3474"/>
      <c r="K3474" s="13" t="s">
        <v>267</v>
      </c>
      <c r="L3474" s="13" t="s">
        <v>401</v>
      </c>
      <c r="M3474" s="13" t="s">
        <v>360</v>
      </c>
      <c r="N3474" s="15">
        <v>0</v>
      </c>
      <c r="O3474" s="16">
        <v>0</v>
      </c>
      <c r="P3474" s="17">
        <v>708.21374997692521</v>
      </c>
      <c r="Q3474" s="17">
        <v>0</v>
      </c>
      <c r="R3474" s="13"/>
      <c r="S3474" s="13"/>
      <c r="T3474" s="13"/>
      <c r="U3474" s="13"/>
      <c r="V3474" s="13"/>
      <c r="W3474" s="13"/>
    </row>
    <row r="3475" spans="1:23" x14ac:dyDescent="0.2">
      <c r="A3475"/>
      <c r="B3475"/>
      <c r="C3475"/>
      <c r="D3475"/>
      <c r="E3475"/>
      <c r="F3475"/>
      <c r="G3475"/>
      <c r="H3475"/>
      <c r="I3475"/>
      <c r="J3475"/>
      <c r="K3475" s="13" t="s">
        <v>267</v>
      </c>
      <c r="L3475" s="13" t="s">
        <v>511</v>
      </c>
      <c r="M3475" s="13" t="s">
        <v>377</v>
      </c>
      <c r="N3475" s="15">
        <v>0</v>
      </c>
      <c r="O3475" s="16">
        <v>0</v>
      </c>
      <c r="P3475" s="17">
        <v>10.326099998139403</v>
      </c>
      <c r="Q3475" s="17">
        <v>0</v>
      </c>
      <c r="R3475" s="13"/>
      <c r="S3475" s="13"/>
      <c r="T3475" s="13"/>
      <c r="U3475" s="13"/>
      <c r="V3475" s="13"/>
      <c r="W3475" s="13"/>
    </row>
    <row r="3476" spans="1:23" x14ac:dyDescent="0.2">
      <c r="A3476"/>
      <c r="B3476"/>
      <c r="C3476"/>
      <c r="D3476"/>
      <c r="E3476"/>
      <c r="F3476"/>
      <c r="G3476"/>
      <c r="H3476"/>
      <c r="I3476"/>
      <c r="J3476"/>
      <c r="K3476" s="13" t="s">
        <v>267</v>
      </c>
      <c r="L3476" s="13" t="s">
        <v>402</v>
      </c>
      <c r="M3476" s="13" t="s">
        <v>403</v>
      </c>
      <c r="N3476" s="15">
        <v>0</v>
      </c>
      <c r="O3476" s="16">
        <v>0</v>
      </c>
      <c r="P3476" s="17">
        <v>2028.6455366613886</v>
      </c>
      <c r="Q3476" s="17">
        <v>0</v>
      </c>
      <c r="R3476" s="13"/>
      <c r="S3476" s="13"/>
      <c r="T3476" s="13"/>
      <c r="U3476" s="13"/>
      <c r="V3476" s="13"/>
      <c r="W3476" s="13"/>
    </row>
    <row r="3477" spans="1:23" x14ac:dyDescent="0.2">
      <c r="A3477"/>
      <c r="B3477"/>
      <c r="C3477"/>
      <c r="D3477"/>
      <c r="E3477"/>
      <c r="F3477"/>
      <c r="G3477"/>
      <c r="H3477"/>
      <c r="I3477"/>
      <c r="J3477"/>
      <c r="K3477" s="13" t="s">
        <v>267</v>
      </c>
      <c r="L3477" s="13" t="s">
        <v>448</v>
      </c>
      <c r="M3477" s="13" t="s">
        <v>366</v>
      </c>
      <c r="N3477" s="15">
        <v>0</v>
      </c>
      <c r="O3477" s="16">
        <v>0</v>
      </c>
      <c r="P3477" s="17">
        <v>88.110649998170004</v>
      </c>
      <c r="Q3477" s="17">
        <v>0</v>
      </c>
      <c r="R3477" s="13"/>
      <c r="S3477" s="13"/>
      <c r="T3477" s="13"/>
      <c r="U3477" s="13"/>
      <c r="V3477" s="13"/>
      <c r="W3477" s="13"/>
    </row>
    <row r="3478" spans="1:23" x14ac:dyDescent="0.2">
      <c r="A3478"/>
      <c r="B3478"/>
      <c r="C3478"/>
      <c r="D3478"/>
      <c r="E3478"/>
      <c r="F3478"/>
      <c r="G3478"/>
      <c r="H3478"/>
      <c r="I3478"/>
      <c r="J3478"/>
      <c r="K3478" s="13" t="s">
        <v>267</v>
      </c>
      <c r="L3478" s="13" t="s">
        <v>406</v>
      </c>
      <c r="M3478" s="13" t="s">
        <v>361</v>
      </c>
      <c r="N3478" s="15">
        <v>0</v>
      </c>
      <c r="O3478" s="16">
        <v>0</v>
      </c>
      <c r="P3478" s="17">
        <v>201.22060000731688</v>
      </c>
      <c r="Q3478" s="17">
        <v>373.77337746268211</v>
      </c>
      <c r="R3478" s="13"/>
      <c r="S3478" s="13"/>
      <c r="T3478" s="13"/>
      <c r="U3478" s="13"/>
      <c r="V3478" s="13"/>
      <c r="W3478" s="13"/>
    </row>
    <row r="3479" spans="1:23" x14ac:dyDescent="0.2">
      <c r="A3479"/>
      <c r="B3479"/>
      <c r="C3479"/>
      <c r="D3479"/>
      <c r="E3479"/>
      <c r="F3479"/>
      <c r="G3479"/>
      <c r="H3479"/>
      <c r="I3479"/>
      <c r="J3479"/>
      <c r="K3479" s="13" t="s">
        <v>267</v>
      </c>
      <c r="L3479" s="13" t="s">
        <v>381</v>
      </c>
      <c r="M3479" s="13" t="s">
        <v>382</v>
      </c>
      <c r="N3479" s="15">
        <v>11</v>
      </c>
      <c r="O3479" s="16">
        <v>0</v>
      </c>
      <c r="P3479" s="17">
        <v>0</v>
      </c>
      <c r="Q3479" s="17">
        <v>0</v>
      </c>
      <c r="R3479" s="13"/>
      <c r="S3479" s="13"/>
      <c r="T3479" s="13"/>
      <c r="U3479" s="13"/>
      <c r="V3479" s="13"/>
      <c r="W3479" s="13"/>
    </row>
    <row r="3480" spans="1:23" x14ac:dyDescent="0.2">
      <c r="A3480"/>
      <c r="B3480"/>
      <c r="C3480"/>
      <c r="D3480"/>
      <c r="E3480"/>
      <c r="F3480"/>
      <c r="G3480"/>
      <c r="H3480"/>
      <c r="I3480"/>
      <c r="J3480"/>
      <c r="K3480" s="13" t="s">
        <v>267</v>
      </c>
      <c r="L3480" s="13" t="s">
        <v>409</v>
      </c>
      <c r="M3480" s="13" t="s">
        <v>410</v>
      </c>
      <c r="N3480" s="15">
        <v>8</v>
      </c>
      <c r="O3480" s="16">
        <v>0</v>
      </c>
      <c r="P3480" s="17">
        <v>0</v>
      </c>
      <c r="Q3480" s="17">
        <v>0</v>
      </c>
      <c r="R3480" s="13"/>
      <c r="S3480" s="13"/>
      <c r="T3480" s="13"/>
      <c r="U3480" s="13"/>
      <c r="V3480" s="13"/>
      <c r="W3480" s="13"/>
    </row>
    <row r="3481" spans="1:23" x14ac:dyDescent="0.2">
      <c r="A3481"/>
      <c r="B3481"/>
      <c r="C3481"/>
      <c r="D3481"/>
      <c r="E3481"/>
      <c r="F3481"/>
      <c r="G3481"/>
      <c r="H3481"/>
      <c r="I3481"/>
      <c r="J3481"/>
      <c r="K3481" s="13" t="s">
        <v>267</v>
      </c>
      <c r="L3481" s="13" t="s">
        <v>411</v>
      </c>
      <c r="M3481" s="13" t="s">
        <v>362</v>
      </c>
      <c r="N3481" s="15">
        <v>0</v>
      </c>
      <c r="O3481" s="16">
        <v>12.6493941211261</v>
      </c>
      <c r="P3481" s="17">
        <v>0</v>
      </c>
      <c r="Q3481" s="17">
        <v>0</v>
      </c>
      <c r="R3481" s="13"/>
      <c r="S3481" s="13"/>
      <c r="T3481" s="13"/>
      <c r="U3481" s="13"/>
      <c r="V3481" s="13"/>
      <c r="W3481" s="13"/>
    </row>
    <row r="3482" spans="1:23" x14ac:dyDescent="0.2">
      <c r="A3482"/>
      <c r="B3482"/>
      <c r="C3482"/>
      <c r="D3482"/>
      <c r="E3482"/>
      <c r="F3482"/>
      <c r="G3482"/>
      <c r="H3482"/>
      <c r="I3482"/>
      <c r="J3482"/>
      <c r="K3482" s="13" t="s">
        <v>267</v>
      </c>
      <c r="L3482" s="13" t="s">
        <v>411</v>
      </c>
      <c r="M3482" s="13" t="s">
        <v>362</v>
      </c>
      <c r="N3482" s="15">
        <v>9</v>
      </c>
      <c r="O3482" s="16">
        <v>0</v>
      </c>
      <c r="P3482" s="17">
        <v>0</v>
      </c>
      <c r="Q3482" s="17">
        <v>0</v>
      </c>
      <c r="R3482" s="13"/>
      <c r="S3482" s="13"/>
      <c r="T3482" s="13"/>
      <c r="U3482" s="13"/>
      <c r="V3482" s="13"/>
      <c r="W3482" s="13"/>
    </row>
    <row r="3483" spans="1:23" x14ac:dyDescent="0.2">
      <c r="A3483"/>
      <c r="B3483"/>
      <c r="C3483"/>
      <c r="D3483"/>
      <c r="E3483"/>
      <c r="F3483"/>
      <c r="G3483"/>
      <c r="H3483"/>
      <c r="I3483"/>
      <c r="J3483"/>
      <c r="K3483" s="13" t="s">
        <v>267</v>
      </c>
      <c r="L3483" s="13" t="s">
        <v>623</v>
      </c>
      <c r="M3483" s="13" t="s">
        <v>530</v>
      </c>
      <c r="N3483" s="15">
        <v>0</v>
      </c>
      <c r="O3483" s="16">
        <v>125.44493672708641</v>
      </c>
      <c r="P3483" s="17">
        <v>0</v>
      </c>
      <c r="Q3483" s="17">
        <v>0</v>
      </c>
      <c r="R3483" s="13"/>
      <c r="S3483" s="13"/>
      <c r="T3483" s="13"/>
      <c r="U3483" s="13"/>
      <c r="V3483" s="13"/>
      <c r="W3483" s="13"/>
    </row>
    <row r="3484" spans="1:23" x14ac:dyDescent="0.2">
      <c r="A3484"/>
      <c r="B3484"/>
      <c r="C3484"/>
      <c r="D3484"/>
      <c r="E3484"/>
      <c r="F3484"/>
      <c r="G3484"/>
      <c r="H3484"/>
      <c r="I3484"/>
      <c r="J3484"/>
      <c r="K3484" s="13" t="s">
        <v>267</v>
      </c>
      <c r="L3484" s="13" t="s">
        <v>607</v>
      </c>
      <c r="M3484" s="13" t="s">
        <v>431</v>
      </c>
      <c r="N3484" s="15">
        <v>2</v>
      </c>
      <c r="O3484" s="16">
        <v>0</v>
      </c>
      <c r="P3484" s="17">
        <v>0</v>
      </c>
      <c r="Q3484" s="17">
        <v>0</v>
      </c>
      <c r="R3484" s="13"/>
      <c r="S3484" s="13"/>
      <c r="T3484" s="13"/>
      <c r="U3484" s="13"/>
      <c r="V3484" s="13"/>
      <c r="W3484" s="13"/>
    </row>
    <row r="3485" spans="1:23" x14ac:dyDescent="0.2">
      <c r="A3485"/>
      <c r="B3485"/>
      <c r="C3485"/>
      <c r="D3485"/>
      <c r="E3485"/>
      <c r="F3485"/>
      <c r="G3485"/>
      <c r="H3485"/>
      <c r="I3485"/>
      <c r="J3485"/>
      <c r="K3485" s="13" t="s">
        <v>267</v>
      </c>
      <c r="L3485" s="13" t="s">
        <v>608</v>
      </c>
      <c r="M3485" s="13" t="s">
        <v>432</v>
      </c>
      <c r="N3485" s="15">
        <v>6</v>
      </c>
      <c r="O3485" s="16">
        <v>0</v>
      </c>
      <c r="P3485" s="17">
        <v>0</v>
      </c>
      <c r="Q3485" s="17">
        <v>0</v>
      </c>
      <c r="R3485" s="13"/>
      <c r="S3485" s="13"/>
      <c r="T3485" s="13"/>
      <c r="U3485" s="13"/>
      <c r="V3485" s="13"/>
      <c r="W3485" s="13"/>
    </row>
    <row r="3486" spans="1:23" x14ac:dyDescent="0.2">
      <c r="A3486"/>
      <c r="B3486"/>
      <c r="C3486"/>
      <c r="D3486"/>
      <c r="E3486"/>
      <c r="F3486"/>
      <c r="G3486"/>
      <c r="H3486"/>
      <c r="I3486"/>
      <c r="J3486"/>
      <c r="K3486" s="13" t="s">
        <v>267</v>
      </c>
      <c r="L3486" s="13" t="s">
        <v>615</v>
      </c>
      <c r="M3486" s="13" t="s">
        <v>449</v>
      </c>
      <c r="N3486" s="15">
        <v>1</v>
      </c>
      <c r="O3486" s="16">
        <v>0</v>
      </c>
      <c r="P3486" s="17">
        <v>0</v>
      </c>
      <c r="Q3486" s="17">
        <v>0</v>
      </c>
      <c r="R3486" s="13"/>
      <c r="S3486" s="13"/>
      <c r="T3486" s="13"/>
      <c r="U3486" s="13"/>
      <c r="V3486" s="13"/>
      <c r="W3486" s="13"/>
    </row>
    <row r="3487" spans="1:23" x14ac:dyDescent="0.2">
      <c r="A3487"/>
      <c r="B3487"/>
      <c r="C3487"/>
      <c r="D3487"/>
      <c r="E3487"/>
      <c r="F3487"/>
      <c r="G3487"/>
      <c r="H3487"/>
      <c r="I3487"/>
      <c r="J3487"/>
      <c r="K3487" s="13" t="s">
        <v>267</v>
      </c>
      <c r="L3487" s="13" t="s">
        <v>523</v>
      </c>
      <c r="M3487" s="13" t="s">
        <v>476</v>
      </c>
      <c r="N3487" s="15">
        <v>0</v>
      </c>
      <c r="O3487" s="16">
        <v>0</v>
      </c>
      <c r="P3487" s="17">
        <v>1.8144999993186208</v>
      </c>
      <c r="Q3487" s="17">
        <v>0</v>
      </c>
      <c r="R3487" s="13"/>
      <c r="S3487" s="13"/>
      <c r="T3487" s="13"/>
      <c r="U3487" s="13"/>
      <c r="V3487" s="13"/>
      <c r="W3487" s="13"/>
    </row>
    <row r="3488" spans="1:23" x14ac:dyDescent="0.2">
      <c r="A3488"/>
      <c r="B3488"/>
      <c r="C3488"/>
      <c r="D3488"/>
      <c r="E3488"/>
      <c r="F3488"/>
      <c r="G3488"/>
      <c r="H3488"/>
      <c r="I3488"/>
      <c r="J3488"/>
      <c r="K3488" s="13" t="s">
        <v>267</v>
      </c>
      <c r="L3488" s="13" t="s">
        <v>421</v>
      </c>
      <c r="M3488" s="13" t="s">
        <v>443</v>
      </c>
      <c r="N3488" s="15">
        <v>1</v>
      </c>
      <c r="O3488" s="16">
        <v>0</v>
      </c>
      <c r="P3488" s="17">
        <v>0</v>
      </c>
      <c r="Q3488" s="17">
        <v>0</v>
      </c>
      <c r="R3488" s="13"/>
      <c r="S3488" s="13"/>
      <c r="T3488" s="13"/>
      <c r="U3488" s="13"/>
      <c r="V3488" s="13"/>
      <c r="W3488" s="13"/>
    </row>
    <row r="3489" spans="1:23" x14ac:dyDescent="0.2">
      <c r="A3489"/>
      <c r="B3489"/>
      <c r="C3489"/>
      <c r="D3489"/>
      <c r="E3489"/>
      <c r="F3489"/>
      <c r="G3489"/>
      <c r="H3489"/>
      <c r="I3489"/>
      <c r="J3489"/>
      <c r="K3489" s="13" t="s">
        <v>267</v>
      </c>
      <c r="L3489" s="13" t="s">
        <v>383</v>
      </c>
      <c r="M3489" s="13" t="s">
        <v>420</v>
      </c>
      <c r="N3489" s="15">
        <v>6</v>
      </c>
      <c r="O3489" s="16">
        <v>0</v>
      </c>
      <c r="P3489" s="17">
        <v>0</v>
      </c>
      <c r="Q3489" s="17">
        <v>0</v>
      </c>
      <c r="R3489" s="13"/>
      <c r="S3489" s="13"/>
      <c r="T3489" s="13"/>
      <c r="U3489" s="13"/>
      <c r="V3489" s="13"/>
      <c r="W3489" s="13"/>
    </row>
    <row r="3490" spans="1:23" x14ac:dyDescent="0.2">
      <c r="A3490"/>
      <c r="B3490"/>
      <c r="C3490"/>
      <c r="D3490"/>
      <c r="E3490"/>
      <c r="F3490"/>
      <c r="G3490"/>
      <c r="H3490"/>
      <c r="I3490"/>
      <c r="J3490"/>
      <c r="K3490" s="13" t="s">
        <v>267</v>
      </c>
      <c r="L3490" s="13" t="s">
        <v>528</v>
      </c>
      <c r="M3490" s="13" t="s">
        <v>384</v>
      </c>
      <c r="N3490" s="15">
        <v>0</v>
      </c>
      <c r="O3490" s="16">
        <v>252.73240374645621</v>
      </c>
      <c r="P3490" s="17">
        <v>0</v>
      </c>
      <c r="Q3490" s="17">
        <v>0</v>
      </c>
      <c r="R3490" s="13"/>
      <c r="S3490" s="13"/>
      <c r="T3490" s="13"/>
      <c r="U3490" s="13"/>
      <c r="V3490" s="13"/>
      <c r="W3490" s="13"/>
    </row>
    <row r="3491" spans="1:23" x14ac:dyDescent="0.2">
      <c r="A3491"/>
      <c r="B3491"/>
      <c r="C3491"/>
      <c r="D3491"/>
      <c r="E3491"/>
      <c r="F3491"/>
      <c r="G3491"/>
      <c r="H3491"/>
      <c r="I3491"/>
      <c r="J3491"/>
      <c r="K3491" s="13" t="s">
        <v>267</v>
      </c>
      <c r="L3491" s="13" t="s">
        <v>613</v>
      </c>
      <c r="M3491" s="13" t="s">
        <v>444</v>
      </c>
      <c r="N3491" s="15">
        <v>0</v>
      </c>
      <c r="O3491" s="16">
        <v>7.1904322090237294</v>
      </c>
      <c r="P3491" s="17">
        <v>0</v>
      </c>
      <c r="Q3491" s="17">
        <v>0</v>
      </c>
      <c r="R3491" s="13"/>
      <c r="S3491" s="13"/>
      <c r="T3491" s="13"/>
      <c r="U3491" s="13"/>
      <c r="V3491" s="13"/>
      <c r="W3491" s="13"/>
    </row>
    <row r="3492" spans="1:23" x14ac:dyDescent="0.2">
      <c r="A3492"/>
      <c r="B3492"/>
      <c r="C3492"/>
      <c r="D3492"/>
      <c r="E3492"/>
      <c r="F3492"/>
      <c r="G3492"/>
      <c r="H3492"/>
      <c r="I3492"/>
      <c r="J3492"/>
      <c r="K3492" s="13" t="s">
        <v>267</v>
      </c>
      <c r="L3492" s="13" t="s">
        <v>446</v>
      </c>
      <c r="M3492" s="13" t="s">
        <v>371</v>
      </c>
      <c r="N3492" s="15">
        <v>24</v>
      </c>
      <c r="O3492" s="16">
        <v>0</v>
      </c>
      <c r="P3492" s="17">
        <v>0</v>
      </c>
      <c r="Q3492" s="17">
        <v>0</v>
      </c>
      <c r="R3492" s="13"/>
      <c r="S3492" s="13"/>
      <c r="T3492" s="13"/>
      <c r="U3492" s="13"/>
      <c r="V3492" s="13"/>
      <c r="W3492" s="13"/>
    </row>
    <row r="3493" spans="1:23" x14ac:dyDescent="0.2">
      <c r="A3493"/>
      <c r="B3493"/>
      <c r="C3493"/>
      <c r="D3493"/>
      <c r="E3493"/>
      <c r="F3493"/>
      <c r="G3493"/>
      <c r="H3493"/>
      <c r="I3493"/>
      <c r="J3493"/>
      <c r="K3493" s="13" t="s">
        <v>267</v>
      </c>
      <c r="L3493" s="13" t="s">
        <v>424</v>
      </c>
      <c r="M3493" s="13" t="s">
        <v>468</v>
      </c>
      <c r="N3493" s="15">
        <v>0</v>
      </c>
      <c r="O3493" s="16">
        <v>0</v>
      </c>
      <c r="P3493" s="17">
        <v>20.407200002909825</v>
      </c>
      <c r="Q3493" s="17">
        <v>0</v>
      </c>
      <c r="R3493" s="13"/>
      <c r="S3493" s="13"/>
      <c r="T3493" s="13"/>
      <c r="U3493" s="13"/>
      <c r="V3493" s="13"/>
      <c r="W3493" s="13"/>
    </row>
    <row r="3494" spans="1:23" x14ac:dyDescent="0.2">
      <c r="A3494"/>
      <c r="B3494"/>
      <c r="C3494"/>
      <c r="D3494"/>
      <c r="E3494"/>
      <c r="F3494"/>
      <c r="G3494"/>
      <c r="H3494"/>
      <c r="I3494"/>
      <c r="J3494"/>
      <c r="K3494" s="13" t="s">
        <v>267</v>
      </c>
      <c r="L3494" s="13" t="s">
        <v>484</v>
      </c>
      <c r="M3494" s="13" t="s">
        <v>529</v>
      </c>
      <c r="N3494" s="15">
        <v>0</v>
      </c>
      <c r="O3494" s="16">
        <v>12.788154542585216</v>
      </c>
      <c r="P3494" s="17">
        <v>0</v>
      </c>
      <c r="Q3494" s="17">
        <v>0</v>
      </c>
      <c r="R3494" s="13"/>
      <c r="S3494" s="13"/>
      <c r="T3494" s="13"/>
      <c r="U3494" s="13"/>
      <c r="V3494" s="13"/>
      <c r="W3494" s="13"/>
    </row>
    <row r="3495" spans="1:23" x14ac:dyDescent="0.2">
      <c r="A3495"/>
      <c r="B3495"/>
      <c r="C3495"/>
      <c r="D3495"/>
      <c r="E3495"/>
      <c r="F3495"/>
      <c r="G3495"/>
      <c r="H3495"/>
      <c r="I3495"/>
      <c r="J3495"/>
      <c r="K3495" s="13" t="s">
        <v>269</v>
      </c>
      <c r="L3495" s="13" t="s">
        <v>435</v>
      </c>
      <c r="M3495" s="13" t="s">
        <v>364</v>
      </c>
      <c r="N3495" s="15">
        <v>1</v>
      </c>
      <c r="O3495" s="16">
        <v>0</v>
      </c>
      <c r="P3495" s="17">
        <v>0</v>
      </c>
      <c r="Q3495" s="17">
        <v>0</v>
      </c>
      <c r="R3495" s="13"/>
      <c r="S3495" s="13"/>
      <c r="T3495" s="13"/>
      <c r="U3495" s="13"/>
      <c r="V3495" s="13"/>
      <c r="W3495" s="13"/>
    </row>
    <row r="3496" spans="1:23" x14ac:dyDescent="0.2">
      <c r="A3496"/>
      <c r="B3496"/>
      <c r="C3496"/>
      <c r="D3496"/>
      <c r="E3496"/>
      <c r="F3496"/>
      <c r="G3496"/>
      <c r="H3496"/>
      <c r="I3496"/>
      <c r="J3496"/>
      <c r="K3496" s="13" t="s">
        <v>269</v>
      </c>
      <c r="L3496" s="13" t="s">
        <v>387</v>
      </c>
      <c r="M3496" s="13" t="s">
        <v>386</v>
      </c>
      <c r="N3496" s="15">
        <v>0</v>
      </c>
      <c r="O3496" s="16">
        <v>0</v>
      </c>
      <c r="P3496" s="17">
        <v>473.37904999365833</v>
      </c>
      <c r="Q3496" s="17">
        <v>0</v>
      </c>
      <c r="R3496" s="13"/>
      <c r="S3496" s="13"/>
      <c r="T3496" s="13"/>
      <c r="U3496" s="13"/>
      <c r="V3496" s="13"/>
      <c r="W3496" s="13"/>
    </row>
    <row r="3497" spans="1:23" x14ac:dyDescent="0.2">
      <c r="A3497"/>
      <c r="B3497"/>
      <c r="C3497"/>
      <c r="D3497"/>
      <c r="E3497"/>
      <c r="F3497"/>
      <c r="G3497"/>
      <c r="H3497"/>
      <c r="I3497"/>
      <c r="J3497"/>
      <c r="K3497" s="13" t="s">
        <v>269</v>
      </c>
      <c r="L3497" s="13" t="s">
        <v>389</v>
      </c>
      <c r="M3497" s="13" t="s">
        <v>388</v>
      </c>
      <c r="N3497" s="15">
        <v>0</v>
      </c>
      <c r="O3497" s="16">
        <v>0</v>
      </c>
      <c r="P3497" s="17">
        <v>404.40949992782157</v>
      </c>
      <c r="Q3497" s="17">
        <v>0</v>
      </c>
      <c r="R3497" s="13"/>
      <c r="S3497" s="13"/>
      <c r="T3497" s="13"/>
      <c r="U3497" s="13"/>
      <c r="V3497" s="13"/>
      <c r="W3497" s="13"/>
    </row>
    <row r="3498" spans="1:23" x14ac:dyDescent="0.2">
      <c r="A3498"/>
      <c r="B3498"/>
      <c r="C3498"/>
      <c r="D3498"/>
      <c r="E3498"/>
      <c r="F3498"/>
      <c r="G3498"/>
      <c r="H3498"/>
      <c r="I3498"/>
      <c r="J3498"/>
      <c r="K3498" s="13" t="s">
        <v>269</v>
      </c>
      <c r="L3498" s="13" t="s">
        <v>542</v>
      </c>
      <c r="M3498" s="13" t="s">
        <v>390</v>
      </c>
      <c r="N3498" s="15">
        <v>0</v>
      </c>
      <c r="O3498" s="16">
        <v>0</v>
      </c>
      <c r="P3498" s="17">
        <v>119.11985000866279</v>
      </c>
      <c r="Q3498" s="17">
        <v>0</v>
      </c>
      <c r="R3498" s="13"/>
      <c r="S3498" s="13"/>
      <c r="T3498" s="13"/>
      <c r="U3498" s="13"/>
      <c r="V3498" s="13"/>
      <c r="W3498" s="13"/>
    </row>
    <row r="3499" spans="1:23" x14ac:dyDescent="0.2">
      <c r="A3499"/>
      <c r="B3499"/>
      <c r="C3499"/>
      <c r="D3499"/>
      <c r="E3499"/>
      <c r="F3499"/>
      <c r="G3499"/>
      <c r="H3499"/>
      <c r="I3499"/>
      <c r="J3499"/>
      <c r="K3499" s="13" t="s">
        <v>269</v>
      </c>
      <c r="L3499" s="13" t="s">
        <v>512</v>
      </c>
      <c r="M3499" s="13" t="s">
        <v>466</v>
      </c>
      <c r="N3499" s="15">
        <v>0</v>
      </c>
      <c r="O3499" s="16">
        <v>0</v>
      </c>
      <c r="P3499" s="17">
        <v>140.69429999704988</v>
      </c>
      <c r="Q3499" s="17">
        <v>0</v>
      </c>
      <c r="R3499" s="13"/>
      <c r="S3499" s="13"/>
      <c r="T3499" s="13"/>
      <c r="U3499" s="13"/>
      <c r="V3499" s="13"/>
      <c r="W3499" s="13"/>
    </row>
    <row r="3500" spans="1:23" x14ac:dyDescent="0.2">
      <c r="A3500"/>
      <c r="B3500"/>
      <c r="C3500"/>
      <c r="D3500"/>
      <c r="E3500"/>
      <c r="F3500"/>
      <c r="G3500"/>
      <c r="H3500"/>
      <c r="I3500"/>
      <c r="J3500"/>
      <c r="K3500" s="13" t="s">
        <v>269</v>
      </c>
      <c r="L3500" s="13" t="s">
        <v>440</v>
      </c>
      <c r="M3500" s="13" t="s">
        <v>441</v>
      </c>
      <c r="N3500" s="15">
        <v>2</v>
      </c>
      <c r="O3500" s="16">
        <v>0</v>
      </c>
      <c r="P3500" s="17">
        <v>0</v>
      </c>
      <c r="Q3500" s="17">
        <v>0</v>
      </c>
      <c r="R3500" s="13"/>
      <c r="S3500" s="13"/>
      <c r="T3500" s="13"/>
      <c r="U3500" s="13"/>
      <c r="V3500" s="13"/>
      <c r="W3500" s="13"/>
    </row>
    <row r="3501" spans="1:23" x14ac:dyDescent="0.2">
      <c r="A3501"/>
      <c r="B3501"/>
      <c r="C3501"/>
      <c r="D3501"/>
      <c r="E3501"/>
      <c r="F3501"/>
      <c r="G3501"/>
      <c r="H3501"/>
      <c r="I3501"/>
      <c r="J3501"/>
      <c r="K3501" s="13" t="s">
        <v>269</v>
      </c>
      <c r="L3501" s="13" t="s">
        <v>394</v>
      </c>
      <c r="M3501" s="13" t="s">
        <v>359</v>
      </c>
      <c r="N3501" s="15">
        <v>0</v>
      </c>
      <c r="O3501" s="16">
        <v>0</v>
      </c>
      <c r="P3501" s="17">
        <v>7.5896999962328238</v>
      </c>
      <c r="Q3501" s="17">
        <v>0</v>
      </c>
      <c r="R3501" s="13"/>
      <c r="S3501" s="13"/>
      <c r="T3501" s="13"/>
      <c r="U3501" s="13"/>
      <c r="V3501" s="13"/>
      <c r="W3501" s="13"/>
    </row>
    <row r="3502" spans="1:23" x14ac:dyDescent="0.2">
      <c r="A3502"/>
      <c r="B3502"/>
      <c r="C3502"/>
      <c r="D3502"/>
      <c r="E3502"/>
      <c r="F3502"/>
      <c r="G3502"/>
      <c r="H3502"/>
      <c r="I3502"/>
      <c r="J3502"/>
      <c r="K3502" s="13" t="s">
        <v>269</v>
      </c>
      <c r="L3502" s="13" t="s">
        <v>399</v>
      </c>
      <c r="M3502" s="13" t="s">
        <v>400</v>
      </c>
      <c r="N3502" s="15">
        <v>0</v>
      </c>
      <c r="O3502" s="16">
        <v>0</v>
      </c>
      <c r="P3502" s="17">
        <v>1.491599999826029</v>
      </c>
      <c r="Q3502" s="17">
        <v>0</v>
      </c>
      <c r="R3502" s="13"/>
      <c r="S3502" s="13"/>
      <c r="T3502" s="13"/>
      <c r="U3502" s="13"/>
      <c r="V3502" s="13"/>
      <c r="W3502" s="13"/>
    </row>
    <row r="3503" spans="1:23" x14ac:dyDescent="0.2">
      <c r="A3503"/>
      <c r="B3503"/>
      <c r="C3503"/>
      <c r="D3503"/>
      <c r="E3503"/>
      <c r="F3503"/>
      <c r="G3503"/>
      <c r="H3503"/>
      <c r="I3503"/>
      <c r="J3503"/>
      <c r="K3503" s="13" t="s">
        <v>269</v>
      </c>
      <c r="L3503" s="13" t="s">
        <v>401</v>
      </c>
      <c r="M3503" s="13" t="s">
        <v>360</v>
      </c>
      <c r="N3503" s="15">
        <v>0</v>
      </c>
      <c r="O3503" s="16">
        <v>0</v>
      </c>
      <c r="P3503" s="17">
        <v>315.1407499810058</v>
      </c>
      <c r="Q3503" s="17">
        <v>0</v>
      </c>
      <c r="R3503" s="13"/>
      <c r="S3503" s="13"/>
      <c r="T3503" s="13"/>
      <c r="U3503" s="13"/>
      <c r="V3503" s="13"/>
      <c r="W3503" s="13"/>
    </row>
    <row r="3504" spans="1:23" x14ac:dyDescent="0.2">
      <c r="A3504"/>
      <c r="B3504"/>
      <c r="C3504"/>
      <c r="D3504"/>
      <c r="E3504"/>
      <c r="F3504"/>
      <c r="G3504"/>
      <c r="H3504"/>
      <c r="I3504"/>
      <c r="J3504"/>
      <c r="K3504" s="13" t="s">
        <v>269</v>
      </c>
      <c r="L3504" s="13" t="s">
        <v>402</v>
      </c>
      <c r="M3504" s="13" t="s">
        <v>403</v>
      </c>
      <c r="N3504" s="15">
        <v>0</v>
      </c>
      <c r="O3504" s="16">
        <v>0</v>
      </c>
      <c r="P3504" s="17">
        <v>1600.1654999941743</v>
      </c>
      <c r="Q3504" s="17">
        <v>0</v>
      </c>
      <c r="R3504" s="13"/>
      <c r="S3504" s="13"/>
      <c r="T3504" s="13"/>
      <c r="U3504" s="13"/>
      <c r="V3504" s="13"/>
      <c r="W3504" s="13"/>
    </row>
    <row r="3505" spans="1:23" x14ac:dyDescent="0.2">
      <c r="A3505"/>
      <c r="B3505"/>
      <c r="C3505"/>
      <c r="D3505"/>
      <c r="E3505"/>
      <c r="F3505"/>
      <c r="G3505"/>
      <c r="H3505"/>
      <c r="I3505"/>
      <c r="J3505"/>
      <c r="K3505" s="13" t="s">
        <v>269</v>
      </c>
      <c r="L3505" s="13" t="s">
        <v>448</v>
      </c>
      <c r="M3505" s="13" t="s">
        <v>366</v>
      </c>
      <c r="N3505" s="15">
        <v>0</v>
      </c>
      <c r="O3505" s="16">
        <v>0</v>
      </c>
      <c r="P3505" s="17">
        <v>211.43285003226748</v>
      </c>
      <c r="Q3505" s="17">
        <v>0</v>
      </c>
      <c r="R3505" s="13"/>
      <c r="S3505" s="13"/>
      <c r="T3505" s="13"/>
      <c r="U3505" s="13"/>
      <c r="V3505" s="13"/>
      <c r="W3505" s="13"/>
    </row>
    <row r="3506" spans="1:23" x14ac:dyDescent="0.2">
      <c r="A3506"/>
      <c r="B3506"/>
      <c r="C3506"/>
      <c r="D3506"/>
      <c r="E3506"/>
      <c r="F3506"/>
      <c r="G3506"/>
      <c r="H3506"/>
      <c r="I3506"/>
      <c r="J3506"/>
      <c r="K3506" s="13" t="s">
        <v>269</v>
      </c>
      <c r="L3506" s="13" t="s">
        <v>404</v>
      </c>
      <c r="M3506" s="13" t="s">
        <v>405</v>
      </c>
      <c r="N3506" s="15">
        <v>0</v>
      </c>
      <c r="O3506" s="16">
        <v>0</v>
      </c>
      <c r="P3506" s="17">
        <v>78.209522512438156</v>
      </c>
      <c r="Q3506" s="17">
        <v>411.42336316175636</v>
      </c>
      <c r="R3506" s="13"/>
      <c r="S3506" s="13"/>
      <c r="T3506" s="13"/>
      <c r="U3506" s="13"/>
      <c r="V3506" s="13"/>
      <c r="W3506" s="13"/>
    </row>
    <row r="3507" spans="1:23" x14ac:dyDescent="0.2">
      <c r="A3507"/>
      <c r="B3507"/>
      <c r="C3507"/>
      <c r="D3507"/>
      <c r="E3507"/>
      <c r="F3507"/>
      <c r="G3507"/>
      <c r="H3507"/>
      <c r="I3507"/>
      <c r="J3507"/>
      <c r="K3507" s="13" t="s">
        <v>269</v>
      </c>
      <c r="L3507" s="13" t="s">
        <v>381</v>
      </c>
      <c r="M3507" s="13" t="s">
        <v>382</v>
      </c>
      <c r="N3507" s="15">
        <v>5</v>
      </c>
      <c r="O3507" s="16">
        <v>0</v>
      </c>
      <c r="P3507" s="17">
        <v>0</v>
      </c>
      <c r="Q3507" s="17">
        <v>0</v>
      </c>
      <c r="R3507" s="13"/>
      <c r="S3507" s="13"/>
      <c r="T3507" s="13"/>
      <c r="U3507" s="13"/>
      <c r="V3507" s="13"/>
      <c r="W3507" s="13"/>
    </row>
    <row r="3508" spans="1:23" x14ac:dyDescent="0.2">
      <c r="A3508"/>
      <c r="B3508"/>
      <c r="C3508"/>
      <c r="D3508"/>
      <c r="E3508"/>
      <c r="F3508"/>
      <c r="G3508"/>
      <c r="H3508"/>
      <c r="I3508"/>
      <c r="J3508"/>
      <c r="K3508" s="13" t="s">
        <v>269</v>
      </c>
      <c r="L3508" s="13" t="s">
        <v>411</v>
      </c>
      <c r="M3508" s="13" t="s">
        <v>362</v>
      </c>
      <c r="N3508" s="15">
        <v>0</v>
      </c>
      <c r="O3508" s="16">
        <v>60.862815474273589</v>
      </c>
      <c r="P3508" s="17">
        <v>0</v>
      </c>
      <c r="Q3508" s="17">
        <v>0</v>
      </c>
      <c r="R3508" s="13"/>
      <c r="S3508" s="13"/>
      <c r="T3508" s="13"/>
      <c r="U3508" s="13"/>
      <c r="V3508" s="13"/>
      <c r="W3508" s="13"/>
    </row>
    <row r="3509" spans="1:23" x14ac:dyDescent="0.2">
      <c r="A3509"/>
      <c r="B3509"/>
      <c r="C3509"/>
      <c r="D3509"/>
      <c r="E3509"/>
      <c r="F3509"/>
      <c r="G3509"/>
      <c r="H3509"/>
      <c r="I3509"/>
      <c r="J3509"/>
      <c r="K3509" s="13" t="s">
        <v>269</v>
      </c>
      <c r="L3509" s="13" t="s">
        <v>411</v>
      </c>
      <c r="M3509" s="13" t="s">
        <v>362</v>
      </c>
      <c r="N3509" s="15">
        <v>1</v>
      </c>
      <c r="O3509" s="16">
        <v>0</v>
      </c>
      <c r="P3509" s="17">
        <v>0</v>
      </c>
      <c r="Q3509" s="17">
        <v>0</v>
      </c>
      <c r="R3509" s="13"/>
      <c r="S3509" s="13"/>
      <c r="T3509" s="13"/>
      <c r="U3509" s="13"/>
      <c r="V3509" s="13"/>
      <c r="W3509" s="13"/>
    </row>
    <row r="3510" spans="1:23" x14ac:dyDescent="0.2">
      <c r="A3510"/>
      <c r="B3510"/>
      <c r="C3510"/>
      <c r="D3510"/>
      <c r="E3510"/>
      <c r="F3510"/>
      <c r="G3510"/>
      <c r="H3510"/>
      <c r="I3510"/>
      <c r="J3510"/>
      <c r="K3510" s="13" t="s">
        <v>269</v>
      </c>
      <c r="L3510" s="13" t="s">
        <v>606</v>
      </c>
      <c r="M3510" s="13" t="s">
        <v>430</v>
      </c>
      <c r="N3510" s="15">
        <v>13</v>
      </c>
      <c r="O3510" s="16">
        <v>0</v>
      </c>
      <c r="P3510" s="17">
        <v>0</v>
      </c>
      <c r="Q3510" s="17">
        <v>0</v>
      </c>
      <c r="R3510" s="13"/>
      <c r="S3510" s="13"/>
      <c r="T3510" s="13"/>
      <c r="U3510" s="13"/>
      <c r="V3510" s="13"/>
      <c r="W3510" s="13"/>
    </row>
    <row r="3511" spans="1:23" x14ac:dyDescent="0.2">
      <c r="A3511"/>
      <c r="B3511"/>
      <c r="C3511"/>
      <c r="D3511"/>
      <c r="E3511"/>
      <c r="F3511"/>
      <c r="G3511"/>
      <c r="H3511"/>
      <c r="I3511"/>
      <c r="J3511"/>
      <c r="K3511" s="13" t="s">
        <v>269</v>
      </c>
      <c r="L3511" s="13" t="s">
        <v>623</v>
      </c>
      <c r="M3511" s="13" t="s">
        <v>530</v>
      </c>
      <c r="N3511" s="15">
        <v>0</v>
      </c>
      <c r="O3511" s="16">
        <v>103.92511427996317</v>
      </c>
      <c r="P3511" s="17">
        <v>0</v>
      </c>
      <c r="Q3511" s="17">
        <v>0</v>
      </c>
      <c r="R3511" s="13"/>
      <c r="S3511" s="13"/>
      <c r="T3511" s="13"/>
      <c r="U3511" s="13"/>
      <c r="V3511" s="13"/>
      <c r="W3511" s="13"/>
    </row>
    <row r="3512" spans="1:23" x14ac:dyDescent="0.2">
      <c r="A3512"/>
      <c r="B3512"/>
      <c r="C3512"/>
      <c r="D3512"/>
      <c r="E3512"/>
      <c r="F3512"/>
      <c r="G3512"/>
      <c r="H3512"/>
      <c r="I3512"/>
      <c r="J3512"/>
      <c r="K3512" s="13" t="s">
        <v>269</v>
      </c>
      <c r="L3512" s="13" t="s">
        <v>608</v>
      </c>
      <c r="M3512" s="13" t="s">
        <v>432</v>
      </c>
      <c r="N3512" s="15">
        <v>42</v>
      </c>
      <c r="O3512" s="16">
        <v>0</v>
      </c>
      <c r="P3512" s="17">
        <v>0</v>
      </c>
      <c r="Q3512" s="17">
        <v>0</v>
      </c>
      <c r="R3512" s="13"/>
      <c r="S3512" s="13"/>
      <c r="T3512" s="13"/>
      <c r="U3512" s="13"/>
      <c r="V3512" s="13"/>
      <c r="W3512" s="13"/>
    </row>
    <row r="3513" spans="1:23" x14ac:dyDescent="0.2">
      <c r="A3513"/>
      <c r="B3513"/>
      <c r="C3513"/>
      <c r="D3513"/>
      <c r="E3513"/>
      <c r="F3513"/>
      <c r="G3513"/>
      <c r="H3513"/>
      <c r="I3513"/>
      <c r="J3513"/>
      <c r="K3513" s="13" t="s">
        <v>269</v>
      </c>
      <c r="L3513" s="13" t="s">
        <v>615</v>
      </c>
      <c r="M3513" s="13" t="s">
        <v>449</v>
      </c>
      <c r="N3513" s="15">
        <v>1</v>
      </c>
      <c r="O3513" s="16">
        <v>0</v>
      </c>
      <c r="P3513" s="17">
        <v>0</v>
      </c>
      <c r="Q3513" s="17">
        <v>0</v>
      </c>
      <c r="R3513" s="13"/>
      <c r="S3513" s="13"/>
      <c r="T3513" s="13"/>
      <c r="U3513" s="13"/>
      <c r="V3513" s="13"/>
      <c r="W3513" s="13"/>
    </row>
    <row r="3514" spans="1:23" x14ac:dyDescent="0.2">
      <c r="A3514"/>
      <c r="B3514"/>
      <c r="C3514"/>
      <c r="D3514"/>
      <c r="E3514"/>
      <c r="F3514"/>
      <c r="G3514"/>
      <c r="H3514"/>
      <c r="I3514"/>
      <c r="J3514"/>
      <c r="K3514" s="13" t="s">
        <v>269</v>
      </c>
      <c r="L3514" s="13" t="s">
        <v>523</v>
      </c>
      <c r="M3514" s="13" t="s">
        <v>476</v>
      </c>
      <c r="N3514" s="15">
        <v>0</v>
      </c>
      <c r="O3514" s="16">
        <v>0</v>
      </c>
      <c r="P3514" s="17">
        <v>10.597500003702008</v>
      </c>
      <c r="Q3514" s="17">
        <v>0</v>
      </c>
      <c r="R3514" s="13"/>
      <c r="S3514" s="13"/>
      <c r="T3514" s="13"/>
      <c r="U3514" s="13"/>
      <c r="V3514" s="13"/>
      <c r="W3514" s="13"/>
    </row>
    <row r="3515" spans="1:23" x14ac:dyDescent="0.2">
      <c r="A3515"/>
      <c r="B3515"/>
      <c r="C3515"/>
      <c r="D3515"/>
      <c r="E3515"/>
      <c r="F3515"/>
      <c r="G3515"/>
      <c r="H3515"/>
      <c r="I3515"/>
      <c r="J3515"/>
      <c r="K3515" s="13" t="s">
        <v>269</v>
      </c>
      <c r="L3515" s="13" t="s">
        <v>383</v>
      </c>
      <c r="M3515" s="13" t="s">
        <v>420</v>
      </c>
      <c r="N3515" s="15">
        <v>11</v>
      </c>
      <c r="O3515" s="16">
        <v>0</v>
      </c>
      <c r="P3515" s="17">
        <v>0</v>
      </c>
      <c r="Q3515" s="17">
        <v>0</v>
      </c>
      <c r="R3515" s="13"/>
      <c r="S3515" s="13"/>
      <c r="T3515" s="13"/>
      <c r="U3515" s="13"/>
      <c r="V3515" s="13"/>
      <c r="W3515" s="13"/>
    </row>
    <row r="3516" spans="1:23" x14ac:dyDescent="0.2">
      <c r="A3516"/>
      <c r="B3516"/>
      <c r="C3516"/>
      <c r="D3516"/>
      <c r="E3516"/>
      <c r="F3516"/>
      <c r="G3516"/>
      <c r="H3516"/>
      <c r="I3516"/>
      <c r="J3516"/>
      <c r="K3516" s="13" t="s">
        <v>269</v>
      </c>
      <c r="L3516" s="13" t="s">
        <v>528</v>
      </c>
      <c r="M3516" s="13" t="s">
        <v>384</v>
      </c>
      <c r="N3516" s="15">
        <v>0</v>
      </c>
      <c r="O3516" s="16">
        <v>246.50563360693235</v>
      </c>
      <c r="P3516" s="17">
        <v>0</v>
      </c>
      <c r="Q3516" s="17">
        <v>0</v>
      </c>
      <c r="R3516" s="13"/>
      <c r="S3516" s="13"/>
      <c r="T3516" s="13"/>
      <c r="U3516" s="13"/>
      <c r="V3516" s="13"/>
      <c r="W3516" s="13"/>
    </row>
    <row r="3517" spans="1:23" x14ac:dyDescent="0.2">
      <c r="A3517"/>
      <c r="B3517"/>
      <c r="C3517"/>
      <c r="D3517"/>
      <c r="E3517"/>
      <c r="F3517"/>
      <c r="G3517"/>
      <c r="H3517"/>
      <c r="I3517"/>
      <c r="J3517"/>
      <c r="K3517" s="13" t="s">
        <v>269</v>
      </c>
      <c r="L3517" s="13" t="s">
        <v>613</v>
      </c>
      <c r="M3517" s="13" t="s">
        <v>444</v>
      </c>
      <c r="N3517" s="15">
        <v>0</v>
      </c>
      <c r="O3517" s="16">
        <v>11.133547583378096</v>
      </c>
      <c r="P3517" s="17">
        <v>0</v>
      </c>
      <c r="Q3517" s="17">
        <v>0</v>
      </c>
      <c r="R3517" s="13"/>
      <c r="S3517" s="13"/>
      <c r="T3517" s="13"/>
      <c r="U3517" s="13"/>
      <c r="V3517" s="13"/>
      <c r="W3517" s="13"/>
    </row>
    <row r="3518" spans="1:23" x14ac:dyDescent="0.2">
      <c r="A3518"/>
      <c r="B3518"/>
      <c r="C3518"/>
      <c r="D3518"/>
      <c r="E3518"/>
      <c r="F3518"/>
      <c r="G3518"/>
      <c r="H3518"/>
      <c r="I3518"/>
      <c r="J3518"/>
      <c r="K3518" s="13" t="s">
        <v>269</v>
      </c>
      <c r="L3518" s="13" t="s">
        <v>446</v>
      </c>
      <c r="M3518" s="13" t="s">
        <v>371</v>
      </c>
      <c r="N3518" s="15">
        <v>8</v>
      </c>
      <c r="O3518" s="16">
        <v>0</v>
      </c>
      <c r="P3518" s="17">
        <v>0</v>
      </c>
      <c r="Q3518" s="17">
        <v>0</v>
      </c>
      <c r="R3518" s="13"/>
      <c r="S3518" s="13"/>
      <c r="T3518" s="13"/>
      <c r="U3518" s="13"/>
      <c r="V3518" s="13"/>
      <c r="W3518" s="13"/>
    </row>
    <row r="3519" spans="1:23" x14ac:dyDescent="0.2">
      <c r="A3519"/>
      <c r="B3519"/>
      <c r="C3519"/>
      <c r="D3519"/>
      <c r="E3519"/>
      <c r="F3519"/>
      <c r="G3519"/>
      <c r="H3519"/>
      <c r="I3519"/>
      <c r="J3519"/>
      <c r="K3519" s="13" t="s">
        <v>269</v>
      </c>
      <c r="L3519" s="13" t="s">
        <v>424</v>
      </c>
      <c r="M3519" s="13" t="s">
        <v>468</v>
      </c>
      <c r="N3519" s="15">
        <v>0</v>
      </c>
      <c r="O3519" s="16">
        <v>0</v>
      </c>
      <c r="P3519" s="17">
        <v>20.460700000946595</v>
      </c>
      <c r="Q3519" s="17">
        <v>0</v>
      </c>
      <c r="R3519" s="13"/>
      <c r="S3519" s="13"/>
      <c r="T3519" s="13"/>
      <c r="U3519" s="13"/>
      <c r="V3519" s="13"/>
      <c r="W3519" s="13"/>
    </row>
    <row r="3520" spans="1:23" x14ac:dyDescent="0.2">
      <c r="A3520"/>
      <c r="B3520"/>
      <c r="C3520"/>
      <c r="D3520"/>
      <c r="E3520"/>
      <c r="F3520"/>
      <c r="G3520"/>
      <c r="H3520"/>
      <c r="I3520"/>
      <c r="J3520"/>
      <c r="K3520" s="13" t="s">
        <v>269</v>
      </c>
      <c r="L3520" s="13" t="s">
        <v>484</v>
      </c>
      <c r="M3520" s="13" t="s">
        <v>529</v>
      </c>
      <c r="N3520" s="15">
        <v>0</v>
      </c>
      <c r="O3520" s="16">
        <v>55.455980508465345</v>
      </c>
      <c r="P3520" s="17">
        <v>0</v>
      </c>
      <c r="Q3520" s="17">
        <v>0</v>
      </c>
      <c r="R3520" s="13"/>
      <c r="S3520" s="13"/>
      <c r="T3520" s="13"/>
      <c r="U3520" s="13"/>
      <c r="V3520" s="13"/>
      <c r="W3520" s="13"/>
    </row>
    <row r="3521" spans="1:23" x14ac:dyDescent="0.2">
      <c r="A3521"/>
      <c r="B3521"/>
      <c r="C3521"/>
      <c r="D3521"/>
      <c r="E3521"/>
      <c r="F3521"/>
      <c r="G3521"/>
      <c r="H3521"/>
      <c r="I3521"/>
      <c r="J3521"/>
      <c r="K3521" s="13" t="s">
        <v>271</v>
      </c>
      <c r="L3521" s="13" t="s">
        <v>389</v>
      </c>
      <c r="M3521" s="13" t="s">
        <v>388</v>
      </c>
      <c r="N3521" s="15">
        <v>0</v>
      </c>
      <c r="O3521" s="16">
        <v>0</v>
      </c>
      <c r="P3521" s="17">
        <v>1246.1222717302717</v>
      </c>
      <c r="Q3521" s="17">
        <v>0</v>
      </c>
      <c r="R3521" s="13"/>
      <c r="S3521" s="13"/>
      <c r="T3521" s="13"/>
      <c r="U3521" s="13"/>
      <c r="V3521" s="13"/>
      <c r="W3521" s="13"/>
    </row>
    <row r="3522" spans="1:23" x14ac:dyDescent="0.2">
      <c r="A3522"/>
      <c r="B3522"/>
      <c r="C3522"/>
      <c r="D3522"/>
      <c r="E3522"/>
      <c r="F3522"/>
      <c r="G3522"/>
      <c r="H3522"/>
      <c r="I3522"/>
      <c r="J3522"/>
      <c r="K3522" s="13" t="s">
        <v>271</v>
      </c>
      <c r="L3522" s="13" t="s">
        <v>391</v>
      </c>
      <c r="M3522" s="13" t="s">
        <v>358</v>
      </c>
      <c r="N3522" s="15">
        <v>0</v>
      </c>
      <c r="O3522" s="16">
        <v>0</v>
      </c>
      <c r="P3522" s="17">
        <v>42.49676087461939</v>
      </c>
      <c r="Q3522" s="17">
        <v>0</v>
      </c>
      <c r="R3522" s="13"/>
      <c r="S3522" s="13"/>
      <c r="T3522" s="13"/>
      <c r="U3522" s="13"/>
      <c r="V3522" s="13"/>
      <c r="W3522" s="13"/>
    </row>
    <row r="3523" spans="1:23" x14ac:dyDescent="0.2">
      <c r="A3523"/>
      <c r="B3523"/>
      <c r="C3523"/>
      <c r="D3523"/>
      <c r="E3523"/>
      <c r="F3523"/>
      <c r="G3523"/>
      <c r="H3523"/>
      <c r="I3523"/>
      <c r="J3523"/>
      <c r="K3523" s="13" t="s">
        <v>271</v>
      </c>
      <c r="L3523" s="13" t="s">
        <v>392</v>
      </c>
      <c r="M3523" s="13" t="s">
        <v>437</v>
      </c>
      <c r="N3523" s="15">
        <v>0</v>
      </c>
      <c r="O3523" s="16">
        <v>0</v>
      </c>
      <c r="P3523" s="17">
        <v>2.717850000084471</v>
      </c>
      <c r="Q3523" s="17">
        <v>0</v>
      </c>
      <c r="R3523" s="13"/>
      <c r="S3523" s="13"/>
      <c r="T3523" s="13"/>
      <c r="U3523" s="13"/>
      <c r="V3523" s="13"/>
      <c r="W3523" s="13"/>
    </row>
    <row r="3524" spans="1:23" x14ac:dyDescent="0.2">
      <c r="A3524"/>
      <c r="B3524"/>
      <c r="C3524"/>
      <c r="D3524"/>
      <c r="E3524"/>
      <c r="F3524"/>
      <c r="G3524"/>
      <c r="H3524"/>
      <c r="I3524"/>
      <c r="J3524"/>
      <c r="K3524" s="13" t="s">
        <v>271</v>
      </c>
      <c r="L3524" s="13" t="s">
        <v>486</v>
      </c>
      <c r="M3524" s="13" t="s">
        <v>439</v>
      </c>
      <c r="N3524" s="15">
        <v>0</v>
      </c>
      <c r="O3524" s="16">
        <v>0</v>
      </c>
      <c r="P3524" s="17">
        <v>10.02939998750286</v>
      </c>
      <c r="Q3524" s="17">
        <v>0</v>
      </c>
      <c r="R3524" s="13"/>
      <c r="S3524" s="13"/>
      <c r="T3524" s="13"/>
      <c r="U3524" s="13"/>
      <c r="V3524" s="13"/>
      <c r="W3524" s="13"/>
    </row>
    <row r="3525" spans="1:23" x14ac:dyDescent="0.2">
      <c r="A3525"/>
      <c r="B3525"/>
      <c r="C3525"/>
      <c r="D3525"/>
      <c r="E3525"/>
      <c r="F3525"/>
      <c r="G3525"/>
      <c r="H3525"/>
      <c r="I3525"/>
      <c r="J3525"/>
      <c r="K3525" s="13" t="s">
        <v>271</v>
      </c>
      <c r="L3525" s="13" t="s">
        <v>512</v>
      </c>
      <c r="M3525" s="13" t="s">
        <v>466</v>
      </c>
      <c r="N3525" s="15">
        <v>0</v>
      </c>
      <c r="O3525" s="16">
        <v>0</v>
      </c>
      <c r="P3525" s="17">
        <v>63.21080000224773</v>
      </c>
      <c r="Q3525" s="17">
        <v>0</v>
      </c>
      <c r="R3525" s="13"/>
      <c r="S3525" s="13"/>
      <c r="T3525" s="13"/>
      <c r="U3525" s="13"/>
      <c r="V3525" s="13"/>
      <c r="W3525" s="13"/>
    </row>
    <row r="3526" spans="1:23" x14ac:dyDescent="0.2">
      <c r="A3526"/>
      <c r="B3526"/>
      <c r="C3526"/>
      <c r="D3526"/>
      <c r="E3526"/>
      <c r="F3526"/>
      <c r="G3526"/>
      <c r="H3526"/>
      <c r="I3526"/>
      <c r="J3526"/>
      <c r="K3526" s="13" t="s">
        <v>271</v>
      </c>
      <c r="L3526" s="13" t="s">
        <v>513</v>
      </c>
      <c r="M3526" s="13" t="s">
        <v>533</v>
      </c>
      <c r="N3526" s="15">
        <v>0</v>
      </c>
      <c r="O3526" s="16">
        <v>0</v>
      </c>
      <c r="P3526" s="17">
        <v>95.287407161254549</v>
      </c>
      <c r="Q3526" s="17">
        <v>0</v>
      </c>
      <c r="R3526" s="13"/>
      <c r="S3526" s="13"/>
      <c r="T3526" s="13"/>
      <c r="U3526" s="13"/>
      <c r="V3526" s="13"/>
      <c r="W3526" s="13"/>
    </row>
    <row r="3527" spans="1:23" x14ac:dyDescent="0.2">
      <c r="A3527"/>
      <c r="B3527"/>
      <c r="C3527"/>
      <c r="D3527"/>
      <c r="E3527"/>
      <c r="F3527"/>
      <c r="G3527"/>
      <c r="H3527"/>
      <c r="I3527"/>
      <c r="J3527"/>
      <c r="K3527" s="13" t="s">
        <v>271</v>
      </c>
      <c r="L3527" s="13" t="s">
        <v>394</v>
      </c>
      <c r="M3527" s="13" t="s">
        <v>359</v>
      </c>
      <c r="N3527" s="15">
        <v>0</v>
      </c>
      <c r="O3527" s="16">
        <v>0</v>
      </c>
      <c r="P3527" s="17">
        <v>8.7438999824995651</v>
      </c>
      <c r="Q3527" s="17">
        <v>0</v>
      </c>
      <c r="R3527" s="13"/>
      <c r="S3527" s="13"/>
      <c r="T3527" s="13"/>
      <c r="U3527" s="13"/>
      <c r="V3527" s="13"/>
      <c r="W3527" s="13"/>
    </row>
    <row r="3528" spans="1:23" x14ac:dyDescent="0.2">
      <c r="A3528"/>
      <c r="B3528"/>
      <c r="C3528"/>
      <c r="D3528"/>
      <c r="E3528"/>
      <c r="F3528"/>
      <c r="G3528"/>
      <c r="H3528"/>
      <c r="I3528"/>
      <c r="J3528"/>
      <c r="K3528" s="13" t="s">
        <v>271</v>
      </c>
      <c r="L3528" s="13" t="s">
        <v>399</v>
      </c>
      <c r="M3528" s="13" t="s">
        <v>400</v>
      </c>
      <c r="N3528" s="15">
        <v>0</v>
      </c>
      <c r="O3528" s="16">
        <v>0</v>
      </c>
      <c r="P3528" s="17">
        <v>3.3894329348605199</v>
      </c>
      <c r="Q3528" s="17">
        <v>0</v>
      </c>
      <c r="R3528" s="13"/>
      <c r="S3528" s="13"/>
      <c r="T3528" s="13"/>
      <c r="U3528" s="13"/>
      <c r="V3528" s="13"/>
      <c r="W3528" s="13"/>
    </row>
    <row r="3529" spans="1:23" x14ac:dyDescent="0.2">
      <c r="A3529"/>
      <c r="B3529"/>
      <c r="C3529"/>
      <c r="D3529"/>
      <c r="E3529"/>
      <c r="F3529"/>
      <c r="G3529"/>
      <c r="H3529"/>
      <c r="I3529"/>
      <c r="J3529"/>
      <c r="K3529" s="13" t="s">
        <v>271</v>
      </c>
      <c r="L3529" s="13" t="s">
        <v>401</v>
      </c>
      <c r="M3529" s="13" t="s">
        <v>360</v>
      </c>
      <c r="N3529" s="15">
        <v>0</v>
      </c>
      <c r="O3529" s="16">
        <v>0</v>
      </c>
      <c r="P3529" s="17">
        <v>113.96290550094665</v>
      </c>
      <c r="Q3529" s="17">
        <v>0</v>
      </c>
      <c r="R3529" s="13"/>
      <c r="S3529" s="13"/>
      <c r="T3529" s="13"/>
      <c r="U3529" s="13"/>
      <c r="V3529" s="13"/>
      <c r="W3529" s="13"/>
    </row>
    <row r="3530" spans="1:23" x14ac:dyDescent="0.2">
      <c r="A3530"/>
      <c r="B3530"/>
      <c r="C3530"/>
      <c r="D3530"/>
      <c r="E3530"/>
      <c r="F3530"/>
      <c r="G3530"/>
      <c r="H3530"/>
      <c r="I3530"/>
      <c r="J3530"/>
      <c r="K3530" s="13" t="s">
        <v>271</v>
      </c>
      <c r="L3530" s="13" t="s">
        <v>511</v>
      </c>
      <c r="M3530" s="13" t="s">
        <v>377</v>
      </c>
      <c r="N3530" s="15">
        <v>0</v>
      </c>
      <c r="O3530" s="16">
        <v>0</v>
      </c>
      <c r="P3530" s="17">
        <v>229.84518650772768</v>
      </c>
      <c r="Q3530" s="17">
        <v>0</v>
      </c>
      <c r="R3530" s="13"/>
      <c r="S3530" s="13"/>
      <c r="T3530" s="13"/>
      <c r="U3530" s="13"/>
      <c r="V3530" s="13"/>
      <c r="W3530" s="13"/>
    </row>
    <row r="3531" spans="1:23" x14ac:dyDescent="0.2">
      <c r="A3531"/>
      <c r="B3531"/>
      <c r="C3531"/>
      <c r="D3531"/>
      <c r="E3531"/>
      <c r="F3531"/>
      <c r="G3531"/>
      <c r="H3531"/>
      <c r="I3531"/>
      <c r="J3531"/>
      <c r="K3531" s="13" t="s">
        <v>271</v>
      </c>
      <c r="L3531" s="13" t="s">
        <v>402</v>
      </c>
      <c r="M3531" s="13" t="s">
        <v>403</v>
      </c>
      <c r="N3531" s="15">
        <v>0</v>
      </c>
      <c r="O3531" s="16">
        <v>0</v>
      </c>
      <c r="P3531" s="17">
        <v>1453.9439867159315</v>
      </c>
      <c r="Q3531" s="17">
        <v>0</v>
      </c>
      <c r="R3531" s="13"/>
      <c r="S3531" s="13"/>
      <c r="T3531" s="13"/>
      <c r="U3531" s="13"/>
      <c r="V3531" s="13"/>
      <c r="W3531" s="13"/>
    </row>
    <row r="3532" spans="1:23" x14ac:dyDescent="0.2">
      <c r="A3532"/>
      <c r="B3532"/>
      <c r="C3532"/>
      <c r="D3532"/>
      <c r="E3532"/>
      <c r="F3532"/>
      <c r="G3532"/>
      <c r="H3532"/>
      <c r="I3532"/>
      <c r="J3532"/>
      <c r="K3532" s="13" t="s">
        <v>271</v>
      </c>
      <c r="L3532" s="13" t="s">
        <v>448</v>
      </c>
      <c r="M3532" s="13" t="s">
        <v>366</v>
      </c>
      <c r="N3532" s="15">
        <v>0</v>
      </c>
      <c r="O3532" s="16">
        <v>0</v>
      </c>
      <c r="P3532" s="17">
        <v>27.446750003655204</v>
      </c>
      <c r="Q3532" s="17">
        <v>0</v>
      </c>
      <c r="R3532" s="13"/>
      <c r="S3532" s="13"/>
      <c r="T3532" s="13"/>
      <c r="U3532" s="13"/>
      <c r="V3532" s="13"/>
      <c r="W3532" s="13"/>
    </row>
    <row r="3533" spans="1:23" x14ac:dyDescent="0.2">
      <c r="A3533"/>
      <c r="B3533"/>
      <c r="C3533"/>
      <c r="D3533"/>
      <c r="E3533"/>
      <c r="F3533"/>
      <c r="G3533"/>
      <c r="H3533"/>
      <c r="I3533"/>
      <c r="J3533"/>
      <c r="K3533" s="13" t="s">
        <v>271</v>
      </c>
      <c r="L3533" s="13" t="s">
        <v>404</v>
      </c>
      <c r="M3533" s="13" t="s">
        <v>405</v>
      </c>
      <c r="N3533" s="15">
        <v>0</v>
      </c>
      <c r="O3533" s="16">
        <v>0</v>
      </c>
      <c r="P3533" s="17">
        <v>12.615876862870264</v>
      </c>
      <c r="Q3533" s="17">
        <v>50.890317951564818</v>
      </c>
      <c r="R3533" s="13"/>
      <c r="S3533" s="13"/>
      <c r="T3533" s="13"/>
      <c r="U3533" s="13"/>
      <c r="V3533" s="13"/>
      <c r="W3533" s="13"/>
    </row>
    <row r="3534" spans="1:23" x14ac:dyDescent="0.2">
      <c r="A3534"/>
      <c r="B3534"/>
      <c r="C3534"/>
      <c r="D3534"/>
      <c r="E3534"/>
      <c r="F3534"/>
      <c r="G3534"/>
      <c r="H3534"/>
      <c r="I3534"/>
      <c r="J3534"/>
      <c r="K3534" s="13" t="s">
        <v>271</v>
      </c>
      <c r="L3534" s="13" t="s">
        <v>406</v>
      </c>
      <c r="M3534" s="13" t="s">
        <v>361</v>
      </c>
      <c r="N3534" s="15">
        <v>0</v>
      </c>
      <c r="O3534" s="16">
        <v>0</v>
      </c>
      <c r="P3534" s="17">
        <v>0.8698999992081895</v>
      </c>
      <c r="Q3534" s="17">
        <v>0.8698999992081895</v>
      </c>
      <c r="R3534" s="13"/>
      <c r="S3534" s="13"/>
      <c r="T3534" s="13"/>
      <c r="U3534" s="13"/>
      <c r="V3534" s="13"/>
      <c r="W3534" s="13"/>
    </row>
    <row r="3535" spans="1:23" x14ac:dyDescent="0.2">
      <c r="A3535"/>
      <c r="B3535"/>
      <c r="C3535"/>
      <c r="D3535"/>
      <c r="E3535"/>
      <c r="F3535"/>
      <c r="G3535"/>
      <c r="H3535"/>
      <c r="I3535"/>
      <c r="J3535"/>
      <c r="K3535" s="13" t="s">
        <v>271</v>
      </c>
      <c r="L3535" s="13" t="s">
        <v>381</v>
      </c>
      <c r="M3535" s="13" t="s">
        <v>382</v>
      </c>
      <c r="N3535" s="15">
        <v>25</v>
      </c>
      <c r="O3535" s="16">
        <v>0</v>
      </c>
      <c r="P3535" s="17">
        <v>0</v>
      </c>
      <c r="Q3535" s="17">
        <v>0</v>
      </c>
      <c r="R3535" s="13"/>
      <c r="S3535" s="13"/>
      <c r="T3535" s="13"/>
      <c r="U3535" s="13"/>
      <c r="V3535" s="13"/>
      <c r="W3535" s="13"/>
    </row>
    <row r="3536" spans="1:23" x14ac:dyDescent="0.2">
      <c r="A3536"/>
      <c r="B3536"/>
      <c r="C3536"/>
      <c r="D3536"/>
      <c r="E3536"/>
      <c r="F3536"/>
      <c r="G3536"/>
      <c r="H3536"/>
      <c r="I3536"/>
      <c r="J3536"/>
      <c r="K3536" s="13" t="s">
        <v>271</v>
      </c>
      <c r="L3536" s="13" t="s">
        <v>409</v>
      </c>
      <c r="M3536" s="13" t="s">
        <v>410</v>
      </c>
      <c r="N3536" s="15">
        <v>1</v>
      </c>
      <c r="O3536" s="16">
        <v>0</v>
      </c>
      <c r="P3536" s="17">
        <v>0</v>
      </c>
      <c r="Q3536" s="17">
        <v>0</v>
      </c>
      <c r="R3536" s="13"/>
      <c r="S3536" s="13"/>
      <c r="T3536" s="13"/>
      <c r="U3536" s="13"/>
      <c r="V3536" s="13"/>
      <c r="W3536" s="13"/>
    </row>
    <row r="3537" spans="1:23" x14ac:dyDescent="0.2">
      <c r="A3537"/>
      <c r="B3537"/>
      <c r="C3537"/>
      <c r="D3537"/>
      <c r="E3537"/>
      <c r="F3537"/>
      <c r="G3537"/>
      <c r="H3537"/>
      <c r="I3537"/>
      <c r="J3537"/>
      <c r="K3537" s="13" t="s">
        <v>271</v>
      </c>
      <c r="L3537" s="13" t="s">
        <v>411</v>
      </c>
      <c r="M3537" s="13" t="s">
        <v>362</v>
      </c>
      <c r="N3537" s="15">
        <v>0</v>
      </c>
      <c r="O3537" s="16">
        <v>44.641537375424768</v>
      </c>
      <c r="P3537" s="17">
        <v>0</v>
      </c>
      <c r="Q3537" s="17">
        <v>0</v>
      </c>
      <c r="R3537" s="13"/>
      <c r="S3537" s="13"/>
      <c r="T3537" s="13"/>
      <c r="U3537" s="13"/>
      <c r="V3537" s="13"/>
      <c r="W3537" s="13"/>
    </row>
    <row r="3538" spans="1:23" x14ac:dyDescent="0.2">
      <c r="A3538"/>
      <c r="B3538"/>
      <c r="C3538"/>
      <c r="D3538"/>
      <c r="E3538"/>
      <c r="F3538"/>
      <c r="G3538"/>
      <c r="H3538"/>
      <c r="I3538"/>
      <c r="J3538"/>
      <c r="K3538" s="13" t="s">
        <v>271</v>
      </c>
      <c r="L3538" s="13" t="s">
        <v>411</v>
      </c>
      <c r="M3538" s="13" t="s">
        <v>362</v>
      </c>
      <c r="N3538" s="15">
        <v>1</v>
      </c>
      <c r="O3538" s="16">
        <v>0</v>
      </c>
      <c r="P3538" s="17">
        <v>0</v>
      </c>
      <c r="Q3538" s="17">
        <v>0</v>
      </c>
      <c r="R3538" s="13"/>
      <c r="S3538" s="13"/>
      <c r="T3538" s="13"/>
      <c r="U3538" s="13"/>
      <c r="V3538" s="13"/>
      <c r="W3538" s="13"/>
    </row>
    <row r="3539" spans="1:23" x14ac:dyDescent="0.2">
      <c r="A3539"/>
      <c r="B3539"/>
      <c r="C3539"/>
      <c r="D3539"/>
      <c r="E3539"/>
      <c r="F3539"/>
      <c r="G3539"/>
      <c r="H3539"/>
      <c r="I3539"/>
      <c r="J3539"/>
      <c r="K3539" s="13" t="s">
        <v>271</v>
      </c>
      <c r="L3539" s="13" t="s">
        <v>606</v>
      </c>
      <c r="M3539" s="13" t="s">
        <v>430</v>
      </c>
      <c r="N3539" s="15">
        <v>4</v>
      </c>
      <c r="O3539" s="16">
        <v>0</v>
      </c>
      <c r="P3539" s="17">
        <v>0</v>
      </c>
      <c r="Q3539" s="17">
        <v>0</v>
      </c>
      <c r="R3539" s="13"/>
      <c r="S3539" s="13"/>
      <c r="T3539" s="13"/>
      <c r="U3539" s="13"/>
      <c r="V3539" s="13"/>
      <c r="W3539" s="13"/>
    </row>
    <row r="3540" spans="1:23" x14ac:dyDescent="0.2">
      <c r="A3540"/>
      <c r="B3540"/>
      <c r="C3540"/>
      <c r="D3540"/>
      <c r="E3540"/>
      <c r="F3540"/>
      <c r="G3540"/>
      <c r="H3540"/>
      <c r="I3540"/>
      <c r="J3540"/>
      <c r="K3540" s="13" t="s">
        <v>271</v>
      </c>
      <c r="L3540" s="13" t="s">
        <v>623</v>
      </c>
      <c r="M3540" s="13" t="s">
        <v>530</v>
      </c>
      <c r="N3540" s="15">
        <v>0</v>
      </c>
      <c r="O3540" s="16">
        <v>215.62172671436059</v>
      </c>
      <c r="P3540" s="17">
        <v>0</v>
      </c>
      <c r="Q3540" s="17">
        <v>0</v>
      </c>
      <c r="R3540" s="13"/>
      <c r="S3540" s="13"/>
      <c r="T3540" s="13"/>
      <c r="U3540" s="13"/>
      <c r="V3540" s="13"/>
      <c r="W3540" s="13"/>
    </row>
    <row r="3541" spans="1:23" x14ac:dyDescent="0.2">
      <c r="A3541"/>
      <c r="B3541"/>
      <c r="C3541"/>
      <c r="D3541"/>
      <c r="E3541"/>
      <c r="F3541"/>
      <c r="G3541"/>
      <c r="H3541"/>
      <c r="I3541"/>
      <c r="J3541"/>
      <c r="K3541" s="13" t="s">
        <v>271</v>
      </c>
      <c r="L3541" s="13" t="s">
        <v>624</v>
      </c>
      <c r="M3541" s="13" t="s">
        <v>531</v>
      </c>
      <c r="N3541" s="15">
        <v>2</v>
      </c>
      <c r="O3541" s="16">
        <v>0</v>
      </c>
      <c r="P3541" s="17">
        <v>0</v>
      </c>
      <c r="Q3541" s="17">
        <v>0</v>
      </c>
      <c r="R3541" s="13"/>
      <c r="S3541" s="13"/>
      <c r="T3541" s="13"/>
      <c r="U3541" s="13"/>
      <c r="V3541" s="13"/>
      <c r="W3541" s="13"/>
    </row>
    <row r="3542" spans="1:23" x14ac:dyDescent="0.2">
      <c r="A3542"/>
      <c r="B3542"/>
      <c r="C3542"/>
      <c r="D3542"/>
      <c r="E3542"/>
      <c r="F3542"/>
      <c r="G3542"/>
      <c r="H3542"/>
      <c r="I3542"/>
      <c r="J3542"/>
      <c r="K3542" s="13" t="s">
        <v>271</v>
      </c>
      <c r="L3542" s="13" t="s">
        <v>607</v>
      </c>
      <c r="M3542" s="13" t="s">
        <v>431</v>
      </c>
      <c r="N3542" s="15">
        <v>3</v>
      </c>
      <c r="O3542" s="16">
        <v>0</v>
      </c>
      <c r="P3542" s="17">
        <v>0</v>
      </c>
      <c r="Q3542" s="17">
        <v>0</v>
      </c>
      <c r="R3542" s="13"/>
      <c r="S3542" s="13"/>
      <c r="T3542" s="13"/>
      <c r="U3542" s="13"/>
      <c r="V3542" s="13"/>
      <c r="W3542" s="13"/>
    </row>
    <row r="3543" spans="1:23" x14ac:dyDescent="0.2">
      <c r="A3543"/>
      <c r="B3543"/>
      <c r="C3543"/>
      <c r="D3543"/>
      <c r="E3543"/>
      <c r="F3543"/>
      <c r="G3543"/>
      <c r="H3543"/>
      <c r="I3543"/>
      <c r="J3543"/>
      <c r="K3543" s="13" t="s">
        <v>271</v>
      </c>
      <c r="L3543" s="13" t="s">
        <v>608</v>
      </c>
      <c r="M3543" s="13" t="s">
        <v>432</v>
      </c>
      <c r="N3543" s="15">
        <v>15</v>
      </c>
      <c r="O3543" s="16">
        <v>0</v>
      </c>
      <c r="P3543" s="17">
        <v>0</v>
      </c>
      <c r="Q3543" s="17">
        <v>0</v>
      </c>
      <c r="R3543" s="13"/>
      <c r="S3543" s="13"/>
      <c r="T3543" s="13"/>
      <c r="U3543" s="13"/>
      <c r="V3543" s="13"/>
      <c r="W3543" s="13"/>
    </row>
    <row r="3544" spans="1:23" x14ac:dyDescent="0.2">
      <c r="A3544"/>
      <c r="B3544"/>
      <c r="C3544"/>
      <c r="D3544"/>
      <c r="E3544"/>
      <c r="F3544"/>
      <c r="G3544"/>
      <c r="H3544"/>
      <c r="I3544"/>
      <c r="J3544"/>
      <c r="K3544" s="13" t="s">
        <v>271</v>
      </c>
      <c r="L3544" s="13" t="s">
        <v>615</v>
      </c>
      <c r="M3544" s="13" t="s">
        <v>449</v>
      </c>
      <c r="N3544" s="15">
        <v>1</v>
      </c>
      <c r="O3544" s="16">
        <v>0</v>
      </c>
      <c r="P3544" s="17">
        <v>0</v>
      </c>
      <c r="Q3544" s="17">
        <v>0</v>
      </c>
      <c r="R3544" s="13"/>
      <c r="S3544" s="13"/>
      <c r="T3544" s="13"/>
      <c r="U3544" s="13"/>
      <c r="V3544" s="13"/>
      <c r="W3544" s="13"/>
    </row>
    <row r="3545" spans="1:23" x14ac:dyDescent="0.2">
      <c r="A3545"/>
      <c r="B3545"/>
      <c r="C3545"/>
      <c r="D3545"/>
      <c r="E3545"/>
      <c r="F3545"/>
      <c r="G3545"/>
      <c r="H3545"/>
      <c r="I3545"/>
      <c r="J3545"/>
      <c r="K3545" s="13" t="s">
        <v>271</v>
      </c>
      <c r="L3545" s="13" t="s">
        <v>415</v>
      </c>
      <c r="M3545" s="13" t="s">
        <v>412</v>
      </c>
      <c r="N3545" s="15">
        <v>0</v>
      </c>
      <c r="O3545" s="16">
        <v>0</v>
      </c>
      <c r="P3545" s="17">
        <v>6.0849500004306432</v>
      </c>
      <c r="Q3545" s="17">
        <v>0</v>
      </c>
      <c r="R3545" s="13"/>
      <c r="S3545" s="13"/>
      <c r="T3545" s="13"/>
      <c r="U3545" s="13"/>
      <c r="V3545" s="13"/>
      <c r="W3545" s="13"/>
    </row>
    <row r="3546" spans="1:23" x14ac:dyDescent="0.2">
      <c r="A3546"/>
      <c r="B3546"/>
      <c r="C3546"/>
      <c r="D3546"/>
      <c r="E3546"/>
      <c r="F3546"/>
      <c r="G3546"/>
      <c r="H3546"/>
      <c r="I3546"/>
      <c r="J3546"/>
      <c r="K3546" s="13" t="s">
        <v>271</v>
      </c>
      <c r="L3546" s="13" t="s">
        <v>383</v>
      </c>
      <c r="M3546" s="13" t="s">
        <v>420</v>
      </c>
      <c r="N3546" s="15">
        <v>16</v>
      </c>
      <c r="O3546" s="16">
        <v>0</v>
      </c>
      <c r="P3546" s="17">
        <v>0</v>
      </c>
      <c r="Q3546" s="17">
        <v>0</v>
      </c>
      <c r="R3546" s="13"/>
      <c r="S3546" s="13"/>
      <c r="T3546" s="13"/>
      <c r="U3546" s="13"/>
      <c r="V3546" s="13"/>
      <c r="W3546" s="13"/>
    </row>
    <row r="3547" spans="1:23" x14ac:dyDescent="0.2">
      <c r="A3547"/>
      <c r="B3547"/>
      <c r="C3547"/>
      <c r="D3547"/>
      <c r="E3547"/>
      <c r="F3547"/>
      <c r="G3547"/>
      <c r="H3547"/>
      <c r="I3547"/>
      <c r="J3547"/>
      <c r="K3547" s="13" t="s">
        <v>271</v>
      </c>
      <c r="L3547" s="13" t="s">
        <v>528</v>
      </c>
      <c r="M3547" s="13" t="s">
        <v>384</v>
      </c>
      <c r="N3547" s="15">
        <v>0</v>
      </c>
      <c r="O3547" s="16">
        <v>186.03774350676022</v>
      </c>
      <c r="P3547" s="17">
        <v>0</v>
      </c>
      <c r="Q3547" s="17">
        <v>0</v>
      </c>
      <c r="R3547" s="13"/>
      <c r="S3547" s="13"/>
      <c r="T3547" s="13"/>
      <c r="U3547" s="13"/>
      <c r="V3547" s="13"/>
      <c r="W3547" s="13"/>
    </row>
    <row r="3548" spans="1:23" x14ac:dyDescent="0.2">
      <c r="A3548"/>
      <c r="B3548"/>
      <c r="C3548"/>
      <c r="D3548"/>
      <c r="E3548"/>
      <c r="F3548"/>
      <c r="G3548"/>
      <c r="H3548"/>
      <c r="I3548"/>
      <c r="J3548"/>
      <c r="K3548" s="13" t="s">
        <v>271</v>
      </c>
      <c r="L3548" s="13" t="s">
        <v>613</v>
      </c>
      <c r="M3548" s="13" t="s">
        <v>444</v>
      </c>
      <c r="N3548" s="15">
        <v>0</v>
      </c>
      <c r="O3548" s="16">
        <v>41.821617715496565</v>
      </c>
      <c r="P3548" s="17">
        <v>0</v>
      </c>
      <c r="Q3548" s="17">
        <v>0</v>
      </c>
      <c r="R3548" s="13"/>
      <c r="S3548" s="13"/>
      <c r="T3548" s="13"/>
      <c r="U3548" s="13"/>
      <c r="V3548" s="13"/>
      <c r="W3548" s="13"/>
    </row>
    <row r="3549" spans="1:23" x14ac:dyDescent="0.2">
      <c r="A3549"/>
      <c r="B3549"/>
      <c r="C3549"/>
      <c r="D3549"/>
      <c r="E3549"/>
      <c r="F3549"/>
      <c r="G3549"/>
      <c r="H3549"/>
      <c r="I3549"/>
      <c r="J3549"/>
      <c r="K3549" s="13" t="s">
        <v>271</v>
      </c>
      <c r="L3549" s="13" t="s">
        <v>611</v>
      </c>
      <c r="M3549" s="13" t="s">
        <v>423</v>
      </c>
      <c r="N3549" s="15">
        <v>0</v>
      </c>
      <c r="O3549" s="16">
        <v>1.5882380177200528</v>
      </c>
      <c r="P3549" s="17">
        <v>0</v>
      </c>
      <c r="Q3549" s="17">
        <v>0</v>
      </c>
      <c r="R3549" s="13"/>
      <c r="S3549" s="13"/>
      <c r="T3549" s="13"/>
      <c r="U3549" s="13"/>
      <c r="V3549" s="13"/>
      <c r="W3549" s="13"/>
    </row>
    <row r="3550" spans="1:23" x14ac:dyDescent="0.2">
      <c r="A3550"/>
      <c r="B3550"/>
      <c r="C3550"/>
      <c r="D3550"/>
      <c r="E3550"/>
      <c r="F3550"/>
      <c r="G3550"/>
      <c r="H3550"/>
      <c r="I3550"/>
      <c r="J3550"/>
      <c r="K3550" s="13" t="s">
        <v>271</v>
      </c>
      <c r="L3550" s="13" t="s">
        <v>446</v>
      </c>
      <c r="M3550" s="13" t="s">
        <v>371</v>
      </c>
      <c r="N3550" s="15">
        <v>12</v>
      </c>
      <c r="O3550" s="16">
        <v>0</v>
      </c>
      <c r="P3550" s="17">
        <v>0</v>
      </c>
      <c r="Q3550" s="17">
        <v>0</v>
      </c>
      <c r="R3550" s="13"/>
      <c r="S3550" s="13"/>
      <c r="T3550" s="13"/>
      <c r="U3550" s="13"/>
      <c r="V3550" s="13"/>
      <c r="W3550" s="13"/>
    </row>
    <row r="3551" spans="1:23" x14ac:dyDescent="0.2">
      <c r="A3551"/>
      <c r="B3551"/>
      <c r="C3551"/>
      <c r="D3551"/>
      <c r="E3551"/>
      <c r="F3551"/>
      <c r="G3551"/>
      <c r="H3551"/>
      <c r="I3551"/>
      <c r="J3551"/>
      <c r="K3551" s="13" t="s">
        <v>271</v>
      </c>
      <c r="L3551" s="13" t="s">
        <v>424</v>
      </c>
      <c r="M3551" s="13" t="s">
        <v>468</v>
      </c>
      <c r="N3551" s="15">
        <v>0</v>
      </c>
      <c r="O3551" s="16">
        <v>0</v>
      </c>
      <c r="P3551" s="17">
        <v>22.599599998696565</v>
      </c>
      <c r="Q3551" s="17">
        <v>0</v>
      </c>
      <c r="R3551" s="13"/>
      <c r="S3551" s="13"/>
      <c r="T3551" s="13"/>
      <c r="U3551" s="13"/>
      <c r="V3551" s="13"/>
      <c r="W3551" s="13"/>
    </row>
    <row r="3552" spans="1:23" x14ac:dyDescent="0.2">
      <c r="A3552"/>
      <c r="B3552"/>
      <c r="C3552"/>
      <c r="D3552"/>
      <c r="E3552"/>
      <c r="F3552"/>
      <c r="G3552"/>
      <c r="H3552"/>
      <c r="I3552"/>
      <c r="J3552"/>
      <c r="K3552" s="13" t="s">
        <v>271</v>
      </c>
      <c r="L3552" s="13" t="s">
        <v>484</v>
      </c>
      <c r="M3552" s="13" t="s">
        <v>529</v>
      </c>
      <c r="N3552" s="15">
        <v>0</v>
      </c>
      <c r="O3552" s="16">
        <v>27.147408773864051</v>
      </c>
      <c r="P3552" s="17">
        <v>0</v>
      </c>
      <c r="Q3552" s="17">
        <v>0</v>
      </c>
      <c r="R3552" s="13"/>
      <c r="S3552" s="13"/>
      <c r="T3552" s="13"/>
      <c r="U3552" s="13"/>
      <c r="V3552" s="13"/>
      <c r="W3552" s="13"/>
    </row>
    <row r="3553" spans="1:23" x14ac:dyDescent="0.2">
      <c r="A3553"/>
      <c r="B3553"/>
      <c r="C3553"/>
      <c r="D3553"/>
      <c r="E3553"/>
      <c r="F3553"/>
      <c r="G3553"/>
      <c r="H3553"/>
      <c r="I3553"/>
      <c r="J3553"/>
      <c r="K3553" s="13" t="s">
        <v>273</v>
      </c>
      <c r="L3553" s="13" t="s">
        <v>435</v>
      </c>
      <c r="M3553" s="13" t="s">
        <v>364</v>
      </c>
      <c r="N3553" s="15">
        <v>0</v>
      </c>
      <c r="O3553" s="16">
        <v>0</v>
      </c>
      <c r="P3553" s="17">
        <v>34143.839849323529</v>
      </c>
      <c r="Q3553" s="17">
        <v>0</v>
      </c>
      <c r="R3553" s="13"/>
      <c r="S3553" s="13"/>
      <c r="T3553" s="13"/>
      <c r="U3553" s="13"/>
      <c r="V3553" s="13"/>
      <c r="W3553" s="13"/>
    </row>
    <row r="3554" spans="1:23" x14ac:dyDescent="0.2">
      <c r="A3554"/>
      <c r="B3554"/>
      <c r="C3554"/>
      <c r="D3554"/>
      <c r="E3554"/>
      <c r="F3554"/>
      <c r="G3554"/>
      <c r="H3554"/>
      <c r="I3554"/>
      <c r="J3554"/>
      <c r="K3554" s="13" t="s">
        <v>273</v>
      </c>
      <c r="L3554" s="13" t="s">
        <v>635</v>
      </c>
      <c r="M3554" s="13" t="s">
        <v>507</v>
      </c>
      <c r="N3554" s="15">
        <v>0</v>
      </c>
      <c r="O3554" s="16">
        <v>0</v>
      </c>
      <c r="P3554" s="17">
        <v>24.101850004167623</v>
      </c>
      <c r="Q3554" s="17">
        <v>0</v>
      </c>
      <c r="R3554" s="13"/>
      <c r="S3554" s="13"/>
      <c r="T3554" s="13"/>
      <c r="U3554" s="13"/>
      <c r="V3554" s="13"/>
      <c r="W3554" s="13"/>
    </row>
    <row r="3555" spans="1:23" x14ac:dyDescent="0.2">
      <c r="A3555"/>
      <c r="B3555"/>
      <c r="C3555"/>
      <c r="D3555"/>
      <c r="E3555"/>
      <c r="F3555"/>
      <c r="G3555"/>
      <c r="H3555"/>
      <c r="I3555"/>
      <c r="J3555"/>
      <c r="K3555" s="13" t="s">
        <v>273</v>
      </c>
      <c r="L3555" s="13" t="s">
        <v>387</v>
      </c>
      <c r="M3555" s="13" t="s">
        <v>386</v>
      </c>
      <c r="N3555" s="15">
        <v>0</v>
      </c>
      <c r="O3555" s="16">
        <v>0</v>
      </c>
      <c r="P3555" s="17">
        <v>229.76617455642329</v>
      </c>
      <c r="Q3555" s="17">
        <v>0</v>
      </c>
      <c r="R3555" s="13"/>
      <c r="S3555" s="13"/>
      <c r="T3555" s="13"/>
      <c r="U3555" s="13"/>
      <c r="V3555" s="13"/>
      <c r="W3555" s="13"/>
    </row>
    <row r="3556" spans="1:23" x14ac:dyDescent="0.2">
      <c r="A3556"/>
      <c r="B3556"/>
      <c r="C3556"/>
      <c r="D3556"/>
      <c r="E3556"/>
      <c r="F3556"/>
      <c r="G3556"/>
      <c r="H3556"/>
      <c r="I3556"/>
      <c r="J3556"/>
      <c r="K3556" s="13" t="s">
        <v>273</v>
      </c>
      <c r="L3556" s="13" t="s">
        <v>389</v>
      </c>
      <c r="M3556" s="13" t="s">
        <v>388</v>
      </c>
      <c r="N3556" s="15">
        <v>0</v>
      </c>
      <c r="O3556" s="16">
        <v>0</v>
      </c>
      <c r="P3556" s="17">
        <v>283.66024997593979</v>
      </c>
      <c r="Q3556" s="17">
        <v>0</v>
      </c>
      <c r="R3556" s="13"/>
      <c r="S3556" s="13"/>
      <c r="T3556" s="13"/>
      <c r="U3556" s="13"/>
      <c r="V3556" s="13"/>
      <c r="W3556" s="13"/>
    </row>
    <row r="3557" spans="1:23" x14ac:dyDescent="0.2">
      <c r="A3557"/>
      <c r="B3557"/>
      <c r="C3557"/>
      <c r="D3557"/>
      <c r="E3557"/>
      <c r="F3557"/>
      <c r="G3557"/>
      <c r="H3557"/>
      <c r="I3557"/>
      <c r="J3557"/>
      <c r="K3557" s="13" t="s">
        <v>273</v>
      </c>
      <c r="L3557" s="13" t="s">
        <v>542</v>
      </c>
      <c r="M3557" s="13" t="s">
        <v>390</v>
      </c>
      <c r="N3557" s="15">
        <v>0</v>
      </c>
      <c r="O3557" s="16">
        <v>0</v>
      </c>
      <c r="P3557" s="17">
        <v>11.086200000409107</v>
      </c>
      <c r="Q3557" s="17">
        <v>0</v>
      </c>
      <c r="R3557" s="13"/>
      <c r="S3557" s="13"/>
      <c r="T3557" s="13"/>
      <c r="U3557" s="13"/>
      <c r="V3557" s="13"/>
      <c r="W3557" s="13"/>
    </row>
    <row r="3558" spans="1:23" x14ac:dyDescent="0.2">
      <c r="A3558"/>
      <c r="B3558"/>
      <c r="C3558"/>
      <c r="D3558"/>
      <c r="E3558"/>
      <c r="F3558"/>
      <c r="G3558"/>
      <c r="H3558"/>
      <c r="I3558"/>
      <c r="J3558"/>
      <c r="K3558" s="13" t="s">
        <v>273</v>
      </c>
      <c r="L3558" s="13" t="s">
        <v>391</v>
      </c>
      <c r="M3558" s="13" t="s">
        <v>358</v>
      </c>
      <c r="N3558" s="15">
        <v>0</v>
      </c>
      <c r="O3558" s="16">
        <v>0</v>
      </c>
      <c r="P3558" s="17">
        <v>596.92278301084821</v>
      </c>
      <c r="Q3558" s="17">
        <v>0</v>
      </c>
      <c r="R3558" s="13"/>
      <c r="S3558" s="13"/>
      <c r="T3558" s="13"/>
      <c r="U3558" s="13"/>
      <c r="V3558" s="13"/>
      <c r="W3558" s="13"/>
    </row>
    <row r="3559" spans="1:23" x14ac:dyDescent="0.2">
      <c r="A3559"/>
      <c r="B3559"/>
      <c r="C3559"/>
      <c r="D3559"/>
      <c r="E3559"/>
      <c r="F3559"/>
      <c r="G3559"/>
      <c r="H3559"/>
      <c r="I3559"/>
      <c r="J3559"/>
      <c r="K3559" s="13" t="s">
        <v>273</v>
      </c>
      <c r="L3559" s="13" t="s">
        <v>450</v>
      </c>
      <c r="M3559" s="13" t="s">
        <v>368</v>
      </c>
      <c r="N3559" s="15">
        <v>0</v>
      </c>
      <c r="O3559" s="16">
        <v>0</v>
      </c>
      <c r="P3559" s="17">
        <v>142.64849999916717</v>
      </c>
      <c r="Q3559" s="17">
        <v>0</v>
      </c>
      <c r="R3559" s="13"/>
      <c r="S3559" s="13"/>
      <c r="T3559" s="13"/>
      <c r="U3559" s="13"/>
      <c r="V3559" s="13"/>
      <c r="W3559" s="13"/>
    </row>
    <row r="3560" spans="1:23" x14ac:dyDescent="0.2">
      <c r="A3560"/>
      <c r="B3560"/>
      <c r="C3560"/>
      <c r="D3560"/>
      <c r="E3560"/>
      <c r="F3560"/>
      <c r="G3560"/>
      <c r="H3560"/>
      <c r="I3560"/>
      <c r="J3560"/>
      <c r="K3560" s="13" t="s">
        <v>273</v>
      </c>
      <c r="L3560" s="13" t="s">
        <v>436</v>
      </c>
      <c r="M3560" s="13" t="s">
        <v>487</v>
      </c>
      <c r="N3560" s="15">
        <v>0</v>
      </c>
      <c r="O3560" s="16">
        <v>0</v>
      </c>
      <c r="P3560" s="17">
        <v>97.662900006323781</v>
      </c>
      <c r="Q3560" s="17">
        <v>0</v>
      </c>
      <c r="R3560" s="13"/>
      <c r="S3560" s="13"/>
      <c r="T3560" s="13"/>
      <c r="U3560" s="13"/>
      <c r="V3560" s="13"/>
      <c r="W3560" s="13"/>
    </row>
    <row r="3561" spans="1:23" x14ac:dyDescent="0.2">
      <c r="A3561"/>
      <c r="B3561"/>
      <c r="C3561"/>
      <c r="D3561"/>
      <c r="E3561"/>
      <c r="F3561"/>
      <c r="G3561"/>
      <c r="H3561"/>
      <c r="I3561"/>
      <c r="J3561"/>
      <c r="K3561" s="13" t="s">
        <v>273</v>
      </c>
      <c r="L3561" s="13" t="s">
        <v>486</v>
      </c>
      <c r="M3561" s="13" t="s">
        <v>439</v>
      </c>
      <c r="N3561" s="15">
        <v>0</v>
      </c>
      <c r="O3561" s="16">
        <v>0</v>
      </c>
      <c r="P3561" s="17">
        <v>10.53194999771025</v>
      </c>
      <c r="Q3561" s="17">
        <v>0</v>
      </c>
      <c r="R3561" s="13"/>
      <c r="S3561" s="13"/>
      <c r="T3561" s="13"/>
      <c r="U3561" s="13"/>
      <c r="V3561" s="13"/>
      <c r="W3561" s="13"/>
    </row>
    <row r="3562" spans="1:23" x14ac:dyDescent="0.2">
      <c r="A3562"/>
      <c r="B3562"/>
      <c r="C3562"/>
      <c r="D3562"/>
      <c r="E3562"/>
      <c r="F3562"/>
      <c r="G3562"/>
      <c r="H3562"/>
      <c r="I3562"/>
      <c r="J3562"/>
      <c r="K3562" s="13" t="s">
        <v>273</v>
      </c>
      <c r="L3562" s="13" t="s">
        <v>512</v>
      </c>
      <c r="M3562" s="13" t="s">
        <v>466</v>
      </c>
      <c r="N3562" s="15">
        <v>0</v>
      </c>
      <c r="O3562" s="16">
        <v>0</v>
      </c>
      <c r="P3562" s="17">
        <v>30.206400000585848</v>
      </c>
      <c r="Q3562" s="17">
        <v>0</v>
      </c>
      <c r="R3562" s="13"/>
      <c r="S3562" s="13"/>
      <c r="T3562" s="13"/>
      <c r="U3562" s="13"/>
      <c r="V3562" s="13"/>
      <c r="W3562" s="13"/>
    </row>
    <row r="3563" spans="1:23" x14ac:dyDescent="0.2">
      <c r="A3563"/>
      <c r="B3563"/>
      <c r="C3563"/>
      <c r="D3563"/>
      <c r="E3563"/>
      <c r="F3563"/>
      <c r="G3563"/>
      <c r="H3563"/>
      <c r="I3563"/>
      <c r="J3563"/>
      <c r="K3563" s="13" t="s">
        <v>273</v>
      </c>
      <c r="L3563" s="13" t="s">
        <v>532</v>
      </c>
      <c r="M3563" s="13" t="s">
        <v>620</v>
      </c>
      <c r="N3563" s="15">
        <v>0</v>
      </c>
      <c r="O3563" s="16">
        <v>0</v>
      </c>
      <c r="P3563" s="17">
        <v>115.4348999959247</v>
      </c>
      <c r="Q3563" s="17">
        <v>0</v>
      </c>
      <c r="R3563" s="13"/>
      <c r="S3563" s="13"/>
      <c r="T3563" s="13"/>
      <c r="U3563" s="13"/>
      <c r="V3563" s="13"/>
      <c r="W3563" s="13"/>
    </row>
    <row r="3564" spans="1:23" x14ac:dyDescent="0.2">
      <c r="A3564"/>
      <c r="B3564"/>
      <c r="C3564"/>
      <c r="D3564"/>
      <c r="E3564"/>
      <c r="F3564"/>
      <c r="G3564"/>
      <c r="H3564"/>
      <c r="I3564"/>
      <c r="J3564"/>
      <c r="K3564" s="13" t="s">
        <v>273</v>
      </c>
      <c r="L3564" s="13" t="s">
        <v>513</v>
      </c>
      <c r="M3564" s="13" t="s">
        <v>533</v>
      </c>
      <c r="N3564" s="15">
        <v>0</v>
      </c>
      <c r="O3564" s="16">
        <v>0</v>
      </c>
      <c r="P3564" s="17">
        <v>7.4693000023526137</v>
      </c>
      <c r="Q3564" s="17">
        <v>0</v>
      </c>
      <c r="R3564" s="13"/>
      <c r="S3564" s="13"/>
      <c r="T3564" s="13"/>
      <c r="U3564" s="13"/>
      <c r="V3564" s="13"/>
      <c r="W3564" s="13"/>
    </row>
    <row r="3565" spans="1:23" x14ac:dyDescent="0.2">
      <c r="A3565"/>
      <c r="B3565"/>
      <c r="C3565"/>
      <c r="D3565"/>
      <c r="E3565"/>
      <c r="F3565"/>
      <c r="G3565"/>
      <c r="H3565"/>
      <c r="I3565"/>
      <c r="J3565"/>
      <c r="K3565" s="13" t="s">
        <v>273</v>
      </c>
      <c r="L3565" s="13" t="s">
        <v>394</v>
      </c>
      <c r="M3565" s="13" t="s">
        <v>359</v>
      </c>
      <c r="N3565" s="15">
        <v>0</v>
      </c>
      <c r="O3565" s="16">
        <v>0</v>
      </c>
      <c r="P3565" s="17">
        <v>14.081100003073086</v>
      </c>
      <c r="Q3565" s="17">
        <v>0</v>
      </c>
      <c r="R3565" s="13"/>
      <c r="S3565" s="13"/>
      <c r="T3565" s="13"/>
      <c r="U3565" s="13"/>
      <c r="V3565" s="13"/>
      <c r="W3565" s="13"/>
    </row>
    <row r="3566" spans="1:23" x14ac:dyDescent="0.2">
      <c r="A3566"/>
      <c r="B3566"/>
      <c r="C3566"/>
      <c r="D3566"/>
      <c r="E3566"/>
      <c r="F3566"/>
      <c r="G3566"/>
      <c r="H3566"/>
      <c r="I3566"/>
      <c r="J3566"/>
      <c r="K3566" s="13" t="s">
        <v>273</v>
      </c>
      <c r="L3566" s="13" t="s">
        <v>395</v>
      </c>
      <c r="M3566" s="13" t="s">
        <v>602</v>
      </c>
      <c r="N3566" s="15">
        <v>4</v>
      </c>
      <c r="O3566" s="16">
        <v>0</v>
      </c>
      <c r="P3566" s="17">
        <v>0</v>
      </c>
      <c r="Q3566" s="17">
        <v>0</v>
      </c>
      <c r="R3566" s="13"/>
      <c r="S3566" s="13"/>
      <c r="T3566" s="13"/>
      <c r="U3566" s="13"/>
      <c r="V3566" s="13"/>
      <c r="W3566" s="13"/>
    </row>
    <row r="3567" spans="1:23" x14ac:dyDescent="0.2">
      <c r="A3567"/>
      <c r="B3567"/>
      <c r="C3567"/>
      <c r="D3567"/>
      <c r="E3567"/>
      <c r="F3567"/>
      <c r="G3567"/>
      <c r="H3567"/>
      <c r="I3567"/>
      <c r="J3567"/>
      <c r="K3567" s="13" t="s">
        <v>273</v>
      </c>
      <c r="L3567" s="13" t="s">
        <v>396</v>
      </c>
      <c r="M3567" s="13" t="s">
        <v>604</v>
      </c>
      <c r="N3567" s="15">
        <v>0</v>
      </c>
      <c r="O3567" s="16">
        <v>38.871198104513901</v>
      </c>
      <c r="P3567" s="17">
        <v>0</v>
      </c>
      <c r="Q3567" s="17">
        <v>73.326124985351044</v>
      </c>
      <c r="R3567" s="13"/>
      <c r="S3567" s="13"/>
      <c r="T3567" s="13"/>
      <c r="U3567" s="13"/>
      <c r="V3567" s="13"/>
      <c r="W3567" s="13"/>
    </row>
    <row r="3568" spans="1:23" x14ac:dyDescent="0.2">
      <c r="A3568"/>
      <c r="B3568"/>
      <c r="C3568"/>
      <c r="D3568"/>
      <c r="E3568"/>
      <c r="F3568"/>
      <c r="G3568"/>
      <c r="H3568"/>
      <c r="I3568"/>
      <c r="J3568"/>
      <c r="K3568" s="13" t="s">
        <v>273</v>
      </c>
      <c r="L3568" s="13" t="s">
        <v>399</v>
      </c>
      <c r="M3568" s="13" t="s">
        <v>400</v>
      </c>
      <c r="N3568" s="15">
        <v>0</v>
      </c>
      <c r="O3568" s="16">
        <v>0</v>
      </c>
      <c r="P3568" s="17">
        <v>27.737200001995383</v>
      </c>
      <c r="Q3568" s="17">
        <v>0</v>
      </c>
      <c r="R3568" s="13"/>
      <c r="S3568" s="13"/>
      <c r="T3568" s="13"/>
      <c r="U3568" s="13"/>
      <c r="V3568" s="13"/>
      <c r="W3568" s="13"/>
    </row>
    <row r="3569" spans="1:23" x14ac:dyDescent="0.2">
      <c r="A3569"/>
      <c r="B3569"/>
      <c r="C3569"/>
      <c r="D3569"/>
      <c r="E3569"/>
      <c r="F3569"/>
      <c r="G3569"/>
      <c r="H3569"/>
      <c r="I3569"/>
      <c r="J3569"/>
      <c r="K3569" s="13" t="s">
        <v>273</v>
      </c>
      <c r="L3569" s="13" t="s">
        <v>401</v>
      </c>
      <c r="M3569" s="13" t="s">
        <v>360</v>
      </c>
      <c r="N3569" s="15">
        <v>0</v>
      </c>
      <c r="O3569" s="16">
        <v>0</v>
      </c>
      <c r="P3569" s="17">
        <v>2108.8448499472925</v>
      </c>
      <c r="Q3569" s="17">
        <v>0</v>
      </c>
      <c r="R3569" s="13"/>
      <c r="S3569" s="13"/>
      <c r="T3569" s="13"/>
      <c r="U3569" s="13"/>
      <c r="V3569" s="13"/>
      <c r="W3569" s="13"/>
    </row>
    <row r="3570" spans="1:23" x14ac:dyDescent="0.2">
      <c r="A3570"/>
      <c r="B3570"/>
      <c r="C3570"/>
      <c r="D3570"/>
      <c r="E3570"/>
      <c r="F3570"/>
      <c r="G3570"/>
      <c r="H3570"/>
      <c r="I3570"/>
      <c r="J3570"/>
      <c r="K3570" s="13" t="s">
        <v>273</v>
      </c>
      <c r="L3570" s="13" t="s">
        <v>511</v>
      </c>
      <c r="M3570" s="13" t="s">
        <v>377</v>
      </c>
      <c r="N3570" s="15">
        <v>0</v>
      </c>
      <c r="O3570" s="16">
        <v>0</v>
      </c>
      <c r="P3570" s="17">
        <v>62.170025422138167</v>
      </c>
      <c r="Q3570" s="17">
        <v>0</v>
      </c>
      <c r="R3570" s="13"/>
      <c r="S3570" s="13"/>
      <c r="T3570" s="13"/>
      <c r="U3570" s="13"/>
      <c r="V3570" s="13"/>
      <c r="W3570" s="13"/>
    </row>
    <row r="3571" spans="1:23" x14ac:dyDescent="0.2">
      <c r="A3571"/>
      <c r="B3571"/>
      <c r="C3571"/>
      <c r="D3571"/>
      <c r="E3571"/>
      <c r="F3571"/>
      <c r="G3571"/>
      <c r="H3571"/>
      <c r="I3571"/>
      <c r="J3571"/>
      <c r="K3571" s="13" t="s">
        <v>273</v>
      </c>
      <c r="L3571" s="13" t="s">
        <v>402</v>
      </c>
      <c r="M3571" s="13" t="s">
        <v>403</v>
      </c>
      <c r="N3571" s="15">
        <v>0</v>
      </c>
      <c r="O3571" s="16">
        <v>0</v>
      </c>
      <c r="P3571" s="17">
        <v>7714.8135499231475</v>
      </c>
      <c r="Q3571" s="17">
        <v>0</v>
      </c>
      <c r="R3571" s="13"/>
      <c r="S3571" s="13"/>
      <c r="T3571" s="13"/>
      <c r="U3571" s="13"/>
      <c r="V3571" s="13"/>
      <c r="W3571" s="13"/>
    </row>
    <row r="3572" spans="1:23" x14ac:dyDescent="0.2">
      <c r="A3572"/>
      <c r="B3572"/>
      <c r="C3572"/>
      <c r="D3572"/>
      <c r="E3572"/>
      <c r="F3572"/>
      <c r="G3572"/>
      <c r="H3572"/>
      <c r="I3572"/>
      <c r="J3572"/>
      <c r="K3572" s="13" t="s">
        <v>273</v>
      </c>
      <c r="L3572" s="13" t="s">
        <v>448</v>
      </c>
      <c r="M3572" s="13" t="s">
        <v>366</v>
      </c>
      <c r="N3572" s="15">
        <v>0</v>
      </c>
      <c r="O3572" s="16">
        <v>0</v>
      </c>
      <c r="P3572" s="17">
        <v>7472.9985999370947</v>
      </c>
      <c r="Q3572" s="17">
        <v>0</v>
      </c>
      <c r="R3572" s="13"/>
      <c r="S3572" s="13"/>
      <c r="T3572" s="13"/>
      <c r="U3572" s="13"/>
      <c r="V3572" s="13"/>
      <c r="W3572" s="13"/>
    </row>
    <row r="3573" spans="1:23" x14ac:dyDescent="0.2">
      <c r="A3573"/>
      <c r="B3573"/>
      <c r="C3573"/>
      <c r="D3573"/>
      <c r="E3573"/>
      <c r="F3573"/>
      <c r="G3573"/>
      <c r="H3573"/>
      <c r="I3573"/>
      <c r="J3573"/>
      <c r="K3573" s="13" t="s">
        <v>273</v>
      </c>
      <c r="L3573" s="13" t="s">
        <v>406</v>
      </c>
      <c r="M3573" s="13" t="s">
        <v>361</v>
      </c>
      <c r="N3573" s="15">
        <v>0</v>
      </c>
      <c r="O3573" s="16">
        <v>0</v>
      </c>
      <c r="P3573" s="17">
        <v>99.502930368537093</v>
      </c>
      <c r="Q3573" s="17">
        <v>278.48363816059373</v>
      </c>
      <c r="R3573" s="13"/>
      <c r="S3573" s="13"/>
      <c r="T3573" s="13"/>
      <c r="U3573" s="13"/>
      <c r="V3573" s="13"/>
      <c r="W3573" s="13"/>
    </row>
    <row r="3574" spans="1:23" x14ac:dyDescent="0.2">
      <c r="A3574"/>
      <c r="B3574"/>
      <c r="C3574"/>
      <c r="D3574"/>
      <c r="E3574"/>
      <c r="F3574"/>
      <c r="G3574"/>
      <c r="H3574"/>
      <c r="I3574"/>
      <c r="J3574"/>
      <c r="K3574" s="13" t="s">
        <v>273</v>
      </c>
      <c r="L3574" s="13" t="s">
        <v>381</v>
      </c>
      <c r="M3574" s="13" t="s">
        <v>382</v>
      </c>
      <c r="N3574" s="15">
        <v>41</v>
      </c>
      <c r="O3574" s="16">
        <v>0</v>
      </c>
      <c r="P3574" s="17">
        <v>0</v>
      </c>
      <c r="Q3574" s="17">
        <v>0</v>
      </c>
      <c r="R3574" s="13"/>
      <c r="S3574" s="13"/>
      <c r="T3574" s="13"/>
      <c r="U3574" s="13"/>
      <c r="V3574" s="13"/>
      <c r="W3574" s="13"/>
    </row>
    <row r="3575" spans="1:23" x14ac:dyDescent="0.2">
      <c r="A3575"/>
      <c r="B3575"/>
      <c r="C3575"/>
      <c r="D3575"/>
      <c r="E3575"/>
      <c r="F3575"/>
      <c r="G3575"/>
      <c r="H3575"/>
      <c r="I3575"/>
      <c r="J3575"/>
      <c r="K3575" s="13" t="s">
        <v>273</v>
      </c>
      <c r="L3575" s="13" t="s">
        <v>505</v>
      </c>
      <c r="M3575" s="13" t="s">
        <v>506</v>
      </c>
      <c r="N3575" s="15">
        <v>49</v>
      </c>
      <c r="O3575" s="16">
        <v>0</v>
      </c>
      <c r="P3575" s="17">
        <v>0</v>
      </c>
      <c r="Q3575" s="17">
        <v>0</v>
      </c>
      <c r="R3575" s="13"/>
      <c r="S3575" s="13"/>
      <c r="T3575" s="13"/>
      <c r="U3575" s="13"/>
      <c r="V3575" s="13"/>
      <c r="W3575" s="13"/>
    </row>
    <row r="3576" spans="1:23" x14ac:dyDescent="0.2">
      <c r="A3576"/>
      <c r="B3576"/>
      <c r="C3576"/>
      <c r="D3576"/>
      <c r="E3576"/>
      <c r="F3576"/>
      <c r="G3576"/>
      <c r="H3576"/>
      <c r="I3576"/>
      <c r="J3576"/>
      <c r="K3576" s="13" t="s">
        <v>273</v>
      </c>
      <c r="L3576" s="13" t="s">
        <v>409</v>
      </c>
      <c r="M3576" s="13" t="s">
        <v>410</v>
      </c>
      <c r="N3576" s="15">
        <v>134</v>
      </c>
      <c r="O3576" s="16">
        <v>0</v>
      </c>
      <c r="P3576" s="17">
        <v>0</v>
      </c>
      <c r="Q3576" s="17">
        <v>0</v>
      </c>
      <c r="R3576" s="13"/>
      <c r="S3576" s="13"/>
      <c r="T3576" s="13"/>
      <c r="U3576" s="13"/>
      <c r="V3576" s="13"/>
      <c r="W3576" s="13"/>
    </row>
    <row r="3577" spans="1:23" x14ac:dyDescent="0.2">
      <c r="A3577"/>
      <c r="B3577"/>
      <c r="C3577"/>
      <c r="D3577"/>
      <c r="E3577"/>
      <c r="F3577"/>
      <c r="G3577"/>
      <c r="H3577"/>
      <c r="I3577"/>
      <c r="J3577"/>
      <c r="K3577" s="13" t="s">
        <v>273</v>
      </c>
      <c r="L3577" s="13" t="s">
        <v>411</v>
      </c>
      <c r="M3577" s="13" t="s">
        <v>362</v>
      </c>
      <c r="N3577" s="15">
        <v>0</v>
      </c>
      <c r="O3577" s="16">
        <v>0</v>
      </c>
      <c r="P3577" s="17">
        <v>47.836799998216371</v>
      </c>
      <c r="Q3577" s="17">
        <v>0</v>
      </c>
      <c r="R3577" s="13"/>
      <c r="S3577" s="13"/>
      <c r="T3577" s="13"/>
      <c r="U3577" s="13"/>
      <c r="V3577" s="13"/>
      <c r="W3577" s="13"/>
    </row>
    <row r="3578" spans="1:23" x14ac:dyDescent="0.2">
      <c r="A3578"/>
      <c r="B3578"/>
      <c r="C3578"/>
      <c r="D3578"/>
      <c r="E3578"/>
      <c r="F3578"/>
      <c r="G3578"/>
      <c r="H3578"/>
      <c r="I3578"/>
      <c r="J3578"/>
      <c r="K3578" s="13" t="s">
        <v>273</v>
      </c>
      <c r="L3578" s="13" t="s">
        <v>411</v>
      </c>
      <c r="M3578" s="13" t="s">
        <v>362</v>
      </c>
      <c r="N3578" s="15">
        <v>0</v>
      </c>
      <c r="O3578" s="16">
        <v>175.34152761578775</v>
      </c>
      <c r="P3578" s="17">
        <v>0</v>
      </c>
      <c r="Q3578" s="17">
        <v>0</v>
      </c>
      <c r="R3578" s="13"/>
      <c r="S3578" s="13"/>
      <c r="T3578" s="13"/>
      <c r="U3578" s="13"/>
      <c r="V3578" s="13"/>
      <c r="W3578" s="13"/>
    </row>
    <row r="3579" spans="1:23" x14ac:dyDescent="0.2">
      <c r="A3579"/>
      <c r="B3579"/>
      <c r="C3579"/>
      <c r="D3579"/>
      <c r="E3579"/>
      <c r="F3579"/>
      <c r="G3579"/>
      <c r="H3579"/>
      <c r="I3579"/>
      <c r="J3579"/>
      <c r="K3579" s="13" t="s">
        <v>273</v>
      </c>
      <c r="L3579" s="13" t="s">
        <v>411</v>
      </c>
      <c r="M3579" s="13" t="s">
        <v>362</v>
      </c>
      <c r="N3579" s="15">
        <v>2</v>
      </c>
      <c r="O3579" s="16">
        <v>0</v>
      </c>
      <c r="P3579" s="17">
        <v>0</v>
      </c>
      <c r="Q3579" s="17">
        <v>0</v>
      </c>
      <c r="R3579" s="13"/>
      <c r="S3579" s="13"/>
      <c r="T3579" s="13"/>
      <c r="U3579" s="13"/>
      <c r="V3579" s="13"/>
      <c r="W3579" s="13"/>
    </row>
    <row r="3580" spans="1:23" x14ac:dyDescent="0.2">
      <c r="A3580"/>
      <c r="B3580"/>
      <c r="C3580"/>
      <c r="D3580"/>
      <c r="E3580"/>
      <c r="F3580"/>
      <c r="G3580"/>
      <c r="H3580"/>
      <c r="I3580"/>
      <c r="J3580"/>
      <c r="K3580" s="13" t="s">
        <v>273</v>
      </c>
      <c r="L3580" s="13" t="s">
        <v>413</v>
      </c>
      <c r="M3580" s="13" t="s">
        <v>428</v>
      </c>
      <c r="N3580" s="15">
        <v>2</v>
      </c>
      <c r="O3580" s="16">
        <v>0</v>
      </c>
      <c r="P3580" s="17">
        <v>0</v>
      </c>
      <c r="Q3580" s="17">
        <v>0</v>
      </c>
      <c r="R3580" s="13"/>
      <c r="S3580" s="13"/>
      <c r="T3580" s="13"/>
      <c r="U3580" s="13"/>
      <c r="V3580" s="13"/>
      <c r="W3580" s="13"/>
    </row>
    <row r="3581" spans="1:23" x14ac:dyDescent="0.2">
      <c r="A3581"/>
      <c r="B3581"/>
      <c r="C3581"/>
      <c r="D3581"/>
      <c r="E3581"/>
      <c r="F3581"/>
      <c r="G3581"/>
      <c r="H3581"/>
      <c r="I3581"/>
      <c r="J3581"/>
      <c r="K3581" s="13" t="s">
        <v>273</v>
      </c>
      <c r="L3581" s="13" t="s">
        <v>606</v>
      </c>
      <c r="M3581" s="13" t="s">
        <v>430</v>
      </c>
      <c r="N3581" s="15">
        <v>4</v>
      </c>
      <c r="O3581" s="16">
        <v>0</v>
      </c>
      <c r="P3581" s="17">
        <v>0</v>
      </c>
      <c r="Q3581" s="17">
        <v>0</v>
      </c>
      <c r="R3581" s="13"/>
      <c r="S3581" s="13"/>
      <c r="T3581" s="13"/>
      <c r="U3581" s="13"/>
      <c r="V3581" s="13"/>
      <c r="W3581" s="13"/>
    </row>
    <row r="3582" spans="1:23" x14ac:dyDescent="0.2">
      <c r="A3582"/>
      <c r="B3582"/>
      <c r="C3582"/>
      <c r="D3582"/>
      <c r="E3582"/>
      <c r="F3582"/>
      <c r="G3582"/>
      <c r="H3582"/>
      <c r="I3582"/>
      <c r="J3582"/>
      <c r="K3582" s="13" t="s">
        <v>273</v>
      </c>
      <c r="L3582" s="13" t="s">
        <v>623</v>
      </c>
      <c r="M3582" s="13" t="s">
        <v>530</v>
      </c>
      <c r="N3582" s="15">
        <v>0</v>
      </c>
      <c r="O3582" s="16">
        <v>228.24782732402932</v>
      </c>
      <c r="P3582" s="17">
        <v>0</v>
      </c>
      <c r="Q3582" s="17">
        <v>0</v>
      </c>
      <c r="R3582" s="13"/>
      <c r="S3582" s="13"/>
      <c r="T3582" s="13"/>
      <c r="U3582" s="13"/>
      <c r="V3582" s="13"/>
      <c r="W3582" s="13"/>
    </row>
    <row r="3583" spans="1:23" x14ac:dyDescent="0.2">
      <c r="A3583"/>
      <c r="B3583"/>
      <c r="C3583"/>
      <c r="D3583"/>
      <c r="E3583"/>
      <c r="F3583"/>
      <c r="G3583"/>
      <c r="H3583"/>
      <c r="I3583"/>
      <c r="J3583"/>
      <c r="K3583" s="13" t="s">
        <v>273</v>
      </c>
      <c r="L3583" s="13" t="s">
        <v>607</v>
      </c>
      <c r="M3583" s="13" t="s">
        <v>431</v>
      </c>
      <c r="N3583" s="15">
        <v>2</v>
      </c>
      <c r="O3583" s="16">
        <v>0</v>
      </c>
      <c r="P3583" s="17">
        <v>0</v>
      </c>
      <c r="Q3583" s="17">
        <v>0</v>
      </c>
      <c r="R3583" s="13"/>
      <c r="S3583" s="13"/>
      <c r="T3583" s="13"/>
      <c r="U3583" s="13"/>
      <c r="V3583" s="13"/>
      <c r="W3583" s="13"/>
    </row>
    <row r="3584" spans="1:23" x14ac:dyDescent="0.2">
      <c r="A3584"/>
      <c r="B3584"/>
      <c r="C3584"/>
      <c r="D3584"/>
      <c r="E3584"/>
      <c r="F3584"/>
      <c r="G3584"/>
      <c r="H3584"/>
      <c r="I3584"/>
      <c r="J3584"/>
      <c r="K3584" s="13" t="s">
        <v>273</v>
      </c>
      <c r="L3584" s="13" t="s">
        <v>608</v>
      </c>
      <c r="M3584" s="13" t="s">
        <v>432</v>
      </c>
      <c r="N3584" s="15">
        <v>57</v>
      </c>
      <c r="O3584" s="16">
        <v>0</v>
      </c>
      <c r="P3584" s="17">
        <v>0</v>
      </c>
      <c r="Q3584" s="17">
        <v>0</v>
      </c>
      <c r="R3584" s="13"/>
      <c r="S3584" s="13"/>
      <c r="T3584" s="13"/>
      <c r="U3584" s="13"/>
      <c r="V3584" s="13"/>
      <c r="W3584" s="13"/>
    </row>
    <row r="3585" spans="1:23" x14ac:dyDescent="0.2">
      <c r="A3585"/>
      <c r="B3585"/>
      <c r="C3585"/>
      <c r="D3585"/>
      <c r="E3585"/>
      <c r="F3585"/>
      <c r="G3585"/>
      <c r="H3585"/>
      <c r="I3585"/>
      <c r="J3585"/>
      <c r="K3585" s="13" t="s">
        <v>273</v>
      </c>
      <c r="L3585" s="13" t="s">
        <v>615</v>
      </c>
      <c r="M3585" s="13" t="s">
        <v>449</v>
      </c>
      <c r="N3585" s="15">
        <v>1</v>
      </c>
      <c r="O3585" s="16">
        <v>0</v>
      </c>
      <c r="P3585" s="17">
        <v>0</v>
      </c>
      <c r="Q3585" s="17">
        <v>0</v>
      </c>
      <c r="R3585" s="13"/>
      <c r="S3585" s="13"/>
      <c r="T3585" s="13"/>
      <c r="U3585" s="13"/>
      <c r="V3585" s="13"/>
      <c r="W3585" s="13"/>
    </row>
    <row r="3586" spans="1:23" x14ac:dyDescent="0.2">
      <c r="A3586"/>
      <c r="B3586"/>
      <c r="C3586"/>
      <c r="D3586"/>
      <c r="E3586"/>
      <c r="F3586"/>
      <c r="G3586"/>
      <c r="H3586"/>
      <c r="I3586"/>
      <c r="J3586"/>
      <c r="K3586" s="13" t="s">
        <v>273</v>
      </c>
      <c r="L3586" s="13" t="s">
        <v>523</v>
      </c>
      <c r="M3586" s="13" t="s">
        <v>476</v>
      </c>
      <c r="N3586" s="15">
        <v>0</v>
      </c>
      <c r="O3586" s="16">
        <v>0</v>
      </c>
      <c r="P3586" s="17">
        <v>12.132749995004502</v>
      </c>
      <c r="Q3586" s="17">
        <v>0</v>
      </c>
      <c r="R3586" s="13"/>
      <c r="S3586" s="13"/>
      <c r="T3586" s="13"/>
      <c r="U3586" s="13"/>
      <c r="V3586" s="13"/>
      <c r="W3586" s="13"/>
    </row>
    <row r="3587" spans="1:23" x14ac:dyDescent="0.2">
      <c r="A3587"/>
      <c r="B3587"/>
      <c r="C3587"/>
      <c r="D3587"/>
      <c r="E3587"/>
      <c r="F3587"/>
      <c r="G3587"/>
      <c r="H3587"/>
      <c r="I3587"/>
      <c r="J3587"/>
      <c r="K3587" s="13" t="s">
        <v>273</v>
      </c>
      <c r="L3587" s="13" t="s">
        <v>421</v>
      </c>
      <c r="M3587" s="13" t="s">
        <v>443</v>
      </c>
      <c r="N3587" s="15">
        <v>4</v>
      </c>
      <c r="O3587" s="16">
        <v>0</v>
      </c>
      <c r="P3587" s="17">
        <v>0</v>
      </c>
      <c r="Q3587" s="17">
        <v>0</v>
      </c>
      <c r="R3587" s="13"/>
      <c r="S3587" s="13"/>
      <c r="T3587" s="13"/>
      <c r="U3587" s="13"/>
      <c r="V3587" s="13"/>
      <c r="W3587" s="13"/>
    </row>
    <row r="3588" spans="1:23" x14ac:dyDescent="0.2">
      <c r="A3588"/>
      <c r="B3588"/>
      <c r="C3588"/>
      <c r="D3588"/>
      <c r="E3588"/>
      <c r="F3588"/>
      <c r="G3588"/>
      <c r="H3588"/>
      <c r="I3588"/>
      <c r="J3588"/>
      <c r="K3588" s="13" t="s">
        <v>273</v>
      </c>
      <c r="L3588" s="13" t="s">
        <v>383</v>
      </c>
      <c r="M3588" s="13" t="s">
        <v>420</v>
      </c>
      <c r="N3588" s="15">
        <v>16</v>
      </c>
      <c r="O3588" s="16">
        <v>0</v>
      </c>
      <c r="P3588" s="17">
        <v>0</v>
      </c>
      <c r="Q3588" s="17">
        <v>0</v>
      </c>
      <c r="R3588" s="13"/>
      <c r="S3588" s="13"/>
      <c r="T3588" s="13"/>
      <c r="U3588" s="13"/>
      <c r="V3588" s="13"/>
      <c r="W3588" s="13"/>
    </row>
    <row r="3589" spans="1:23" x14ac:dyDescent="0.2">
      <c r="A3589"/>
      <c r="B3589"/>
      <c r="C3589"/>
      <c r="D3589"/>
      <c r="E3589"/>
      <c r="F3589"/>
      <c r="G3589"/>
      <c r="H3589"/>
      <c r="I3589"/>
      <c r="J3589"/>
      <c r="K3589" s="13" t="s">
        <v>273</v>
      </c>
      <c r="L3589" s="13" t="s">
        <v>467</v>
      </c>
      <c r="M3589" s="13" t="s">
        <v>422</v>
      </c>
      <c r="N3589" s="15">
        <v>0</v>
      </c>
      <c r="O3589" s="16">
        <v>53.408601349979733</v>
      </c>
      <c r="P3589" s="17">
        <v>0</v>
      </c>
      <c r="Q3589" s="17">
        <v>0</v>
      </c>
      <c r="R3589" s="13"/>
      <c r="S3589" s="13"/>
      <c r="T3589" s="13"/>
      <c r="U3589" s="13"/>
      <c r="V3589" s="13"/>
      <c r="W3589" s="13"/>
    </row>
    <row r="3590" spans="1:23" x14ac:dyDescent="0.2">
      <c r="A3590"/>
      <c r="B3590"/>
      <c r="C3590"/>
      <c r="D3590"/>
      <c r="E3590"/>
      <c r="F3590"/>
      <c r="G3590"/>
      <c r="H3590"/>
      <c r="I3590"/>
      <c r="J3590"/>
      <c r="K3590" s="13" t="s">
        <v>273</v>
      </c>
      <c r="L3590" s="13" t="s">
        <v>528</v>
      </c>
      <c r="M3590" s="13" t="s">
        <v>384</v>
      </c>
      <c r="N3590" s="15">
        <v>0</v>
      </c>
      <c r="O3590" s="16">
        <v>1423.005995785694</v>
      </c>
      <c r="P3590" s="17">
        <v>0</v>
      </c>
      <c r="Q3590" s="17">
        <v>0</v>
      </c>
      <c r="R3590" s="13"/>
      <c r="S3590" s="13"/>
      <c r="T3590" s="13"/>
      <c r="U3590" s="13"/>
      <c r="V3590" s="13"/>
      <c r="W3590" s="13"/>
    </row>
    <row r="3591" spans="1:23" x14ac:dyDescent="0.2">
      <c r="A3591"/>
      <c r="B3591"/>
      <c r="C3591"/>
      <c r="D3591"/>
      <c r="E3591"/>
      <c r="F3591"/>
      <c r="G3591"/>
      <c r="H3591"/>
      <c r="I3591"/>
      <c r="J3591"/>
      <c r="K3591" s="13" t="s">
        <v>273</v>
      </c>
      <c r="L3591" s="13" t="s">
        <v>613</v>
      </c>
      <c r="M3591" s="13" t="s">
        <v>444</v>
      </c>
      <c r="N3591" s="15">
        <v>0</v>
      </c>
      <c r="O3591" s="16">
        <v>142.8166593693324</v>
      </c>
      <c r="P3591" s="17">
        <v>0</v>
      </c>
      <c r="Q3591" s="17">
        <v>0</v>
      </c>
      <c r="R3591" s="13"/>
      <c r="S3591" s="13"/>
      <c r="T3591" s="13"/>
      <c r="U3591" s="13"/>
      <c r="V3591" s="13"/>
      <c r="W3591" s="13"/>
    </row>
    <row r="3592" spans="1:23" x14ac:dyDescent="0.2">
      <c r="A3592"/>
      <c r="B3592"/>
      <c r="C3592"/>
      <c r="D3592"/>
      <c r="E3592"/>
      <c r="F3592"/>
      <c r="G3592"/>
      <c r="H3592"/>
      <c r="I3592"/>
      <c r="J3592"/>
      <c r="K3592" s="13" t="s">
        <v>273</v>
      </c>
      <c r="L3592" s="13" t="s">
        <v>611</v>
      </c>
      <c r="M3592" s="13" t="s">
        <v>423</v>
      </c>
      <c r="N3592" s="15">
        <v>0</v>
      </c>
      <c r="O3592" s="16">
        <v>33.331834240835079</v>
      </c>
      <c r="P3592" s="17">
        <v>0</v>
      </c>
      <c r="Q3592" s="17">
        <v>0</v>
      </c>
      <c r="R3592" s="13"/>
      <c r="S3592" s="13"/>
      <c r="T3592" s="13"/>
      <c r="U3592" s="13"/>
      <c r="V3592" s="13"/>
      <c r="W3592" s="13"/>
    </row>
    <row r="3593" spans="1:23" x14ac:dyDescent="0.2">
      <c r="A3593"/>
      <c r="B3593"/>
      <c r="C3593"/>
      <c r="D3593"/>
      <c r="E3593"/>
      <c r="F3593"/>
      <c r="G3593"/>
      <c r="H3593"/>
      <c r="I3593"/>
      <c r="J3593"/>
      <c r="K3593" s="13" t="s">
        <v>273</v>
      </c>
      <c r="L3593" s="13" t="s">
        <v>446</v>
      </c>
      <c r="M3593" s="13" t="s">
        <v>371</v>
      </c>
      <c r="N3593" s="15">
        <v>34</v>
      </c>
      <c r="O3593" s="16">
        <v>0</v>
      </c>
      <c r="P3593" s="17">
        <v>0</v>
      </c>
      <c r="Q3593" s="17">
        <v>0</v>
      </c>
      <c r="R3593" s="13"/>
      <c r="S3593" s="13"/>
      <c r="T3593" s="13"/>
      <c r="U3593" s="13"/>
      <c r="V3593" s="13"/>
      <c r="W3593" s="13"/>
    </row>
    <row r="3594" spans="1:23" x14ac:dyDescent="0.2">
      <c r="A3594"/>
      <c r="B3594"/>
      <c r="C3594"/>
      <c r="D3594"/>
      <c r="E3594"/>
      <c r="F3594"/>
      <c r="G3594"/>
      <c r="H3594"/>
      <c r="I3594"/>
      <c r="J3594"/>
      <c r="K3594" s="13" t="s">
        <v>273</v>
      </c>
      <c r="L3594" s="13" t="s">
        <v>424</v>
      </c>
      <c r="M3594" s="13" t="s">
        <v>468</v>
      </c>
      <c r="N3594" s="15">
        <v>0</v>
      </c>
      <c r="O3594" s="16">
        <v>0</v>
      </c>
      <c r="P3594" s="17">
        <v>33.866700003222633</v>
      </c>
      <c r="Q3594" s="17">
        <v>0</v>
      </c>
      <c r="R3594" s="13"/>
      <c r="S3594" s="13"/>
      <c r="T3594" s="13"/>
      <c r="U3594" s="13"/>
      <c r="V3594" s="13"/>
      <c r="W3594" s="13"/>
    </row>
    <row r="3595" spans="1:23" x14ac:dyDescent="0.2">
      <c r="A3595"/>
      <c r="B3595"/>
      <c r="C3595"/>
      <c r="D3595"/>
      <c r="E3595"/>
      <c r="F3595"/>
      <c r="G3595"/>
      <c r="H3595"/>
      <c r="I3595"/>
      <c r="J3595"/>
      <c r="K3595" s="13" t="s">
        <v>273</v>
      </c>
      <c r="L3595" s="13" t="s">
        <v>484</v>
      </c>
      <c r="M3595" s="13" t="s">
        <v>529</v>
      </c>
      <c r="N3595" s="15">
        <v>0</v>
      </c>
      <c r="O3595" s="16">
        <v>78.795526756013686</v>
      </c>
      <c r="P3595" s="17">
        <v>0</v>
      </c>
      <c r="Q3595" s="17">
        <v>0</v>
      </c>
      <c r="R3595" s="13"/>
      <c r="S3595" s="13"/>
      <c r="T3595" s="13"/>
      <c r="U3595" s="13"/>
      <c r="V3595" s="13"/>
      <c r="W3595" s="13"/>
    </row>
    <row r="3596" spans="1:23" x14ac:dyDescent="0.2">
      <c r="A3596"/>
      <c r="B3596"/>
      <c r="C3596"/>
      <c r="D3596"/>
      <c r="E3596"/>
      <c r="F3596"/>
      <c r="G3596"/>
      <c r="H3596"/>
      <c r="I3596"/>
      <c r="J3596"/>
      <c r="K3596" s="13" t="s">
        <v>275</v>
      </c>
      <c r="L3596" s="13" t="s">
        <v>435</v>
      </c>
      <c r="M3596" s="13" t="s">
        <v>364</v>
      </c>
      <c r="N3596" s="15">
        <v>1</v>
      </c>
      <c r="O3596" s="16">
        <v>0</v>
      </c>
      <c r="P3596" s="17">
        <v>0</v>
      </c>
      <c r="Q3596" s="17">
        <v>0</v>
      </c>
      <c r="R3596" s="13"/>
      <c r="S3596" s="13"/>
      <c r="T3596" s="13"/>
      <c r="U3596" s="13"/>
      <c r="V3596" s="13"/>
      <c r="W3596" s="13"/>
    </row>
    <row r="3597" spans="1:23" x14ac:dyDescent="0.2">
      <c r="A3597"/>
      <c r="B3597"/>
      <c r="C3597"/>
      <c r="D3597"/>
      <c r="E3597"/>
      <c r="F3597"/>
      <c r="G3597"/>
      <c r="H3597"/>
      <c r="I3597"/>
      <c r="J3597"/>
      <c r="K3597" s="13" t="s">
        <v>275</v>
      </c>
      <c r="L3597" s="13" t="s">
        <v>635</v>
      </c>
      <c r="M3597" s="13" t="s">
        <v>507</v>
      </c>
      <c r="N3597" s="15">
        <v>0</v>
      </c>
      <c r="O3597" s="16">
        <v>0</v>
      </c>
      <c r="P3597" s="17">
        <v>1.9989500024689593</v>
      </c>
      <c r="Q3597" s="17">
        <v>0</v>
      </c>
      <c r="R3597" s="13"/>
      <c r="S3597" s="13"/>
      <c r="T3597" s="13"/>
      <c r="U3597" s="13"/>
      <c r="V3597" s="13"/>
      <c r="W3597" s="13"/>
    </row>
    <row r="3598" spans="1:23" x14ac:dyDescent="0.2">
      <c r="A3598"/>
      <c r="B3598"/>
      <c r="C3598"/>
      <c r="D3598"/>
      <c r="E3598"/>
      <c r="F3598"/>
      <c r="G3598"/>
      <c r="H3598"/>
      <c r="I3598"/>
      <c r="J3598"/>
      <c r="K3598" s="13" t="s">
        <v>275</v>
      </c>
      <c r="L3598" s="13" t="s">
        <v>387</v>
      </c>
      <c r="M3598" s="13" t="s">
        <v>386</v>
      </c>
      <c r="N3598" s="15">
        <v>0</v>
      </c>
      <c r="O3598" s="16">
        <v>0</v>
      </c>
      <c r="P3598" s="17">
        <v>534.81329999943136</v>
      </c>
      <c r="Q3598" s="17">
        <v>0</v>
      </c>
      <c r="R3598" s="13"/>
      <c r="S3598" s="13"/>
      <c r="T3598" s="13"/>
      <c r="U3598" s="13"/>
      <c r="V3598" s="13"/>
      <c r="W3598" s="13"/>
    </row>
    <row r="3599" spans="1:23" x14ac:dyDescent="0.2">
      <c r="A3599"/>
      <c r="B3599"/>
      <c r="C3599"/>
      <c r="D3599"/>
      <c r="E3599"/>
      <c r="F3599"/>
      <c r="G3599"/>
      <c r="H3599"/>
      <c r="I3599"/>
      <c r="J3599"/>
      <c r="K3599" s="13" t="s">
        <v>275</v>
      </c>
      <c r="L3599" s="13" t="s">
        <v>389</v>
      </c>
      <c r="M3599" s="13" t="s">
        <v>388</v>
      </c>
      <c r="N3599" s="15">
        <v>0</v>
      </c>
      <c r="O3599" s="16">
        <v>0</v>
      </c>
      <c r="P3599" s="17">
        <v>539.02710000427203</v>
      </c>
      <c r="Q3599" s="17">
        <v>0</v>
      </c>
      <c r="R3599" s="13"/>
      <c r="S3599" s="13"/>
      <c r="T3599" s="13"/>
      <c r="U3599" s="13"/>
      <c r="V3599" s="13"/>
      <c r="W3599" s="13"/>
    </row>
    <row r="3600" spans="1:23" x14ac:dyDescent="0.2">
      <c r="A3600"/>
      <c r="B3600"/>
      <c r="C3600"/>
      <c r="D3600"/>
      <c r="E3600"/>
      <c r="F3600"/>
      <c r="G3600"/>
      <c r="H3600"/>
      <c r="I3600"/>
      <c r="J3600"/>
      <c r="K3600" s="13" t="s">
        <v>275</v>
      </c>
      <c r="L3600" s="13" t="s">
        <v>486</v>
      </c>
      <c r="M3600" s="13" t="s">
        <v>439</v>
      </c>
      <c r="N3600" s="15">
        <v>0</v>
      </c>
      <c r="O3600" s="16">
        <v>0</v>
      </c>
      <c r="P3600" s="17">
        <v>15.557749997306615</v>
      </c>
      <c r="Q3600" s="17">
        <v>0</v>
      </c>
      <c r="R3600" s="13"/>
      <c r="S3600" s="13"/>
      <c r="T3600" s="13"/>
      <c r="U3600" s="13"/>
      <c r="V3600" s="13"/>
      <c r="W3600" s="13"/>
    </row>
    <row r="3601" spans="1:23" x14ac:dyDescent="0.2">
      <c r="A3601"/>
      <c r="B3601"/>
      <c r="C3601"/>
      <c r="D3601"/>
      <c r="E3601"/>
      <c r="F3601"/>
      <c r="G3601"/>
      <c r="H3601"/>
      <c r="I3601"/>
      <c r="J3601"/>
      <c r="K3601" s="13" t="s">
        <v>275</v>
      </c>
      <c r="L3601" s="13" t="s">
        <v>512</v>
      </c>
      <c r="M3601" s="13" t="s">
        <v>466</v>
      </c>
      <c r="N3601" s="15">
        <v>0</v>
      </c>
      <c r="O3601" s="16">
        <v>0</v>
      </c>
      <c r="P3601" s="17">
        <v>178.84190000181201</v>
      </c>
      <c r="Q3601" s="17">
        <v>0</v>
      </c>
      <c r="R3601" s="13"/>
      <c r="S3601" s="13"/>
      <c r="T3601" s="13"/>
      <c r="U3601" s="13"/>
      <c r="V3601" s="13"/>
      <c r="W3601" s="13"/>
    </row>
    <row r="3602" spans="1:23" x14ac:dyDescent="0.2">
      <c r="A3602"/>
      <c r="B3602"/>
      <c r="C3602"/>
      <c r="D3602"/>
      <c r="E3602"/>
      <c r="F3602"/>
      <c r="G3602"/>
      <c r="H3602"/>
      <c r="I3602"/>
      <c r="J3602"/>
      <c r="K3602" s="13" t="s">
        <v>275</v>
      </c>
      <c r="L3602" s="13" t="s">
        <v>532</v>
      </c>
      <c r="M3602" s="13" t="s">
        <v>620</v>
      </c>
      <c r="N3602" s="15">
        <v>0</v>
      </c>
      <c r="O3602" s="16">
        <v>0</v>
      </c>
      <c r="P3602" s="17">
        <v>6.9984499978055945</v>
      </c>
      <c r="Q3602" s="17">
        <v>0</v>
      </c>
      <c r="R3602" s="13"/>
      <c r="S3602" s="13"/>
      <c r="T3602" s="13"/>
      <c r="U3602" s="13"/>
      <c r="V3602" s="13"/>
      <c r="W3602" s="13"/>
    </row>
    <row r="3603" spans="1:23" x14ac:dyDescent="0.2">
      <c r="A3603"/>
      <c r="B3603"/>
      <c r="C3603"/>
      <c r="D3603"/>
      <c r="E3603"/>
      <c r="F3603"/>
      <c r="G3603"/>
      <c r="H3603"/>
      <c r="I3603"/>
      <c r="J3603"/>
      <c r="K3603" s="13" t="s">
        <v>275</v>
      </c>
      <c r="L3603" s="13" t="s">
        <v>394</v>
      </c>
      <c r="M3603" s="13" t="s">
        <v>359</v>
      </c>
      <c r="N3603" s="15">
        <v>0</v>
      </c>
      <c r="O3603" s="16">
        <v>0</v>
      </c>
      <c r="P3603" s="17">
        <v>5.3656500020472109</v>
      </c>
      <c r="Q3603" s="17">
        <v>0</v>
      </c>
      <c r="R3603" s="13"/>
      <c r="S3603" s="13"/>
      <c r="T3603" s="13"/>
      <c r="U3603" s="13"/>
      <c r="V3603" s="13"/>
      <c r="W3603" s="13"/>
    </row>
    <row r="3604" spans="1:23" x14ac:dyDescent="0.2">
      <c r="A3604"/>
      <c r="B3604"/>
      <c r="C3604"/>
      <c r="D3604"/>
      <c r="E3604"/>
      <c r="F3604"/>
      <c r="G3604"/>
      <c r="H3604"/>
      <c r="I3604"/>
      <c r="J3604"/>
      <c r="K3604" s="13" t="s">
        <v>275</v>
      </c>
      <c r="L3604" s="13" t="s">
        <v>399</v>
      </c>
      <c r="M3604" s="13" t="s">
        <v>400</v>
      </c>
      <c r="N3604" s="15">
        <v>0</v>
      </c>
      <c r="O3604" s="16">
        <v>0</v>
      </c>
      <c r="P3604" s="17">
        <v>0.17395000018663703</v>
      </c>
      <c r="Q3604" s="17">
        <v>0</v>
      </c>
      <c r="R3604" s="13"/>
      <c r="S3604" s="13"/>
      <c r="T3604" s="13"/>
      <c r="U3604" s="13"/>
      <c r="V3604" s="13"/>
      <c r="W3604" s="13"/>
    </row>
    <row r="3605" spans="1:23" x14ac:dyDescent="0.2">
      <c r="A3605"/>
      <c r="B3605"/>
      <c r="C3605"/>
      <c r="D3605"/>
      <c r="E3605"/>
      <c r="F3605"/>
      <c r="G3605"/>
      <c r="H3605"/>
      <c r="I3605"/>
      <c r="J3605"/>
      <c r="K3605" s="13" t="s">
        <v>275</v>
      </c>
      <c r="L3605" s="13" t="s">
        <v>401</v>
      </c>
      <c r="M3605" s="13" t="s">
        <v>360</v>
      </c>
      <c r="N3605" s="15">
        <v>0</v>
      </c>
      <c r="O3605" s="16">
        <v>0</v>
      </c>
      <c r="P3605" s="17">
        <v>564.20710002562953</v>
      </c>
      <c r="Q3605" s="17">
        <v>0</v>
      </c>
      <c r="R3605" s="13"/>
      <c r="S3605" s="13"/>
      <c r="T3605" s="13"/>
      <c r="U3605" s="13"/>
      <c r="V3605" s="13"/>
      <c r="W3605" s="13"/>
    </row>
    <row r="3606" spans="1:23" x14ac:dyDescent="0.2">
      <c r="A3606"/>
      <c r="B3606"/>
      <c r="C3606"/>
      <c r="D3606"/>
      <c r="E3606"/>
      <c r="F3606"/>
      <c r="G3606"/>
      <c r="H3606"/>
      <c r="I3606"/>
      <c r="J3606"/>
      <c r="K3606" s="13" t="s">
        <v>275</v>
      </c>
      <c r="L3606" s="13" t="s">
        <v>511</v>
      </c>
      <c r="M3606" s="13" t="s">
        <v>377</v>
      </c>
      <c r="N3606" s="15">
        <v>0</v>
      </c>
      <c r="O3606" s="16">
        <v>0</v>
      </c>
      <c r="P3606" s="17">
        <v>8.2765999995576927</v>
      </c>
      <c r="Q3606" s="17">
        <v>0</v>
      </c>
      <c r="R3606" s="13"/>
      <c r="S3606" s="13"/>
      <c r="T3606" s="13"/>
      <c r="U3606" s="13"/>
      <c r="V3606" s="13"/>
      <c r="W3606" s="13"/>
    </row>
    <row r="3607" spans="1:23" x14ac:dyDescent="0.2">
      <c r="A3607"/>
      <c r="B3607"/>
      <c r="C3607"/>
      <c r="D3607"/>
      <c r="E3607"/>
      <c r="F3607"/>
      <c r="G3607"/>
      <c r="H3607"/>
      <c r="I3607"/>
      <c r="J3607"/>
      <c r="K3607" s="13" t="s">
        <v>275</v>
      </c>
      <c r="L3607" s="13" t="s">
        <v>402</v>
      </c>
      <c r="M3607" s="13" t="s">
        <v>403</v>
      </c>
      <c r="N3607" s="15">
        <v>0</v>
      </c>
      <c r="O3607" s="16">
        <v>0</v>
      </c>
      <c r="P3607" s="17">
        <v>1471.6985457548412</v>
      </c>
      <c r="Q3607" s="17">
        <v>0</v>
      </c>
      <c r="R3607" s="13"/>
      <c r="S3607" s="13"/>
      <c r="T3607" s="13"/>
      <c r="U3607" s="13"/>
      <c r="V3607" s="13"/>
      <c r="W3607" s="13"/>
    </row>
    <row r="3608" spans="1:23" x14ac:dyDescent="0.2">
      <c r="A3608"/>
      <c r="B3608"/>
      <c r="C3608"/>
      <c r="D3608"/>
      <c r="E3608"/>
      <c r="F3608"/>
      <c r="G3608"/>
      <c r="H3608"/>
      <c r="I3608"/>
      <c r="J3608"/>
      <c r="K3608" s="13" t="s">
        <v>275</v>
      </c>
      <c r="L3608" s="13" t="s">
        <v>448</v>
      </c>
      <c r="M3608" s="13" t="s">
        <v>366</v>
      </c>
      <c r="N3608" s="15">
        <v>0</v>
      </c>
      <c r="O3608" s="16">
        <v>0</v>
      </c>
      <c r="P3608" s="17">
        <v>68.149899997868829</v>
      </c>
      <c r="Q3608" s="17">
        <v>0</v>
      </c>
      <c r="R3608" s="13"/>
      <c r="S3608" s="13"/>
      <c r="T3608" s="13"/>
      <c r="U3608" s="13"/>
      <c r="V3608" s="13"/>
      <c r="W3608" s="13"/>
    </row>
    <row r="3609" spans="1:23" x14ac:dyDescent="0.2">
      <c r="A3609"/>
      <c r="B3609"/>
      <c r="C3609"/>
      <c r="D3609"/>
      <c r="E3609"/>
      <c r="F3609"/>
      <c r="G3609"/>
      <c r="H3609"/>
      <c r="I3609"/>
      <c r="J3609"/>
      <c r="K3609" s="13" t="s">
        <v>275</v>
      </c>
      <c r="L3609" s="13" t="s">
        <v>456</v>
      </c>
      <c r="M3609" s="13" t="s">
        <v>457</v>
      </c>
      <c r="N3609" s="15">
        <v>0</v>
      </c>
      <c r="O3609" s="16">
        <v>0</v>
      </c>
      <c r="P3609" s="17">
        <v>1521.8180499729156</v>
      </c>
      <c r="Q3609" s="17">
        <v>0</v>
      </c>
      <c r="R3609" s="13"/>
      <c r="S3609" s="13"/>
      <c r="T3609" s="13"/>
      <c r="U3609" s="13"/>
      <c r="V3609" s="13"/>
      <c r="W3609" s="13"/>
    </row>
    <row r="3610" spans="1:23" x14ac:dyDescent="0.2">
      <c r="A3610"/>
      <c r="B3610"/>
      <c r="C3610"/>
      <c r="D3610"/>
      <c r="E3610"/>
      <c r="F3610"/>
      <c r="G3610"/>
      <c r="H3610"/>
      <c r="I3610"/>
      <c r="J3610"/>
      <c r="K3610" s="13" t="s">
        <v>275</v>
      </c>
      <c r="L3610" s="13" t="s">
        <v>404</v>
      </c>
      <c r="M3610" s="13" t="s">
        <v>405</v>
      </c>
      <c r="N3610" s="15">
        <v>0</v>
      </c>
      <c r="O3610" s="16">
        <v>0</v>
      </c>
      <c r="P3610" s="17">
        <v>9.5005000057262343</v>
      </c>
      <c r="Q3610" s="17">
        <v>71.865005758299446</v>
      </c>
      <c r="R3610" s="13"/>
      <c r="S3610" s="13"/>
      <c r="T3610" s="13"/>
      <c r="U3610" s="13"/>
      <c r="V3610" s="13"/>
      <c r="W3610" s="13"/>
    </row>
    <row r="3611" spans="1:23" x14ac:dyDescent="0.2">
      <c r="A3611"/>
      <c r="B3611"/>
      <c r="C3611"/>
      <c r="D3611"/>
      <c r="E3611"/>
      <c r="F3611"/>
      <c r="G3611"/>
      <c r="H3611"/>
      <c r="I3611"/>
      <c r="J3611"/>
      <c r="K3611" s="13" t="s">
        <v>275</v>
      </c>
      <c r="L3611" s="13" t="s">
        <v>381</v>
      </c>
      <c r="M3611" s="13" t="s">
        <v>382</v>
      </c>
      <c r="N3611" s="15">
        <v>8</v>
      </c>
      <c r="O3611" s="16">
        <v>0</v>
      </c>
      <c r="P3611" s="17">
        <v>0</v>
      </c>
      <c r="Q3611" s="17">
        <v>0</v>
      </c>
      <c r="R3611" s="13"/>
      <c r="S3611" s="13"/>
      <c r="T3611" s="13"/>
      <c r="U3611" s="13"/>
      <c r="V3611" s="13"/>
      <c r="W3611" s="13"/>
    </row>
    <row r="3612" spans="1:23" x14ac:dyDescent="0.2">
      <c r="A3612"/>
      <c r="B3612"/>
      <c r="C3612"/>
      <c r="D3612"/>
      <c r="E3612"/>
      <c r="F3612"/>
      <c r="G3612"/>
      <c r="H3612"/>
      <c r="I3612"/>
      <c r="J3612"/>
      <c r="K3612" s="13" t="s">
        <v>275</v>
      </c>
      <c r="L3612" s="13" t="s">
        <v>411</v>
      </c>
      <c r="M3612" s="13" t="s">
        <v>362</v>
      </c>
      <c r="N3612" s="15">
        <v>0</v>
      </c>
      <c r="O3612" s="16">
        <v>182.1753273495687</v>
      </c>
      <c r="P3612" s="17">
        <v>0</v>
      </c>
      <c r="Q3612" s="17">
        <v>0</v>
      </c>
      <c r="R3612" s="13"/>
      <c r="S3612" s="13"/>
      <c r="T3612" s="13"/>
      <c r="U3612" s="13"/>
      <c r="V3612" s="13"/>
      <c r="W3612" s="13"/>
    </row>
    <row r="3613" spans="1:23" x14ac:dyDescent="0.2">
      <c r="A3613"/>
      <c r="B3613"/>
      <c r="C3613"/>
      <c r="D3613"/>
      <c r="E3613"/>
      <c r="F3613"/>
      <c r="G3613"/>
      <c r="H3613"/>
      <c r="I3613"/>
      <c r="J3613"/>
      <c r="K3613" s="13" t="s">
        <v>275</v>
      </c>
      <c r="L3613" s="13" t="s">
        <v>606</v>
      </c>
      <c r="M3613" s="13" t="s">
        <v>430</v>
      </c>
      <c r="N3613" s="15">
        <v>8</v>
      </c>
      <c r="O3613" s="16">
        <v>0</v>
      </c>
      <c r="P3613" s="17">
        <v>0</v>
      </c>
      <c r="Q3613" s="17">
        <v>0</v>
      </c>
      <c r="R3613" s="13"/>
      <c r="S3613" s="13"/>
      <c r="T3613" s="13"/>
      <c r="U3613" s="13"/>
      <c r="V3613" s="13"/>
      <c r="W3613" s="13"/>
    </row>
    <row r="3614" spans="1:23" x14ac:dyDescent="0.2">
      <c r="A3614"/>
      <c r="B3614"/>
      <c r="C3614"/>
      <c r="D3614"/>
      <c r="E3614"/>
      <c r="F3614"/>
      <c r="G3614"/>
      <c r="H3614"/>
      <c r="I3614"/>
      <c r="J3614"/>
      <c r="K3614" s="13" t="s">
        <v>275</v>
      </c>
      <c r="L3614" s="13" t="s">
        <v>623</v>
      </c>
      <c r="M3614" s="13" t="s">
        <v>530</v>
      </c>
      <c r="N3614" s="15">
        <v>0</v>
      </c>
      <c r="O3614" s="16">
        <v>93.590723402339137</v>
      </c>
      <c r="P3614" s="17">
        <v>0</v>
      </c>
      <c r="Q3614" s="17">
        <v>0</v>
      </c>
      <c r="R3614" s="13"/>
      <c r="S3614" s="13"/>
      <c r="T3614" s="13"/>
      <c r="U3614" s="13"/>
      <c r="V3614" s="13"/>
      <c r="W3614" s="13"/>
    </row>
    <row r="3615" spans="1:23" x14ac:dyDescent="0.2">
      <c r="A3615"/>
      <c r="B3615"/>
      <c r="C3615"/>
      <c r="D3615"/>
      <c r="E3615"/>
      <c r="F3615"/>
      <c r="G3615"/>
      <c r="H3615"/>
      <c r="I3615"/>
      <c r="J3615"/>
      <c r="K3615" s="13" t="s">
        <v>275</v>
      </c>
      <c r="L3615" s="13" t="s">
        <v>607</v>
      </c>
      <c r="M3615" s="13" t="s">
        <v>431</v>
      </c>
      <c r="N3615" s="15">
        <v>2</v>
      </c>
      <c r="O3615" s="16">
        <v>0</v>
      </c>
      <c r="P3615" s="17">
        <v>0</v>
      </c>
      <c r="Q3615" s="17">
        <v>0</v>
      </c>
      <c r="R3615" s="13"/>
      <c r="S3615" s="13"/>
      <c r="T3615" s="13"/>
      <c r="U3615" s="13"/>
      <c r="V3615" s="13"/>
      <c r="W3615" s="13"/>
    </row>
    <row r="3616" spans="1:23" x14ac:dyDescent="0.2">
      <c r="A3616"/>
      <c r="B3616"/>
      <c r="C3616"/>
      <c r="D3616"/>
      <c r="E3616"/>
      <c r="F3616"/>
      <c r="G3616"/>
      <c r="H3616"/>
      <c r="I3616"/>
      <c r="J3616"/>
      <c r="K3616" s="13" t="s">
        <v>275</v>
      </c>
      <c r="L3616" s="13" t="s">
        <v>615</v>
      </c>
      <c r="M3616" s="13" t="s">
        <v>449</v>
      </c>
      <c r="N3616" s="15">
        <v>1</v>
      </c>
      <c r="O3616" s="16">
        <v>0</v>
      </c>
      <c r="P3616" s="17">
        <v>0</v>
      </c>
      <c r="Q3616" s="17">
        <v>0</v>
      </c>
      <c r="R3616" s="13"/>
      <c r="S3616" s="13"/>
      <c r="T3616" s="13"/>
      <c r="U3616" s="13"/>
      <c r="V3616" s="13"/>
      <c r="W3616" s="13"/>
    </row>
    <row r="3617" spans="1:23" x14ac:dyDescent="0.2">
      <c r="A3617"/>
      <c r="B3617"/>
      <c r="C3617"/>
      <c r="D3617"/>
      <c r="E3617"/>
      <c r="F3617"/>
      <c r="G3617"/>
      <c r="H3617"/>
      <c r="I3617"/>
      <c r="J3617"/>
      <c r="K3617" s="13" t="s">
        <v>275</v>
      </c>
      <c r="L3617" s="13" t="s">
        <v>421</v>
      </c>
      <c r="M3617" s="13" t="s">
        <v>443</v>
      </c>
      <c r="N3617" s="15">
        <v>6</v>
      </c>
      <c r="O3617" s="16">
        <v>0</v>
      </c>
      <c r="P3617" s="17">
        <v>0</v>
      </c>
      <c r="Q3617" s="17">
        <v>0</v>
      </c>
      <c r="R3617" s="13"/>
      <c r="S3617" s="13"/>
      <c r="T3617" s="13"/>
      <c r="U3617" s="13"/>
      <c r="V3617" s="13"/>
      <c r="W3617" s="13"/>
    </row>
    <row r="3618" spans="1:23" x14ac:dyDescent="0.2">
      <c r="A3618"/>
      <c r="B3618"/>
      <c r="C3618"/>
      <c r="D3618"/>
      <c r="E3618"/>
      <c r="F3618"/>
      <c r="G3618"/>
      <c r="H3618"/>
      <c r="I3618"/>
      <c r="J3618"/>
      <c r="K3618" s="13" t="s">
        <v>275</v>
      </c>
      <c r="L3618" s="13" t="s">
        <v>383</v>
      </c>
      <c r="M3618" s="13" t="s">
        <v>420</v>
      </c>
      <c r="N3618" s="15">
        <v>6</v>
      </c>
      <c r="O3618" s="16">
        <v>0</v>
      </c>
      <c r="P3618" s="17">
        <v>0</v>
      </c>
      <c r="Q3618" s="17">
        <v>0</v>
      </c>
      <c r="R3618" s="13"/>
      <c r="S3618" s="13"/>
      <c r="T3618" s="13"/>
      <c r="U3618" s="13"/>
      <c r="V3618" s="13"/>
      <c r="W3618" s="13"/>
    </row>
    <row r="3619" spans="1:23" x14ac:dyDescent="0.2">
      <c r="A3619"/>
      <c r="B3619"/>
      <c r="C3619"/>
      <c r="D3619"/>
      <c r="E3619"/>
      <c r="F3619"/>
      <c r="G3619"/>
      <c r="H3619"/>
      <c r="I3619"/>
      <c r="J3619"/>
      <c r="K3619" s="13" t="s">
        <v>275</v>
      </c>
      <c r="L3619" s="13" t="s">
        <v>528</v>
      </c>
      <c r="M3619" s="13" t="s">
        <v>384</v>
      </c>
      <c r="N3619" s="15">
        <v>0</v>
      </c>
      <c r="O3619" s="16">
        <v>305.77909447247157</v>
      </c>
      <c r="P3619" s="17">
        <v>0</v>
      </c>
      <c r="Q3619" s="17">
        <v>0</v>
      </c>
      <c r="R3619" s="13"/>
      <c r="S3619" s="13"/>
      <c r="T3619" s="13"/>
      <c r="U3619" s="13"/>
      <c r="V3619" s="13"/>
      <c r="W3619" s="13"/>
    </row>
    <row r="3620" spans="1:23" x14ac:dyDescent="0.2">
      <c r="A3620"/>
      <c r="B3620"/>
      <c r="C3620"/>
      <c r="D3620"/>
      <c r="E3620"/>
      <c r="F3620"/>
      <c r="G3620"/>
      <c r="H3620"/>
      <c r="I3620"/>
      <c r="J3620"/>
      <c r="K3620" s="13" t="s">
        <v>275</v>
      </c>
      <c r="L3620" s="13" t="s">
        <v>611</v>
      </c>
      <c r="M3620" s="13" t="s">
        <v>423</v>
      </c>
      <c r="N3620" s="15">
        <v>0</v>
      </c>
      <c r="O3620" s="16">
        <v>18.048013219332759</v>
      </c>
      <c r="P3620" s="17">
        <v>0</v>
      </c>
      <c r="Q3620" s="17">
        <v>0</v>
      </c>
      <c r="R3620" s="13"/>
      <c r="S3620" s="13"/>
      <c r="T3620" s="13"/>
      <c r="U3620" s="13"/>
      <c r="V3620" s="13"/>
      <c r="W3620" s="13"/>
    </row>
    <row r="3621" spans="1:23" x14ac:dyDescent="0.2">
      <c r="A3621"/>
      <c r="B3621"/>
      <c r="C3621"/>
      <c r="D3621"/>
      <c r="E3621"/>
      <c r="F3621"/>
      <c r="G3621"/>
      <c r="H3621"/>
      <c r="I3621"/>
      <c r="J3621"/>
      <c r="K3621" s="13" t="s">
        <v>275</v>
      </c>
      <c r="L3621" s="13" t="s">
        <v>446</v>
      </c>
      <c r="M3621" s="13" t="s">
        <v>371</v>
      </c>
      <c r="N3621" s="15">
        <v>11</v>
      </c>
      <c r="O3621" s="16">
        <v>0</v>
      </c>
      <c r="P3621" s="17">
        <v>0</v>
      </c>
      <c r="Q3621" s="17">
        <v>0</v>
      </c>
      <c r="R3621" s="13"/>
      <c r="S3621" s="13"/>
      <c r="T3621" s="13"/>
      <c r="U3621" s="13"/>
      <c r="V3621" s="13"/>
      <c r="W3621" s="13"/>
    </row>
    <row r="3622" spans="1:23" x14ac:dyDescent="0.2">
      <c r="A3622"/>
      <c r="B3622"/>
      <c r="C3622"/>
      <c r="D3622"/>
      <c r="E3622"/>
      <c r="F3622"/>
      <c r="G3622"/>
      <c r="H3622"/>
      <c r="I3622"/>
      <c r="J3622"/>
      <c r="K3622" s="13" t="s">
        <v>275</v>
      </c>
      <c r="L3622" s="13" t="s">
        <v>424</v>
      </c>
      <c r="M3622" s="13" t="s">
        <v>468</v>
      </c>
      <c r="N3622" s="15">
        <v>0</v>
      </c>
      <c r="O3622" s="16">
        <v>0</v>
      </c>
      <c r="P3622" s="17">
        <v>57.627850002758528</v>
      </c>
      <c r="Q3622" s="17">
        <v>0</v>
      </c>
      <c r="R3622" s="13"/>
      <c r="S3622" s="13"/>
      <c r="T3622" s="13"/>
      <c r="U3622" s="13"/>
      <c r="V3622" s="13"/>
      <c r="W3622" s="13"/>
    </row>
    <row r="3623" spans="1:23" x14ac:dyDescent="0.2">
      <c r="A3623"/>
      <c r="B3623"/>
      <c r="C3623"/>
      <c r="D3623"/>
      <c r="E3623"/>
      <c r="F3623"/>
      <c r="G3623"/>
      <c r="H3623"/>
      <c r="I3623"/>
      <c r="J3623"/>
      <c r="K3623" s="13" t="s">
        <v>277</v>
      </c>
      <c r="L3623" s="13" t="s">
        <v>635</v>
      </c>
      <c r="M3623" s="13" t="s">
        <v>507</v>
      </c>
      <c r="N3623" s="15">
        <v>0</v>
      </c>
      <c r="O3623" s="16">
        <v>0</v>
      </c>
      <c r="P3623" s="17">
        <v>4.9363999979705779</v>
      </c>
      <c r="Q3623" s="17">
        <v>0</v>
      </c>
      <c r="R3623" s="13"/>
      <c r="S3623" s="13"/>
      <c r="T3623" s="13"/>
      <c r="U3623" s="13"/>
      <c r="V3623" s="13"/>
      <c r="W3623" s="13"/>
    </row>
    <row r="3624" spans="1:23" x14ac:dyDescent="0.2">
      <c r="A3624"/>
      <c r="B3624"/>
      <c r="C3624"/>
      <c r="D3624"/>
      <c r="E3624"/>
      <c r="F3624"/>
      <c r="G3624"/>
      <c r="H3624"/>
      <c r="I3624"/>
      <c r="J3624"/>
      <c r="K3624" s="13" t="s">
        <v>277</v>
      </c>
      <c r="L3624" s="13" t="s">
        <v>387</v>
      </c>
      <c r="M3624" s="13" t="s">
        <v>386</v>
      </c>
      <c r="N3624" s="15">
        <v>0</v>
      </c>
      <c r="O3624" s="16">
        <v>0</v>
      </c>
      <c r="P3624" s="17">
        <v>182.99260002104927</v>
      </c>
      <c r="Q3624" s="17">
        <v>0</v>
      </c>
      <c r="R3624" s="13"/>
      <c r="S3624" s="13"/>
      <c r="T3624" s="13"/>
      <c r="U3624" s="13"/>
      <c r="V3624" s="13"/>
      <c r="W3624" s="13"/>
    </row>
    <row r="3625" spans="1:23" x14ac:dyDescent="0.2">
      <c r="A3625"/>
      <c r="B3625"/>
      <c r="C3625"/>
      <c r="D3625"/>
      <c r="E3625"/>
      <c r="F3625"/>
      <c r="G3625"/>
      <c r="H3625"/>
      <c r="I3625"/>
      <c r="J3625"/>
      <c r="K3625" s="13" t="s">
        <v>277</v>
      </c>
      <c r="L3625" s="13" t="s">
        <v>389</v>
      </c>
      <c r="M3625" s="13" t="s">
        <v>388</v>
      </c>
      <c r="N3625" s="15">
        <v>0</v>
      </c>
      <c r="O3625" s="16">
        <v>0</v>
      </c>
      <c r="P3625" s="17">
        <v>51.81320000259911</v>
      </c>
      <c r="Q3625" s="17">
        <v>0</v>
      </c>
      <c r="R3625" s="13"/>
      <c r="S3625" s="13"/>
      <c r="T3625" s="13"/>
      <c r="U3625" s="13"/>
      <c r="V3625" s="13"/>
      <c r="W3625" s="13"/>
    </row>
    <row r="3626" spans="1:23" x14ac:dyDescent="0.2">
      <c r="A3626"/>
      <c r="B3626"/>
      <c r="C3626"/>
      <c r="D3626"/>
      <c r="E3626"/>
      <c r="F3626"/>
      <c r="G3626"/>
      <c r="H3626"/>
      <c r="I3626"/>
      <c r="J3626"/>
      <c r="K3626" s="13" t="s">
        <v>277</v>
      </c>
      <c r="L3626" s="13" t="s">
        <v>626</v>
      </c>
      <c r="M3626" s="13" t="s">
        <v>543</v>
      </c>
      <c r="N3626" s="15">
        <v>0</v>
      </c>
      <c r="O3626" s="16">
        <v>0</v>
      </c>
      <c r="P3626" s="17">
        <v>11.388120391095885</v>
      </c>
      <c r="Q3626" s="17">
        <v>0</v>
      </c>
      <c r="R3626" s="13"/>
      <c r="S3626" s="13"/>
      <c r="T3626" s="13"/>
      <c r="U3626" s="13"/>
      <c r="V3626" s="13"/>
      <c r="W3626" s="13"/>
    </row>
    <row r="3627" spans="1:23" x14ac:dyDescent="0.2">
      <c r="A3627"/>
      <c r="B3627"/>
      <c r="C3627"/>
      <c r="D3627"/>
      <c r="E3627"/>
      <c r="F3627"/>
      <c r="G3627"/>
      <c r="H3627"/>
      <c r="I3627"/>
      <c r="J3627"/>
      <c r="K3627" s="13" t="s">
        <v>277</v>
      </c>
      <c r="L3627" s="13" t="s">
        <v>486</v>
      </c>
      <c r="M3627" s="13" t="s">
        <v>439</v>
      </c>
      <c r="N3627" s="15">
        <v>0</v>
      </c>
      <c r="O3627" s="16">
        <v>0</v>
      </c>
      <c r="P3627" s="17">
        <v>494.00454246227952</v>
      </c>
      <c r="Q3627" s="17">
        <v>0</v>
      </c>
      <c r="R3627" s="13"/>
      <c r="S3627" s="13"/>
      <c r="T3627" s="13"/>
      <c r="U3627" s="13"/>
      <c r="V3627" s="13"/>
      <c r="W3627" s="13"/>
    </row>
    <row r="3628" spans="1:23" x14ac:dyDescent="0.2">
      <c r="A3628"/>
      <c r="B3628"/>
      <c r="C3628"/>
      <c r="D3628"/>
      <c r="E3628"/>
      <c r="F3628"/>
      <c r="G3628"/>
      <c r="H3628"/>
      <c r="I3628"/>
      <c r="J3628"/>
      <c r="K3628" s="13" t="s">
        <v>277</v>
      </c>
      <c r="L3628" s="13" t="s">
        <v>512</v>
      </c>
      <c r="M3628" s="13" t="s">
        <v>466</v>
      </c>
      <c r="N3628" s="15">
        <v>0</v>
      </c>
      <c r="O3628" s="16">
        <v>0</v>
      </c>
      <c r="P3628" s="17">
        <v>21.969750003363938</v>
      </c>
      <c r="Q3628" s="17">
        <v>0</v>
      </c>
      <c r="R3628" s="13"/>
      <c r="S3628" s="13"/>
      <c r="T3628" s="13"/>
      <c r="U3628" s="13"/>
      <c r="V3628" s="13"/>
      <c r="W3628" s="13"/>
    </row>
    <row r="3629" spans="1:23" x14ac:dyDescent="0.2">
      <c r="A3629"/>
      <c r="B3629"/>
      <c r="C3629"/>
      <c r="D3629"/>
      <c r="E3629"/>
      <c r="F3629"/>
      <c r="G3629"/>
      <c r="H3629"/>
      <c r="I3629"/>
      <c r="J3629"/>
      <c r="K3629" s="13" t="s">
        <v>277</v>
      </c>
      <c r="L3629" s="13" t="s">
        <v>532</v>
      </c>
      <c r="M3629" s="13" t="s">
        <v>620</v>
      </c>
      <c r="N3629" s="15">
        <v>0</v>
      </c>
      <c r="O3629" s="16">
        <v>0</v>
      </c>
      <c r="P3629" s="17">
        <v>11.133349997232063</v>
      </c>
      <c r="Q3629" s="17">
        <v>0</v>
      </c>
      <c r="R3629" s="13"/>
      <c r="S3629" s="13"/>
      <c r="T3629" s="13"/>
      <c r="U3629" s="13"/>
      <c r="V3629" s="13"/>
      <c r="W3629" s="13"/>
    </row>
    <row r="3630" spans="1:23" x14ac:dyDescent="0.2">
      <c r="A3630"/>
      <c r="B3630"/>
      <c r="C3630"/>
      <c r="D3630"/>
      <c r="E3630"/>
      <c r="F3630"/>
      <c r="G3630"/>
      <c r="H3630"/>
      <c r="I3630"/>
      <c r="J3630"/>
      <c r="K3630" s="13" t="s">
        <v>277</v>
      </c>
      <c r="L3630" s="13" t="s">
        <v>440</v>
      </c>
      <c r="M3630" s="13" t="s">
        <v>441</v>
      </c>
      <c r="N3630" s="15">
        <v>8</v>
      </c>
      <c r="O3630" s="16">
        <v>0</v>
      </c>
      <c r="P3630" s="17">
        <v>0</v>
      </c>
      <c r="Q3630" s="17">
        <v>0</v>
      </c>
      <c r="R3630" s="13"/>
      <c r="S3630" s="13"/>
      <c r="T3630" s="13"/>
      <c r="U3630" s="13"/>
      <c r="V3630" s="13"/>
      <c r="W3630" s="13"/>
    </row>
    <row r="3631" spans="1:23" x14ac:dyDescent="0.2">
      <c r="A3631"/>
      <c r="B3631"/>
      <c r="C3631"/>
      <c r="D3631"/>
      <c r="E3631"/>
      <c r="F3631"/>
      <c r="G3631"/>
      <c r="H3631"/>
      <c r="I3631"/>
      <c r="J3631"/>
      <c r="K3631" s="13" t="s">
        <v>277</v>
      </c>
      <c r="L3631" s="13" t="s">
        <v>394</v>
      </c>
      <c r="M3631" s="13" t="s">
        <v>359</v>
      </c>
      <c r="N3631" s="15">
        <v>0</v>
      </c>
      <c r="O3631" s="16">
        <v>0</v>
      </c>
      <c r="P3631" s="17">
        <v>5.1773000070753508</v>
      </c>
      <c r="Q3631" s="17">
        <v>0</v>
      </c>
      <c r="R3631" s="13"/>
      <c r="S3631" s="13"/>
      <c r="T3631" s="13"/>
      <c r="U3631" s="13"/>
      <c r="V3631" s="13"/>
      <c r="W3631" s="13"/>
    </row>
    <row r="3632" spans="1:23" x14ac:dyDescent="0.2">
      <c r="A3632"/>
      <c r="B3632"/>
      <c r="C3632"/>
      <c r="D3632"/>
      <c r="E3632"/>
      <c r="F3632"/>
      <c r="G3632"/>
      <c r="H3632"/>
      <c r="I3632"/>
      <c r="J3632"/>
      <c r="K3632" s="13" t="s">
        <v>277</v>
      </c>
      <c r="L3632" s="13" t="s">
        <v>395</v>
      </c>
      <c r="M3632" s="13" t="s">
        <v>602</v>
      </c>
      <c r="N3632" s="15">
        <v>1</v>
      </c>
      <c r="O3632" s="16">
        <v>0</v>
      </c>
      <c r="P3632" s="17">
        <v>0</v>
      </c>
      <c r="Q3632" s="17">
        <v>0</v>
      </c>
      <c r="R3632" s="13"/>
      <c r="S3632" s="13"/>
      <c r="T3632" s="13"/>
      <c r="U3632" s="13"/>
      <c r="V3632" s="13"/>
      <c r="W3632" s="13"/>
    </row>
    <row r="3633" spans="1:23" x14ac:dyDescent="0.2">
      <c r="A3633"/>
      <c r="B3633"/>
      <c r="C3633"/>
      <c r="D3633"/>
      <c r="E3633"/>
      <c r="F3633"/>
      <c r="G3633"/>
      <c r="H3633"/>
      <c r="I3633"/>
      <c r="J3633"/>
      <c r="K3633" s="13" t="s">
        <v>277</v>
      </c>
      <c r="L3633" s="13" t="s">
        <v>401</v>
      </c>
      <c r="M3633" s="13" t="s">
        <v>360</v>
      </c>
      <c r="N3633" s="15">
        <v>0</v>
      </c>
      <c r="O3633" s="16">
        <v>0</v>
      </c>
      <c r="P3633" s="17">
        <v>67.883050005434129</v>
      </c>
      <c r="Q3633" s="17">
        <v>0</v>
      </c>
      <c r="R3633" s="13"/>
      <c r="S3633" s="13"/>
      <c r="T3633" s="13"/>
      <c r="U3633" s="13"/>
      <c r="V3633" s="13"/>
      <c r="W3633" s="13"/>
    </row>
    <row r="3634" spans="1:23" x14ac:dyDescent="0.2">
      <c r="A3634"/>
      <c r="B3634"/>
      <c r="C3634"/>
      <c r="D3634"/>
      <c r="E3634"/>
      <c r="F3634"/>
      <c r="G3634"/>
      <c r="H3634"/>
      <c r="I3634"/>
      <c r="J3634"/>
      <c r="K3634" s="13" t="s">
        <v>277</v>
      </c>
      <c r="L3634" s="13" t="s">
        <v>402</v>
      </c>
      <c r="M3634" s="13" t="s">
        <v>403</v>
      </c>
      <c r="N3634" s="15">
        <v>0</v>
      </c>
      <c r="O3634" s="16">
        <v>0</v>
      </c>
      <c r="P3634" s="17">
        <v>439.85853284335269</v>
      </c>
      <c r="Q3634" s="17">
        <v>0</v>
      </c>
      <c r="R3634" s="13"/>
      <c r="S3634" s="13"/>
      <c r="T3634" s="13"/>
      <c r="U3634" s="13"/>
      <c r="V3634" s="13"/>
      <c r="W3634" s="13"/>
    </row>
    <row r="3635" spans="1:23" x14ac:dyDescent="0.2">
      <c r="A3635"/>
      <c r="B3635"/>
      <c r="C3635"/>
      <c r="D3635"/>
      <c r="E3635"/>
      <c r="F3635"/>
      <c r="G3635"/>
      <c r="H3635"/>
      <c r="I3635"/>
      <c r="J3635"/>
      <c r="K3635" s="13" t="s">
        <v>277</v>
      </c>
      <c r="L3635" s="13" t="s">
        <v>381</v>
      </c>
      <c r="M3635" s="13" t="s">
        <v>382</v>
      </c>
      <c r="N3635" s="15">
        <v>17</v>
      </c>
      <c r="O3635" s="16">
        <v>0</v>
      </c>
      <c r="P3635" s="17">
        <v>0</v>
      </c>
      <c r="Q3635" s="17">
        <v>0</v>
      </c>
      <c r="R3635" s="13"/>
      <c r="S3635" s="13"/>
      <c r="T3635" s="13"/>
      <c r="U3635" s="13"/>
      <c r="V3635" s="13"/>
      <c r="W3635" s="13"/>
    </row>
    <row r="3636" spans="1:23" x14ac:dyDescent="0.2">
      <c r="A3636"/>
      <c r="B3636"/>
      <c r="C3636"/>
      <c r="D3636"/>
      <c r="E3636"/>
      <c r="F3636"/>
      <c r="G3636"/>
      <c r="H3636"/>
      <c r="I3636"/>
      <c r="J3636"/>
      <c r="K3636" s="13" t="s">
        <v>277</v>
      </c>
      <c r="L3636" s="13" t="s">
        <v>411</v>
      </c>
      <c r="M3636" s="13" t="s">
        <v>362</v>
      </c>
      <c r="N3636" s="15">
        <v>0</v>
      </c>
      <c r="O3636" s="16">
        <v>24.084852442010781</v>
      </c>
      <c r="P3636" s="17">
        <v>0</v>
      </c>
      <c r="Q3636" s="17">
        <v>0</v>
      </c>
      <c r="R3636" s="13"/>
      <c r="S3636" s="13"/>
      <c r="T3636" s="13"/>
      <c r="U3636" s="13"/>
      <c r="V3636" s="13"/>
      <c r="W3636" s="13"/>
    </row>
    <row r="3637" spans="1:23" x14ac:dyDescent="0.2">
      <c r="A3637"/>
      <c r="B3637"/>
      <c r="C3637"/>
      <c r="D3637"/>
      <c r="E3637"/>
      <c r="F3637"/>
      <c r="G3637"/>
      <c r="H3637"/>
      <c r="I3637"/>
      <c r="J3637"/>
      <c r="K3637" s="13" t="s">
        <v>277</v>
      </c>
      <c r="L3637" s="13" t="s">
        <v>411</v>
      </c>
      <c r="M3637" s="13" t="s">
        <v>362</v>
      </c>
      <c r="N3637" s="15">
        <v>1</v>
      </c>
      <c r="O3637" s="16">
        <v>0</v>
      </c>
      <c r="P3637" s="17">
        <v>0</v>
      </c>
      <c r="Q3637" s="17">
        <v>0</v>
      </c>
      <c r="R3637" s="13"/>
      <c r="S3637" s="13"/>
      <c r="T3637" s="13"/>
      <c r="U3637" s="13"/>
      <c r="V3637" s="13"/>
      <c r="W3637" s="13"/>
    </row>
    <row r="3638" spans="1:23" x14ac:dyDescent="0.2">
      <c r="A3638"/>
      <c r="B3638"/>
      <c r="C3638"/>
      <c r="D3638"/>
      <c r="E3638"/>
      <c r="F3638"/>
      <c r="G3638"/>
      <c r="H3638"/>
      <c r="I3638"/>
      <c r="J3638"/>
      <c r="K3638" s="13" t="s">
        <v>277</v>
      </c>
      <c r="L3638" s="13" t="s">
        <v>623</v>
      </c>
      <c r="M3638" s="13" t="s">
        <v>530</v>
      </c>
      <c r="N3638" s="15">
        <v>0</v>
      </c>
      <c r="O3638" s="16">
        <v>78.345073936307486</v>
      </c>
      <c r="P3638" s="17">
        <v>0</v>
      </c>
      <c r="Q3638" s="17">
        <v>0</v>
      </c>
      <c r="R3638" s="13"/>
      <c r="S3638" s="13"/>
      <c r="T3638" s="13"/>
      <c r="U3638" s="13"/>
      <c r="V3638" s="13"/>
      <c r="W3638" s="13"/>
    </row>
    <row r="3639" spans="1:23" x14ac:dyDescent="0.2">
      <c r="A3639"/>
      <c r="B3639"/>
      <c r="C3639"/>
      <c r="D3639"/>
      <c r="E3639"/>
      <c r="F3639"/>
      <c r="G3639"/>
      <c r="H3639"/>
      <c r="I3639"/>
      <c r="J3639"/>
      <c r="K3639" s="13" t="s">
        <v>277</v>
      </c>
      <c r="L3639" s="13" t="s">
        <v>607</v>
      </c>
      <c r="M3639" s="13" t="s">
        <v>431</v>
      </c>
      <c r="N3639" s="15">
        <v>2</v>
      </c>
      <c r="O3639" s="16">
        <v>0</v>
      </c>
      <c r="P3639" s="17">
        <v>0</v>
      </c>
      <c r="Q3639" s="17">
        <v>0</v>
      </c>
      <c r="R3639" s="13"/>
      <c r="S3639" s="13"/>
      <c r="T3639" s="13"/>
      <c r="U3639" s="13"/>
      <c r="V3639" s="13"/>
      <c r="W3639" s="13"/>
    </row>
    <row r="3640" spans="1:23" x14ac:dyDescent="0.2">
      <c r="A3640"/>
      <c r="B3640"/>
      <c r="C3640"/>
      <c r="D3640"/>
      <c r="E3640"/>
      <c r="F3640"/>
      <c r="G3640"/>
      <c r="H3640"/>
      <c r="I3640"/>
      <c r="J3640"/>
      <c r="K3640" s="13" t="s">
        <v>277</v>
      </c>
      <c r="L3640" s="13" t="s">
        <v>608</v>
      </c>
      <c r="M3640" s="13" t="s">
        <v>432</v>
      </c>
      <c r="N3640" s="15">
        <v>6</v>
      </c>
      <c r="O3640" s="16">
        <v>0</v>
      </c>
      <c r="P3640" s="17">
        <v>0</v>
      </c>
      <c r="Q3640" s="17">
        <v>0</v>
      </c>
      <c r="R3640" s="13"/>
      <c r="S3640" s="13"/>
      <c r="T3640" s="13"/>
      <c r="U3640" s="13"/>
      <c r="V3640" s="13"/>
      <c r="W3640" s="13"/>
    </row>
    <row r="3641" spans="1:23" x14ac:dyDescent="0.2">
      <c r="A3641"/>
      <c r="B3641"/>
      <c r="C3641"/>
      <c r="D3641"/>
      <c r="E3641"/>
      <c r="F3641"/>
      <c r="G3641"/>
      <c r="H3641"/>
      <c r="I3641"/>
      <c r="J3641"/>
      <c r="K3641" s="13" t="s">
        <v>277</v>
      </c>
      <c r="L3641" s="13" t="s">
        <v>615</v>
      </c>
      <c r="M3641" s="13" t="s">
        <v>449</v>
      </c>
      <c r="N3641" s="15">
        <v>1</v>
      </c>
      <c r="O3641" s="16">
        <v>0</v>
      </c>
      <c r="P3641" s="17">
        <v>0</v>
      </c>
      <c r="Q3641" s="17">
        <v>0</v>
      </c>
      <c r="R3641" s="13"/>
      <c r="S3641" s="13"/>
      <c r="T3641" s="13"/>
      <c r="U3641" s="13"/>
      <c r="V3641" s="13"/>
      <c r="W3641" s="13"/>
    </row>
    <row r="3642" spans="1:23" x14ac:dyDescent="0.2">
      <c r="A3642"/>
      <c r="B3642"/>
      <c r="C3642"/>
      <c r="D3642"/>
      <c r="E3642"/>
      <c r="F3642"/>
      <c r="G3642"/>
      <c r="H3642"/>
      <c r="I3642"/>
      <c r="J3642"/>
      <c r="K3642" s="13" t="s">
        <v>277</v>
      </c>
      <c r="L3642" s="13" t="s">
        <v>609</v>
      </c>
      <c r="M3642" s="13" t="s">
        <v>416</v>
      </c>
      <c r="N3642" s="15">
        <v>0</v>
      </c>
      <c r="O3642" s="16">
        <v>21.20726196999118</v>
      </c>
      <c r="P3642" s="17">
        <v>0</v>
      </c>
      <c r="Q3642" s="17">
        <v>0</v>
      </c>
      <c r="R3642" s="13"/>
      <c r="S3642" s="13"/>
      <c r="T3642" s="13"/>
      <c r="U3642" s="13"/>
      <c r="V3642" s="13"/>
      <c r="W3642" s="13"/>
    </row>
    <row r="3643" spans="1:23" x14ac:dyDescent="0.2">
      <c r="A3643"/>
      <c r="B3643"/>
      <c r="C3643"/>
      <c r="D3643"/>
      <c r="E3643"/>
      <c r="F3643"/>
      <c r="G3643"/>
      <c r="H3643"/>
      <c r="I3643"/>
      <c r="J3643"/>
      <c r="K3643" s="13" t="s">
        <v>277</v>
      </c>
      <c r="L3643" s="13" t="s">
        <v>421</v>
      </c>
      <c r="M3643" s="13" t="s">
        <v>443</v>
      </c>
      <c r="N3643" s="15">
        <v>3</v>
      </c>
      <c r="O3643" s="16">
        <v>0</v>
      </c>
      <c r="P3643" s="17">
        <v>0</v>
      </c>
      <c r="Q3643" s="17">
        <v>0</v>
      </c>
      <c r="R3643" s="13"/>
      <c r="S3643" s="13"/>
      <c r="T3643" s="13"/>
      <c r="U3643" s="13"/>
      <c r="V3643" s="13"/>
      <c r="W3643" s="13"/>
    </row>
    <row r="3644" spans="1:23" x14ac:dyDescent="0.2">
      <c r="A3644"/>
      <c r="B3644"/>
      <c r="C3644"/>
      <c r="D3644"/>
      <c r="E3644"/>
      <c r="F3644"/>
      <c r="G3644"/>
      <c r="H3644"/>
      <c r="I3644"/>
      <c r="J3644"/>
      <c r="K3644" s="13" t="s">
        <v>277</v>
      </c>
      <c r="L3644" s="13" t="s">
        <v>383</v>
      </c>
      <c r="M3644" s="13" t="s">
        <v>420</v>
      </c>
      <c r="N3644" s="15">
        <v>8</v>
      </c>
      <c r="O3644" s="16">
        <v>0</v>
      </c>
      <c r="P3644" s="17">
        <v>0</v>
      </c>
      <c r="Q3644" s="17">
        <v>0</v>
      </c>
      <c r="R3644" s="13"/>
      <c r="S3644" s="13"/>
      <c r="T3644" s="13"/>
      <c r="U3644" s="13"/>
      <c r="V3644" s="13"/>
      <c r="W3644" s="13"/>
    </row>
    <row r="3645" spans="1:23" x14ac:dyDescent="0.2">
      <c r="A3645"/>
      <c r="B3645"/>
      <c r="C3645"/>
      <c r="D3645"/>
      <c r="E3645"/>
      <c r="F3645"/>
      <c r="G3645"/>
      <c r="H3645"/>
      <c r="I3645"/>
      <c r="J3645"/>
      <c r="K3645" s="13" t="s">
        <v>277</v>
      </c>
      <c r="L3645" s="13" t="s">
        <v>467</v>
      </c>
      <c r="M3645" s="13" t="s">
        <v>422</v>
      </c>
      <c r="N3645" s="15">
        <v>0</v>
      </c>
      <c r="O3645" s="16">
        <v>23.824063861937539</v>
      </c>
      <c r="P3645" s="17">
        <v>0</v>
      </c>
      <c r="Q3645" s="17">
        <v>0</v>
      </c>
      <c r="R3645" s="13"/>
      <c r="S3645" s="13"/>
      <c r="T3645" s="13"/>
      <c r="U3645" s="13"/>
      <c r="V3645" s="13"/>
      <c r="W3645" s="13"/>
    </row>
    <row r="3646" spans="1:23" x14ac:dyDescent="0.2">
      <c r="A3646"/>
      <c r="B3646"/>
      <c r="C3646"/>
      <c r="D3646"/>
      <c r="E3646"/>
      <c r="F3646"/>
      <c r="G3646"/>
      <c r="H3646"/>
      <c r="I3646"/>
      <c r="J3646"/>
      <c r="K3646" s="13" t="s">
        <v>277</v>
      </c>
      <c r="L3646" s="13" t="s">
        <v>528</v>
      </c>
      <c r="M3646" s="13" t="s">
        <v>384</v>
      </c>
      <c r="N3646" s="15">
        <v>0</v>
      </c>
      <c r="O3646" s="16">
        <v>56.303552161045694</v>
      </c>
      <c r="P3646" s="17">
        <v>0</v>
      </c>
      <c r="Q3646" s="17">
        <v>0</v>
      </c>
      <c r="R3646" s="13"/>
      <c r="S3646" s="13"/>
      <c r="T3646" s="13"/>
      <c r="U3646" s="13"/>
      <c r="V3646" s="13"/>
      <c r="W3646" s="13"/>
    </row>
    <row r="3647" spans="1:23" x14ac:dyDescent="0.2">
      <c r="A3647"/>
      <c r="B3647"/>
      <c r="C3647"/>
      <c r="D3647"/>
      <c r="E3647"/>
      <c r="F3647"/>
      <c r="G3647"/>
      <c r="H3647"/>
      <c r="I3647"/>
      <c r="J3647"/>
      <c r="K3647" s="13" t="s">
        <v>277</v>
      </c>
      <c r="L3647" s="13" t="s">
        <v>613</v>
      </c>
      <c r="M3647" s="13" t="s">
        <v>444</v>
      </c>
      <c r="N3647" s="15">
        <v>0</v>
      </c>
      <c r="O3647" s="16">
        <v>37.612073938616035</v>
      </c>
      <c r="P3647" s="17">
        <v>0</v>
      </c>
      <c r="Q3647" s="17">
        <v>0</v>
      </c>
      <c r="R3647" s="13"/>
      <c r="S3647" s="13"/>
      <c r="T3647" s="13"/>
      <c r="U3647" s="13"/>
      <c r="V3647" s="13"/>
      <c r="W3647" s="13"/>
    </row>
    <row r="3648" spans="1:23" x14ac:dyDescent="0.2">
      <c r="A3648"/>
      <c r="B3648"/>
      <c r="C3648"/>
      <c r="D3648"/>
      <c r="E3648"/>
      <c r="F3648"/>
      <c r="G3648"/>
      <c r="H3648"/>
      <c r="I3648"/>
      <c r="J3648"/>
      <c r="K3648" s="13" t="s">
        <v>277</v>
      </c>
      <c r="L3648" s="13" t="s">
        <v>611</v>
      </c>
      <c r="M3648" s="13" t="s">
        <v>423</v>
      </c>
      <c r="N3648" s="15">
        <v>0</v>
      </c>
      <c r="O3648" s="16">
        <v>40.408990702815622</v>
      </c>
      <c r="P3648" s="17">
        <v>0</v>
      </c>
      <c r="Q3648" s="17">
        <v>0</v>
      </c>
      <c r="R3648" s="13"/>
      <c r="S3648" s="13"/>
      <c r="T3648" s="13"/>
      <c r="U3648" s="13"/>
      <c r="V3648" s="13"/>
      <c r="W3648" s="13"/>
    </row>
    <row r="3649" spans="1:23" x14ac:dyDescent="0.2">
      <c r="A3649"/>
      <c r="B3649"/>
      <c r="C3649"/>
      <c r="D3649"/>
      <c r="E3649"/>
      <c r="F3649"/>
      <c r="G3649"/>
      <c r="H3649"/>
      <c r="I3649"/>
      <c r="J3649"/>
      <c r="K3649" s="13" t="s">
        <v>277</v>
      </c>
      <c r="L3649" s="13" t="s">
        <v>446</v>
      </c>
      <c r="M3649" s="13" t="s">
        <v>371</v>
      </c>
      <c r="N3649" s="15">
        <v>13</v>
      </c>
      <c r="O3649" s="16">
        <v>0</v>
      </c>
      <c r="P3649" s="17">
        <v>0</v>
      </c>
      <c r="Q3649" s="17">
        <v>0</v>
      </c>
      <c r="R3649" s="13"/>
      <c r="S3649" s="13"/>
      <c r="T3649" s="13"/>
      <c r="U3649" s="13"/>
      <c r="V3649" s="13"/>
      <c r="W3649" s="13"/>
    </row>
    <row r="3650" spans="1:23" x14ac:dyDescent="0.2">
      <c r="A3650"/>
      <c r="B3650"/>
      <c r="C3650"/>
      <c r="D3650"/>
      <c r="E3650"/>
      <c r="F3650"/>
      <c r="G3650"/>
      <c r="H3650"/>
      <c r="I3650"/>
      <c r="J3650"/>
      <c r="K3650" s="13" t="s">
        <v>277</v>
      </c>
      <c r="L3650" s="13" t="s">
        <v>424</v>
      </c>
      <c r="M3650" s="13" t="s">
        <v>468</v>
      </c>
      <c r="N3650" s="15">
        <v>0</v>
      </c>
      <c r="O3650" s="16">
        <v>0</v>
      </c>
      <c r="P3650" s="17">
        <v>22.130704275217028</v>
      </c>
      <c r="Q3650" s="17">
        <v>0</v>
      </c>
      <c r="R3650" s="13"/>
      <c r="S3650" s="13"/>
      <c r="T3650" s="13"/>
      <c r="U3650" s="13"/>
      <c r="V3650" s="13"/>
      <c r="W3650" s="13"/>
    </row>
    <row r="3651" spans="1:23" x14ac:dyDescent="0.2">
      <c r="A3651"/>
      <c r="B3651"/>
      <c r="C3651"/>
      <c r="D3651"/>
      <c r="E3651"/>
      <c r="F3651"/>
      <c r="G3651"/>
      <c r="H3651"/>
      <c r="I3651"/>
      <c r="J3651"/>
      <c r="K3651" s="13" t="s">
        <v>279</v>
      </c>
      <c r="L3651" s="13" t="s">
        <v>435</v>
      </c>
      <c r="M3651" s="13" t="s">
        <v>364</v>
      </c>
      <c r="N3651" s="15">
        <v>0</v>
      </c>
      <c r="O3651" s="16">
        <v>0</v>
      </c>
      <c r="P3651" s="17">
        <v>20.815849999477713</v>
      </c>
      <c r="Q3651" s="17">
        <v>0</v>
      </c>
      <c r="R3651" s="13"/>
      <c r="S3651" s="13"/>
      <c r="T3651" s="13"/>
      <c r="U3651" s="13"/>
      <c r="V3651" s="13"/>
      <c r="W3651" s="13"/>
    </row>
    <row r="3652" spans="1:23" x14ac:dyDescent="0.2">
      <c r="A3652"/>
      <c r="B3652"/>
      <c r="C3652"/>
      <c r="D3652"/>
      <c r="E3652"/>
      <c r="F3652"/>
      <c r="G3652"/>
      <c r="H3652"/>
      <c r="I3652"/>
      <c r="J3652"/>
      <c r="K3652" s="13" t="s">
        <v>279</v>
      </c>
      <c r="L3652" s="13" t="s">
        <v>635</v>
      </c>
      <c r="M3652" s="13" t="s">
        <v>507</v>
      </c>
      <c r="N3652" s="15">
        <v>0</v>
      </c>
      <c r="O3652" s="16">
        <v>0</v>
      </c>
      <c r="P3652" s="17">
        <v>17.651849995158241</v>
      </c>
      <c r="Q3652" s="17">
        <v>0</v>
      </c>
      <c r="R3652" s="13"/>
      <c r="S3652" s="13"/>
      <c r="T3652" s="13"/>
      <c r="U3652" s="13"/>
      <c r="V3652" s="13"/>
      <c r="W3652" s="13"/>
    </row>
    <row r="3653" spans="1:23" x14ac:dyDescent="0.2">
      <c r="A3653"/>
      <c r="B3653"/>
      <c r="C3653"/>
      <c r="D3653"/>
      <c r="E3653"/>
      <c r="F3653"/>
      <c r="G3653"/>
      <c r="H3653"/>
      <c r="I3653"/>
      <c r="J3653"/>
      <c r="K3653" s="13" t="s">
        <v>279</v>
      </c>
      <c r="L3653" s="13" t="s">
        <v>387</v>
      </c>
      <c r="M3653" s="13" t="s">
        <v>386</v>
      </c>
      <c r="N3653" s="15">
        <v>0</v>
      </c>
      <c r="O3653" s="16">
        <v>0</v>
      </c>
      <c r="P3653" s="17">
        <v>395.79765000588327</v>
      </c>
      <c r="Q3653" s="17">
        <v>0</v>
      </c>
      <c r="R3653" s="13"/>
      <c r="S3653" s="13"/>
      <c r="T3653" s="13"/>
      <c r="U3653" s="13"/>
      <c r="V3653" s="13"/>
      <c r="W3653" s="13"/>
    </row>
    <row r="3654" spans="1:23" x14ac:dyDescent="0.2">
      <c r="A3654"/>
      <c r="B3654"/>
      <c r="C3654"/>
      <c r="D3654"/>
      <c r="E3654"/>
      <c r="F3654"/>
      <c r="G3654"/>
      <c r="H3654"/>
      <c r="I3654"/>
      <c r="J3654"/>
      <c r="K3654" s="13" t="s">
        <v>279</v>
      </c>
      <c r="L3654" s="13" t="s">
        <v>389</v>
      </c>
      <c r="M3654" s="13" t="s">
        <v>388</v>
      </c>
      <c r="N3654" s="15">
        <v>0</v>
      </c>
      <c r="O3654" s="16">
        <v>0</v>
      </c>
      <c r="P3654" s="17">
        <v>470.29161341595943</v>
      </c>
      <c r="Q3654" s="17">
        <v>0</v>
      </c>
      <c r="R3654" s="13"/>
      <c r="S3654" s="13"/>
      <c r="T3654" s="13"/>
      <c r="U3654" s="13"/>
      <c r="V3654" s="13"/>
      <c r="W3654" s="13"/>
    </row>
    <row r="3655" spans="1:23" x14ac:dyDescent="0.2">
      <c r="A3655"/>
      <c r="B3655"/>
      <c r="C3655"/>
      <c r="D3655"/>
      <c r="E3655"/>
      <c r="F3655"/>
      <c r="G3655"/>
      <c r="H3655"/>
      <c r="I3655"/>
      <c r="J3655"/>
      <c r="K3655" s="13" t="s">
        <v>279</v>
      </c>
      <c r="L3655" s="13" t="s">
        <v>450</v>
      </c>
      <c r="M3655" s="13" t="s">
        <v>368</v>
      </c>
      <c r="N3655" s="15">
        <v>0</v>
      </c>
      <c r="O3655" s="16">
        <v>0</v>
      </c>
      <c r="P3655" s="17">
        <v>16.550800001950865</v>
      </c>
      <c r="Q3655" s="17">
        <v>0</v>
      </c>
      <c r="R3655" s="13"/>
      <c r="S3655" s="13"/>
      <c r="T3655" s="13"/>
      <c r="U3655" s="13"/>
      <c r="V3655" s="13"/>
      <c r="W3655" s="13"/>
    </row>
    <row r="3656" spans="1:23" x14ac:dyDescent="0.2">
      <c r="A3656"/>
      <c r="B3656"/>
      <c r="C3656"/>
      <c r="D3656"/>
      <c r="E3656"/>
      <c r="F3656"/>
      <c r="G3656"/>
      <c r="H3656"/>
      <c r="I3656"/>
      <c r="J3656"/>
      <c r="K3656" s="13" t="s">
        <v>279</v>
      </c>
      <c r="L3656" s="13" t="s">
        <v>436</v>
      </c>
      <c r="M3656" s="13" t="s">
        <v>487</v>
      </c>
      <c r="N3656" s="15">
        <v>0</v>
      </c>
      <c r="O3656" s="16">
        <v>0</v>
      </c>
      <c r="P3656" s="17">
        <v>33.975999997489616</v>
      </c>
      <c r="Q3656" s="17">
        <v>0</v>
      </c>
      <c r="R3656" s="13"/>
      <c r="S3656" s="13"/>
      <c r="T3656" s="13"/>
      <c r="U3656" s="13"/>
      <c r="V3656" s="13"/>
      <c r="W3656" s="13"/>
    </row>
    <row r="3657" spans="1:23" x14ac:dyDescent="0.2">
      <c r="A3657"/>
      <c r="B3657"/>
      <c r="C3657"/>
      <c r="D3657"/>
      <c r="E3657"/>
      <c r="F3657"/>
      <c r="G3657"/>
      <c r="H3657"/>
      <c r="I3657"/>
      <c r="J3657"/>
      <c r="K3657" s="13" t="s">
        <v>279</v>
      </c>
      <c r="L3657" s="13" t="s">
        <v>392</v>
      </c>
      <c r="M3657" s="13" t="s">
        <v>437</v>
      </c>
      <c r="N3657" s="15">
        <v>0</v>
      </c>
      <c r="O3657" s="16">
        <v>0</v>
      </c>
      <c r="P3657" s="17">
        <v>3.3814499999555525</v>
      </c>
      <c r="Q3657" s="17">
        <v>0</v>
      </c>
      <c r="R3657" s="13"/>
      <c r="S3657" s="13"/>
      <c r="T3657" s="13"/>
      <c r="U3657" s="13"/>
      <c r="V3657" s="13"/>
      <c r="W3657" s="13"/>
    </row>
    <row r="3658" spans="1:23" x14ac:dyDescent="0.2">
      <c r="A3658"/>
      <c r="B3658"/>
      <c r="C3658"/>
      <c r="D3658"/>
      <c r="E3658"/>
      <c r="F3658"/>
      <c r="G3658"/>
      <c r="H3658"/>
      <c r="I3658"/>
      <c r="J3658"/>
      <c r="K3658" s="13" t="s">
        <v>279</v>
      </c>
      <c r="L3658" s="13" t="s">
        <v>486</v>
      </c>
      <c r="M3658" s="13" t="s">
        <v>439</v>
      </c>
      <c r="N3658" s="15">
        <v>0</v>
      </c>
      <c r="O3658" s="16">
        <v>0</v>
      </c>
      <c r="P3658" s="17">
        <v>122.21689999951749</v>
      </c>
      <c r="Q3658" s="17">
        <v>0</v>
      </c>
      <c r="R3658" s="13"/>
      <c r="S3658" s="13"/>
      <c r="T3658" s="13"/>
      <c r="U3658" s="13"/>
      <c r="V3658" s="13"/>
      <c r="W3658" s="13"/>
    </row>
    <row r="3659" spans="1:23" x14ac:dyDescent="0.2">
      <c r="A3659"/>
      <c r="B3659"/>
      <c r="C3659"/>
      <c r="D3659"/>
      <c r="E3659"/>
      <c r="F3659"/>
      <c r="G3659"/>
      <c r="H3659"/>
      <c r="I3659"/>
      <c r="J3659"/>
      <c r="K3659" s="13" t="s">
        <v>279</v>
      </c>
      <c r="L3659" s="13" t="s">
        <v>465</v>
      </c>
      <c r="M3659" s="13" t="s">
        <v>514</v>
      </c>
      <c r="N3659" s="15">
        <v>0</v>
      </c>
      <c r="O3659" s="16">
        <v>0</v>
      </c>
      <c r="P3659" s="17">
        <v>5.2503999988994554</v>
      </c>
      <c r="Q3659" s="17">
        <v>0</v>
      </c>
      <c r="R3659" s="13"/>
      <c r="S3659" s="13"/>
      <c r="T3659" s="13"/>
      <c r="U3659" s="13"/>
      <c r="V3659" s="13"/>
      <c r="W3659" s="13"/>
    </row>
    <row r="3660" spans="1:23" x14ac:dyDescent="0.2">
      <c r="A3660"/>
      <c r="B3660"/>
      <c r="C3660"/>
      <c r="D3660"/>
      <c r="E3660"/>
      <c r="F3660"/>
      <c r="G3660"/>
      <c r="H3660"/>
      <c r="I3660"/>
      <c r="J3660"/>
      <c r="K3660" s="13" t="s">
        <v>279</v>
      </c>
      <c r="L3660" s="13" t="s">
        <v>512</v>
      </c>
      <c r="M3660" s="13" t="s">
        <v>466</v>
      </c>
      <c r="N3660" s="15">
        <v>0</v>
      </c>
      <c r="O3660" s="16">
        <v>0</v>
      </c>
      <c r="P3660" s="17">
        <v>230.03234999840129</v>
      </c>
      <c r="Q3660" s="17">
        <v>0</v>
      </c>
      <c r="R3660" s="13"/>
      <c r="S3660" s="13"/>
      <c r="T3660" s="13"/>
      <c r="U3660" s="13"/>
      <c r="V3660" s="13"/>
      <c r="W3660" s="13"/>
    </row>
    <row r="3661" spans="1:23" x14ac:dyDescent="0.2">
      <c r="A3661"/>
      <c r="B3661"/>
      <c r="C3661"/>
      <c r="D3661"/>
      <c r="E3661"/>
      <c r="F3661"/>
      <c r="G3661"/>
      <c r="H3661"/>
      <c r="I3661"/>
      <c r="J3661"/>
      <c r="K3661" s="13" t="s">
        <v>279</v>
      </c>
      <c r="L3661" s="13" t="s">
        <v>532</v>
      </c>
      <c r="M3661" s="13" t="s">
        <v>620</v>
      </c>
      <c r="N3661" s="15">
        <v>0</v>
      </c>
      <c r="O3661" s="16">
        <v>0</v>
      </c>
      <c r="P3661" s="17">
        <v>15.266049997814513</v>
      </c>
      <c r="Q3661" s="17">
        <v>0</v>
      </c>
      <c r="R3661" s="13"/>
      <c r="S3661" s="13"/>
      <c r="T3661" s="13"/>
      <c r="U3661" s="13"/>
      <c r="V3661" s="13"/>
      <c r="W3661" s="13"/>
    </row>
    <row r="3662" spans="1:23" x14ac:dyDescent="0.2">
      <c r="A3662"/>
      <c r="B3662"/>
      <c r="C3662"/>
      <c r="D3662"/>
      <c r="E3662"/>
      <c r="F3662"/>
      <c r="G3662"/>
      <c r="H3662"/>
      <c r="I3662"/>
      <c r="J3662"/>
      <c r="K3662" s="13" t="s">
        <v>279</v>
      </c>
      <c r="L3662" s="13" t="s">
        <v>513</v>
      </c>
      <c r="M3662" s="13" t="s">
        <v>533</v>
      </c>
      <c r="N3662" s="15">
        <v>0</v>
      </c>
      <c r="O3662" s="16">
        <v>0</v>
      </c>
      <c r="P3662" s="17">
        <v>4.0190324751445319</v>
      </c>
      <c r="Q3662" s="17">
        <v>0</v>
      </c>
      <c r="R3662" s="13"/>
      <c r="S3662" s="13"/>
      <c r="T3662" s="13"/>
      <c r="U3662" s="13"/>
      <c r="V3662" s="13"/>
      <c r="W3662" s="13"/>
    </row>
    <row r="3663" spans="1:23" x14ac:dyDescent="0.2">
      <c r="A3663"/>
      <c r="B3663"/>
      <c r="C3663"/>
      <c r="D3663"/>
      <c r="E3663"/>
      <c r="F3663"/>
      <c r="G3663"/>
      <c r="H3663"/>
      <c r="I3663"/>
      <c r="J3663"/>
      <c r="K3663" s="13" t="s">
        <v>279</v>
      </c>
      <c r="L3663" s="13" t="s">
        <v>440</v>
      </c>
      <c r="M3663" s="13" t="s">
        <v>441</v>
      </c>
      <c r="N3663" s="15">
        <v>5</v>
      </c>
      <c r="O3663" s="16">
        <v>0</v>
      </c>
      <c r="P3663" s="17">
        <v>0</v>
      </c>
      <c r="Q3663" s="17">
        <v>0</v>
      </c>
      <c r="R3663" s="13"/>
      <c r="S3663" s="13"/>
      <c r="T3663" s="13"/>
      <c r="U3663" s="13"/>
      <c r="V3663" s="13"/>
      <c r="W3663" s="13"/>
    </row>
    <row r="3664" spans="1:23" x14ac:dyDescent="0.2">
      <c r="A3664"/>
      <c r="B3664"/>
      <c r="C3664"/>
      <c r="D3664"/>
      <c r="E3664"/>
      <c r="F3664"/>
      <c r="G3664"/>
      <c r="H3664"/>
      <c r="I3664"/>
      <c r="J3664"/>
      <c r="K3664" s="13" t="s">
        <v>279</v>
      </c>
      <c r="L3664" s="13" t="s">
        <v>394</v>
      </c>
      <c r="M3664" s="13" t="s">
        <v>359</v>
      </c>
      <c r="N3664" s="15">
        <v>0</v>
      </c>
      <c r="O3664" s="16">
        <v>0</v>
      </c>
      <c r="P3664" s="17">
        <v>3.9590500000616768</v>
      </c>
      <c r="Q3664" s="17">
        <v>0</v>
      </c>
      <c r="R3664" s="13"/>
      <c r="S3664" s="13"/>
      <c r="T3664" s="13"/>
      <c r="U3664" s="13"/>
      <c r="V3664" s="13"/>
      <c r="W3664" s="13"/>
    </row>
    <row r="3665" spans="1:23" x14ac:dyDescent="0.2">
      <c r="A3665"/>
      <c r="B3665"/>
      <c r="C3665"/>
      <c r="D3665"/>
      <c r="E3665"/>
      <c r="F3665"/>
      <c r="G3665"/>
      <c r="H3665"/>
      <c r="I3665"/>
      <c r="J3665"/>
      <c r="K3665" s="13" t="s">
        <v>279</v>
      </c>
      <c r="L3665" s="13" t="s">
        <v>395</v>
      </c>
      <c r="M3665" s="13" t="s">
        <v>602</v>
      </c>
      <c r="N3665" s="15">
        <v>2</v>
      </c>
      <c r="O3665" s="16">
        <v>0</v>
      </c>
      <c r="P3665" s="17">
        <v>0</v>
      </c>
      <c r="Q3665" s="17">
        <v>0</v>
      </c>
      <c r="R3665" s="13"/>
      <c r="S3665" s="13"/>
      <c r="T3665" s="13"/>
      <c r="U3665" s="13"/>
      <c r="V3665" s="13"/>
      <c r="W3665" s="13"/>
    </row>
    <row r="3666" spans="1:23" x14ac:dyDescent="0.2">
      <c r="A3666"/>
      <c r="B3666"/>
      <c r="C3666"/>
      <c r="D3666"/>
      <c r="E3666"/>
      <c r="F3666"/>
      <c r="G3666"/>
      <c r="H3666"/>
      <c r="I3666"/>
      <c r="J3666"/>
      <c r="K3666" s="13" t="s">
        <v>279</v>
      </c>
      <c r="L3666" s="13" t="s">
        <v>399</v>
      </c>
      <c r="M3666" s="13" t="s">
        <v>400</v>
      </c>
      <c r="N3666" s="15">
        <v>0</v>
      </c>
      <c r="O3666" s="16">
        <v>0</v>
      </c>
      <c r="P3666" s="17">
        <v>26.781650001639289</v>
      </c>
      <c r="Q3666" s="17">
        <v>0</v>
      </c>
      <c r="R3666" s="13"/>
      <c r="S3666" s="13"/>
      <c r="T3666" s="13"/>
      <c r="U3666" s="13"/>
      <c r="V3666" s="13"/>
      <c r="W3666" s="13"/>
    </row>
    <row r="3667" spans="1:23" x14ac:dyDescent="0.2">
      <c r="A3667"/>
      <c r="B3667"/>
      <c r="C3667"/>
      <c r="D3667"/>
      <c r="E3667"/>
      <c r="F3667"/>
      <c r="G3667"/>
      <c r="H3667"/>
      <c r="I3667"/>
      <c r="J3667"/>
      <c r="K3667" s="13" t="s">
        <v>279</v>
      </c>
      <c r="L3667" s="13" t="s">
        <v>401</v>
      </c>
      <c r="M3667" s="13" t="s">
        <v>360</v>
      </c>
      <c r="N3667" s="15">
        <v>0</v>
      </c>
      <c r="O3667" s="16">
        <v>0</v>
      </c>
      <c r="P3667" s="17">
        <v>140.65445000475978</v>
      </c>
      <c r="Q3667" s="17">
        <v>0</v>
      </c>
      <c r="R3667" s="13"/>
      <c r="S3667" s="13"/>
      <c r="T3667" s="13"/>
      <c r="U3667" s="13"/>
      <c r="V3667" s="13"/>
      <c r="W3667" s="13"/>
    </row>
    <row r="3668" spans="1:23" x14ac:dyDescent="0.2">
      <c r="A3668"/>
      <c r="B3668"/>
      <c r="C3668"/>
      <c r="D3668"/>
      <c r="E3668"/>
      <c r="F3668"/>
      <c r="G3668"/>
      <c r="H3668"/>
      <c r="I3668"/>
      <c r="J3668"/>
      <c r="K3668" s="13" t="s">
        <v>279</v>
      </c>
      <c r="L3668" s="13" t="s">
        <v>511</v>
      </c>
      <c r="M3668" s="13" t="s">
        <v>377</v>
      </c>
      <c r="N3668" s="15">
        <v>0</v>
      </c>
      <c r="O3668" s="16">
        <v>0</v>
      </c>
      <c r="P3668" s="17">
        <v>11.011250013815589</v>
      </c>
      <c r="Q3668" s="17">
        <v>0</v>
      </c>
      <c r="R3668" s="13"/>
      <c r="S3668" s="13"/>
      <c r="T3668" s="13"/>
      <c r="U3668" s="13"/>
      <c r="V3668" s="13"/>
      <c r="W3668" s="13"/>
    </row>
    <row r="3669" spans="1:23" x14ac:dyDescent="0.2">
      <c r="A3669"/>
      <c r="B3669"/>
      <c r="C3669"/>
      <c r="D3669"/>
      <c r="E3669"/>
      <c r="F3669"/>
      <c r="G3669"/>
      <c r="H3669"/>
      <c r="I3669"/>
      <c r="J3669"/>
      <c r="K3669" s="13" t="s">
        <v>279</v>
      </c>
      <c r="L3669" s="13" t="s">
        <v>402</v>
      </c>
      <c r="M3669" s="13" t="s">
        <v>403</v>
      </c>
      <c r="N3669" s="15">
        <v>0</v>
      </c>
      <c r="O3669" s="16">
        <v>0</v>
      </c>
      <c r="P3669" s="17">
        <v>564.96819997546254</v>
      </c>
      <c r="Q3669" s="17">
        <v>0</v>
      </c>
      <c r="R3669" s="13"/>
      <c r="S3669" s="13"/>
      <c r="T3669" s="13"/>
      <c r="U3669" s="13"/>
      <c r="V3669" s="13"/>
      <c r="W3669" s="13"/>
    </row>
    <row r="3670" spans="1:23" x14ac:dyDescent="0.2">
      <c r="A3670"/>
      <c r="B3670"/>
      <c r="C3670"/>
      <c r="D3670"/>
      <c r="E3670"/>
      <c r="F3670"/>
      <c r="G3670"/>
      <c r="H3670"/>
      <c r="I3670"/>
      <c r="J3670"/>
      <c r="K3670" s="13" t="s">
        <v>279</v>
      </c>
      <c r="L3670" s="13" t="s">
        <v>448</v>
      </c>
      <c r="M3670" s="13" t="s">
        <v>366</v>
      </c>
      <c r="N3670" s="15">
        <v>0</v>
      </c>
      <c r="O3670" s="16">
        <v>0</v>
      </c>
      <c r="P3670" s="17">
        <v>34.390450003641142</v>
      </c>
      <c r="Q3670" s="17">
        <v>0</v>
      </c>
      <c r="R3670" s="13"/>
      <c r="S3670" s="13"/>
      <c r="T3670" s="13"/>
      <c r="U3670" s="13"/>
      <c r="V3670" s="13"/>
      <c r="W3670" s="13"/>
    </row>
    <row r="3671" spans="1:23" x14ac:dyDescent="0.2">
      <c r="A3671"/>
      <c r="B3671"/>
      <c r="C3671"/>
      <c r="D3671"/>
      <c r="E3671"/>
      <c r="F3671"/>
      <c r="G3671"/>
      <c r="H3671"/>
      <c r="I3671"/>
      <c r="J3671"/>
      <c r="K3671" s="13" t="s">
        <v>279</v>
      </c>
      <c r="L3671" s="13" t="s">
        <v>404</v>
      </c>
      <c r="M3671" s="13" t="s">
        <v>405</v>
      </c>
      <c r="N3671" s="15">
        <v>0</v>
      </c>
      <c r="O3671" s="16">
        <v>0</v>
      </c>
      <c r="P3671" s="17">
        <v>69.454699988804336</v>
      </c>
      <c r="Q3671" s="17">
        <v>375.7009440205378</v>
      </c>
      <c r="R3671" s="13"/>
      <c r="S3671" s="13"/>
      <c r="T3671" s="13"/>
      <c r="U3671" s="13"/>
      <c r="V3671" s="13"/>
      <c r="W3671" s="13"/>
    </row>
    <row r="3672" spans="1:23" x14ac:dyDescent="0.2">
      <c r="A3672"/>
      <c r="B3672"/>
      <c r="C3672"/>
      <c r="D3672"/>
      <c r="E3672"/>
      <c r="F3672"/>
      <c r="G3672"/>
      <c r="H3672"/>
      <c r="I3672"/>
      <c r="J3672"/>
      <c r="K3672" s="13" t="s">
        <v>279</v>
      </c>
      <c r="L3672" s="13" t="s">
        <v>381</v>
      </c>
      <c r="M3672" s="13" t="s">
        <v>382</v>
      </c>
      <c r="N3672" s="15">
        <v>21</v>
      </c>
      <c r="O3672" s="16">
        <v>0</v>
      </c>
      <c r="P3672" s="17">
        <v>0</v>
      </c>
      <c r="Q3672" s="17">
        <v>0</v>
      </c>
      <c r="R3672" s="13"/>
      <c r="S3672" s="13"/>
      <c r="T3672" s="13"/>
      <c r="U3672" s="13"/>
      <c r="V3672" s="13"/>
      <c r="W3672" s="13"/>
    </row>
    <row r="3673" spans="1:23" x14ac:dyDescent="0.2">
      <c r="A3673"/>
      <c r="B3673"/>
      <c r="C3673"/>
      <c r="D3673"/>
      <c r="E3673"/>
      <c r="F3673"/>
      <c r="G3673"/>
      <c r="H3673"/>
      <c r="I3673"/>
      <c r="J3673"/>
      <c r="K3673" s="13" t="s">
        <v>279</v>
      </c>
      <c r="L3673" s="13" t="s">
        <v>411</v>
      </c>
      <c r="M3673" s="13" t="s">
        <v>362</v>
      </c>
      <c r="N3673" s="15">
        <v>0</v>
      </c>
      <c r="O3673" s="16">
        <v>66.083221574975582</v>
      </c>
      <c r="P3673" s="17">
        <v>0</v>
      </c>
      <c r="Q3673" s="17">
        <v>0</v>
      </c>
      <c r="R3673" s="13"/>
      <c r="S3673" s="13"/>
      <c r="T3673" s="13"/>
      <c r="U3673" s="13"/>
      <c r="V3673" s="13"/>
      <c r="W3673" s="13"/>
    </row>
    <row r="3674" spans="1:23" x14ac:dyDescent="0.2">
      <c r="A3674"/>
      <c r="B3674"/>
      <c r="C3674"/>
      <c r="D3674"/>
      <c r="E3674"/>
      <c r="F3674"/>
      <c r="G3674"/>
      <c r="H3674"/>
      <c r="I3674"/>
      <c r="J3674"/>
      <c r="K3674" s="13" t="s">
        <v>279</v>
      </c>
      <c r="L3674" s="13" t="s">
        <v>411</v>
      </c>
      <c r="M3674" s="13" t="s">
        <v>362</v>
      </c>
      <c r="N3674" s="15">
        <v>2</v>
      </c>
      <c r="O3674" s="16">
        <v>0</v>
      </c>
      <c r="P3674" s="17">
        <v>0</v>
      </c>
      <c r="Q3674" s="17">
        <v>0</v>
      </c>
      <c r="R3674" s="13"/>
      <c r="S3674" s="13"/>
      <c r="T3674" s="13"/>
      <c r="U3674" s="13"/>
      <c r="V3674" s="13"/>
      <c r="W3674" s="13"/>
    </row>
    <row r="3675" spans="1:23" x14ac:dyDescent="0.2">
      <c r="A3675"/>
      <c r="B3675"/>
      <c r="C3675"/>
      <c r="D3675"/>
      <c r="E3675"/>
      <c r="F3675"/>
      <c r="G3675"/>
      <c r="H3675"/>
      <c r="I3675"/>
      <c r="J3675"/>
      <c r="K3675" s="13" t="s">
        <v>279</v>
      </c>
      <c r="L3675" s="13" t="s">
        <v>605</v>
      </c>
      <c r="M3675" s="13" t="s">
        <v>429</v>
      </c>
      <c r="N3675" s="15">
        <v>0</v>
      </c>
      <c r="O3675" s="16">
        <v>4.150000000372529</v>
      </c>
      <c r="P3675" s="17">
        <v>0</v>
      </c>
      <c r="Q3675" s="17">
        <v>0</v>
      </c>
      <c r="R3675" s="13"/>
      <c r="S3675" s="13"/>
      <c r="T3675" s="13"/>
      <c r="U3675" s="13"/>
      <c r="V3675" s="13"/>
      <c r="W3675" s="13"/>
    </row>
    <row r="3676" spans="1:23" x14ac:dyDescent="0.2">
      <c r="A3676"/>
      <c r="B3676"/>
      <c r="C3676"/>
      <c r="D3676"/>
      <c r="E3676"/>
      <c r="F3676"/>
      <c r="G3676"/>
      <c r="H3676"/>
      <c r="I3676"/>
      <c r="J3676"/>
      <c r="K3676" s="13" t="s">
        <v>279</v>
      </c>
      <c r="L3676" s="13" t="s">
        <v>606</v>
      </c>
      <c r="M3676" s="13" t="s">
        <v>430</v>
      </c>
      <c r="N3676" s="15">
        <v>2</v>
      </c>
      <c r="O3676" s="16">
        <v>0</v>
      </c>
      <c r="P3676" s="17">
        <v>0</v>
      </c>
      <c r="Q3676" s="17">
        <v>0</v>
      </c>
      <c r="R3676" s="13"/>
      <c r="S3676" s="13"/>
      <c r="T3676" s="13"/>
      <c r="U3676" s="13"/>
      <c r="V3676" s="13"/>
      <c r="W3676" s="13"/>
    </row>
    <row r="3677" spans="1:23" x14ac:dyDescent="0.2">
      <c r="A3677"/>
      <c r="B3677"/>
      <c r="C3677"/>
      <c r="D3677"/>
      <c r="E3677"/>
      <c r="F3677"/>
      <c r="G3677"/>
      <c r="H3677"/>
      <c r="I3677"/>
      <c r="J3677"/>
      <c r="K3677" s="13" t="s">
        <v>279</v>
      </c>
      <c r="L3677" s="13" t="s">
        <v>623</v>
      </c>
      <c r="M3677" s="13" t="s">
        <v>530</v>
      </c>
      <c r="N3677" s="15">
        <v>0</v>
      </c>
      <c r="O3677" s="16">
        <v>117.19031904568725</v>
      </c>
      <c r="P3677" s="17">
        <v>0</v>
      </c>
      <c r="Q3677" s="17">
        <v>0</v>
      </c>
      <c r="R3677" s="13"/>
      <c r="S3677" s="13"/>
      <c r="T3677" s="13"/>
      <c r="U3677" s="13"/>
      <c r="V3677" s="13"/>
      <c r="W3677" s="13"/>
    </row>
    <row r="3678" spans="1:23" x14ac:dyDescent="0.2">
      <c r="A3678"/>
      <c r="B3678"/>
      <c r="C3678"/>
      <c r="D3678"/>
      <c r="E3678"/>
      <c r="F3678"/>
      <c r="G3678"/>
      <c r="H3678"/>
      <c r="I3678"/>
      <c r="J3678"/>
      <c r="K3678" s="13" t="s">
        <v>279</v>
      </c>
      <c r="L3678" s="13" t="s">
        <v>607</v>
      </c>
      <c r="M3678" s="13" t="s">
        <v>431</v>
      </c>
      <c r="N3678" s="15">
        <v>3</v>
      </c>
      <c r="O3678" s="16">
        <v>0</v>
      </c>
      <c r="P3678" s="17">
        <v>0</v>
      </c>
      <c r="Q3678" s="17">
        <v>0</v>
      </c>
      <c r="R3678" s="13"/>
      <c r="S3678" s="13"/>
      <c r="T3678" s="13"/>
      <c r="U3678" s="13"/>
      <c r="V3678" s="13"/>
      <c r="W3678" s="13"/>
    </row>
    <row r="3679" spans="1:23" x14ac:dyDescent="0.2">
      <c r="A3679"/>
      <c r="B3679"/>
      <c r="C3679"/>
      <c r="D3679"/>
      <c r="E3679"/>
      <c r="F3679"/>
      <c r="G3679"/>
      <c r="H3679"/>
      <c r="I3679"/>
      <c r="J3679"/>
      <c r="K3679" s="13" t="s">
        <v>279</v>
      </c>
      <c r="L3679" s="13" t="s">
        <v>608</v>
      </c>
      <c r="M3679" s="13" t="s">
        <v>432</v>
      </c>
      <c r="N3679" s="15">
        <v>3</v>
      </c>
      <c r="O3679" s="16">
        <v>0</v>
      </c>
      <c r="P3679" s="17">
        <v>0</v>
      </c>
      <c r="Q3679" s="17">
        <v>0</v>
      </c>
      <c r="R3679" s="13"/>
      <c r="S3679" s="13"/>
      <c r="T3679" s="13"/>
      <c r="U3679" s="13"/>
      <c r="V3679" s="13"/>
      <c r="W3679" s="13"/>
    </row>
    <row r="3680" spans="1:23" x14ac:dyDescent="0.2">
      <c r="A3680"/>
      <c r="B3680"/>
      <c r="C3680"/>
      <c r="D3680"/>
      <c r="E3680"/>
      <c r="F3680"/>
      <c r="G3680"/>
      <c r="H3680"/>
      <c r="I3680"/>
      <c r="J3680"/>
      <c r="K3680" s="13" t="s">
        <v>279</v>
      </c>
      <c r="L3680" s="13" t="s">
        <v>615</v>
      </c>
      <c r="M3680" s="13" t="s">
        <v>449</v>
      </c>
      <c r="N3680" s="15">
        <v>1</v>
      </c>
      <c r="O3680" s="16">
        <v>0</v>
      </c>
      <c r="P3680" s="17">
        <v>0</v>
      </c>
      <c r="Q3680" s="17">
        <v>0</v>
      </c>
      <c r="R3680" s="13"/>
      <c r="S3680" s="13"/>
      <c r="T3680" s="13"/>
      <c r="U3680" s="13"/>
      <c r="V3680" s="13"/>
      <c r="W3680" s="13"/>
    </row>
    <row r="3681" spans="1:23" x14ac:dyDescent="0.2">
      <c r="A3681"/>
      <c r="B3681"/>
      <c r="C3681"/>
      <c r="D3681"/>
      <c r="E3681"/>
      <c r="F3681"/>
      <c r="G3681"/>
      <c r="H3681"/>
      <c r="I3681"/>
      <c r="J3681"/>
      <c r="K3681" s="13" t="s">
        <v>279</v>
      </c>
      <c r="L3681" s="13" t="s">
        <v>610</v>
      </c>
      <c r="M3681" s="13" t="s">
        <v>418</v>
      </c>
      <c r="N3681" s="15">
        <v>0</v>
      </c>
      <c r="O3681" s="16">
        <v>5.8584790223865353</v>
      </c>
      <c r="P3681" s="17">
        <v>0</v>
      </c>
      <c r="Q3681" s="17">
        <v>0</v>
      </c>
      <c r="R3681" s="13"/>
      <c r="S3681" s="13"/>
      <c r="T3681" s="13"/>
      <c r="U3681" s="13"/>
      <c r="V3681" s="13"/>
      <c r="W3681" s="13"/>
    </row>
    <row r="3682" spans="1:23" x14ac:dyDescent="0.2">
      <c r="A3682"/>
      <c r="B3682"/>
      <c r="C3682"/>
      <c r="D3682"/>
      <c r="E3682"/>
      <c r="F3682"/>
      <c r="G3682"/>
      <c r="H3682"/>
      <c r="I3682"/>
      <c r="J3682"/>
      <c r="K3682" s="13" t="s">
        <v>279</v>
      </c>
      <c r="L3682" s="13" t="s">
        <v>383</v>
      </c>
      <c r="M3682" s="13" t="s">
        <v>420</v>
      </c>
      <c r="N3682" s="15">
        <v>12</v>
      </c>
      <c r="O3682" s="16">
        <v>0</v>
      </c>
      <c r="P3682" s="17">
        <v>0</v>
      </c>
      <c r="Q3682" s="17">
        <v>0</v>
      </c>
      <c r="R3682" s="13"/>
      <c r="S3682" s="13"/>
      <c r="T3682" s="13"/>
      <c r="U3682" s="13"/>
      <c r="V3682" s="13"/>
      <c r="W3682" s="13"/>
    </row>
    <row r="3683" spans="1:23" x14ac:dyDescent="0.2">
      <c r="A3683"/>
      <c r="B3683"/>
      <c r="C3683"/>
      <c r="D3683"/>
      <c r="E3683"/>
      <c r="F3683"/>
      <c r="G3683"/>
      <c r="H3683"/>
      <c r="I3683"/>
      <c r="J3683"/>
      <c r="K3683" s="13" t="s">
        <v>279</v>
      </c>
      <c r="L3683" s="13" t="s">
        <v>528</v>
      </c>
      <c r="M3683" s="13" t="s">
        <v>384</v>
      </c>
      <c r="N3683" s="15">
        <v>0</v>
      </c>
      <c r="O3683" s="16">
        <v>208.52361416224824</v>
      </c>
      <c r="P3683" s="17">
        <v>0</v>
      </c>
      <c r="Q3683" s="17">
        <v>0</v>
      </c>
      <c r="R3683" s="13"/>
      <c r="S3683" s="13"/>
      <c r="T3683" s="13"/>
      <c r="U3683" s="13"/>
      <c r="V3683" s="13"/>
      <c r="W3683" s="13"/>
    </row>
    <row r="3684" spans="1:23" x14ac:dyDescent="0.2">
      <c r="A3684"/>
      <c r="B3684"/>
      <c r="C3684"/>
      <c r="D3684"/>
      <c r="E3684"/>
      <c r="F3684"/>
      <c r="G3684"/>
      <c r="H3684"/>
      <c r="I3684"/>
      <c r="J3684"/>
      <c r="K3684" s="13" t="s">
        <v>279</v>
      </c>
      <c r="L3684" s="13" t="s">
        <v>613</v>
      </c>
      <c r="M3684" s="13" t="s">
        <v>444</v>
      </c>
      <c r="N3684" s="15">
        <v>0</v>
      </c>
      <c r="O3684" s="16">
        <v>37.017411610801439</v>
      </c>
      <c r="P3684" s="17">
        <v>0</v>
      </c>
      <c r="Q3684" s="17">
        <v>0</v>
      </c>
      <c r="R3684" s="13"/>
      <c r="S3684" s="13"/>
      <c r="T3684" s="13"/>
      <c r="U3684" s="13"/>
      <c r="V3684" s="13"/>
      <c r="W3684" s="13"/>
    </row>
    <row r="3685" spans="1:23" x14ac:dyDescent="0.2">
      <c r="A3685"/>
      <c r="B3685"/>
      <c r="C3685"/>
      <c r="D3685"/>
      <c r="E3685"/>
      <c r="F3685"/>
      <c r="G3685"/>
      <c r="H3685"/>
      <c r="I3685"/>
      <c r="J3685"/>
      <c r="K3685" s="13" t="s">
        <v>279</v>
      </c>
      <c r="L3685" s="13" t="s">
        <v>446</v>
      </c>
      <c r="M3685" s="13" t="s">
        <v>371</v>
      </c>
      <c r="N3685" s="15">
        <v>14</v>
      </c>
      <c r="O3685" s="16">
        <v>0</v>
      </c>
      <c r="P3685" s="17">
        <v>0</v>
      </c>
      <c r="Q3685" s="17">
        <v>0</v>
      </c>
      <c r="R3685" s="13"/>
      <c r="S3685" s="13"/>
      <c r="T3685" s="13"/>
      <c r="U3685" s="13"/>
      <c r="V3685" s="13"/>
      <c r="W3685" s="13"/>
    </row>
    <row r="3686" spans="1:23" x14ac:dyDescent="0.2">
      <c r="A3686"/>
      <c r="B3686"/>
      <c r="C3686"/>
      <c r="D3686"/>
      <c r="E3686"/>
      <c r="F3686"/>
      <c r="G3686"/>
      <c r="H3686"/>
      <c r="I3686"/>
      <c r="J3686"/>
      <c r="K3686" s="13" t="s">
        <v>279</v>
      </c>
      <c r="L3686" s="13" t="s">
        <v>424</v>
      </c>
      <c r="M3686" s="13" t="s">
        <v>468</v>
      </c>
      <c r="N3686" s="15">
        <v>0</v>
      </c>
      <c r="O3686" s="16">
        <v>0</v>
      </c>
      <c r="P3686" s="17">
        <v>60.985854095524083</v>
      </c>
      <c r="Q3686" s="17">
        <v>0</v>
      </c>
      <c r="R3686" s="13"/>
      <c r="S3686" s="13"/>
      <c r="T3686" s="13"/>
      <c r="U3686" s="13"/>
      <c r="V3686" s="13"/>
      <c r="W3686" s="13"/>
    </row>
    <row r="3687" spans="1:23" x14ac:dyDescent="0.2">
      <c r="A3687"/>
      <c r="B3687"/>
      <c r="C3687"/>
      <c r="D3687"/>
      <c r="E3687"/>
      <c r="F3687"/>
      <c r="G3687"/>
      <c r="H3687"/>
      <c r="I3687"/>
      <c r="J3687"/>
      <c r="K3687" s="13" t="s">
        <v>279</v>
      </c>
      <c r="L3687" s="13" t="s">
        <v>484</v>
      </c>
      <c r="M3687" s="13" t="s">
        <v>529</v>
      </c>
      <c r="N3687" s="15">
        <v>0</v>
      </c>
      <c r="O3687" s="16">
        <v>7.900989055079183</v>
      </c>
      <c r="P3687" s="17">
        <v>0</v>
      </c>
      <c r="Q3687" s="17">
        <v>0</v>
      </c>
      <c r="R3687" s="13"/>
      <c r="S3687" s="13"/>
      <c r="T3687" s="13"/>
      <c r="U3687" s="13"/>
      <c r="V3687" s="13"/>
      <c r="W3687" s="13"/>
    </row>
    <row r="3688" spans="1:23" x14ac:dyDescent="0.2">
      <c r="A3688"/>
      <c r="B3688"/>
      <c r="C3688"/>
      <c r="D3688"/>
      <c r="E3688"/>
      <c r="F3688"/>
      <c r="G3688"/>
      <c r="H3688"/>
      <c r="I3688"/>
      <c r="J3688"/>
      <c r="K3688" s="13" t="s">
        <v>279</v>
      </c>
      <c r="L3688" s="13" t="s">
        <v>627</v>
      </c>
      <c r="M3688" s="13" t="s">
        <v>628</v>
      </c>
      <c r="N3688" s="15">
        <v>0</v>
      </c>
      <c r="O3688" s="16">
        <v>8.9685500243109946</v>
      </c>
      <c r="P3688" s="17">
        <v>0</v>
      </c>
      <c r="Q3688" s="17">
        <v>0</v>
      </c>
      <c r="R3688" s="13"/>
      <c r="S3688" s="13"/>
      <c r="T3688" s="13"/>
      <c r="U3688" s="13"/>
      <c r="V3688" s="13"/>
      <c r="W3688" s="13"/>
    </row>
    <row r="3689" spans="1:23" x14ac:dyDescent="0.2">
      <c r="A3689"/>
      <c r="B3689"/>
      <c r="C3689"/>
      <c r="D3689"/>
      <c r="E3689"/>
      <c r="F3689"/>
      <c r="G3689"/>
      <c r="H3689"/>
      <c r="I3689"/>
      <c r="J3689"/>
      <c r="K3689" s="13" t="s">
        <v>279</v>
      </c>
      <c r="L3689" s="13" t="s">
        <v>469</v>
      </c>
      <c r="M3689" s="13" t="s">
        <v>426</v>
      </c>
      <c r="N3689" s="15">
        <v>2</v>
      </c>
      <c r="O3689" s="16">
        <v>0</v>
      </c>
      <c r="P3689" s="17">
        <v>0</v>
      </c>
      <c r="Q3689" s="17">
        <v>0</v>
      </c>
      <c r="R3689" s="13"/>
      <c r="S3689" s="13"/>
      <c r="T3689" s="13"/>
      <c r="U3689" s="13"/>
      <c r="V3689" s="13"/>
      <c r="W3689" s="13"/>
    </row>
    <row r="3690" spans="1:23" x14ac:dyDescent="0.2">
      <c r="A3690"/>
      <c r="B3690"/>
      <c r="C3690"/>
      <c r="D3690"/>
      <c r="E3690"/>
      <c r="F3690"/>
      <c r="G3690"/>
      <c r="H3690"/>
      <c r="I3690"/>
      <c r="J3690"/>
      <c r="K3690" s="13" t="s">
        <v>281</v>
      </c>
      <c r="L3690" s="13" t="s">
        <v>435</v>
      </c>
      <c r="M3690" s="13" t="s">
        <v>364</v>
      </c>
      <c r="N3690" s="15">
        <v>0</v>
      </c>
      <c r="O3690" s="16">
        <v>0</v>
      </c>
      <c r="P3690" s="17">
        <v>4.3015000007903428</v>
      </c>
      <c r="Q3690" s="17">
        <v>0</v>
      </c>
      <c r="R3690" s="13"/>
      <c r="S3690" s="13"/>
      <c r="T3690" s="13"/>
      <c r="U3690" s="13"/>
      <c r="V3690" s="13"/>
      <c r="W3690" s="13"/>
    </row>
    <row r="3691" spans="1:23" x14ac:dyDescent="0.2">
      <c r="A3691"/>
      <c r="B3691"/>
      <c r="C3691"/>
      <c r="D3691"/>
      <c r="E3691"/>
      <c r="F3691"/>
      <c r="G3691"/>
      <c r="H3691"/>
      <c r="I3691"/>
      <c r="J3691"/>
      <c r="K3691" s="13" t="s">
        <v>281</v>
      </c>
      <c r="L3691" s="13" t="s">
        <v>389</v>
      </c>
      <c r="M3691" s="13" t="s">
        <v>388</v>
      </c>
      <c r="N3691" s="15">
        <v>0</v>
      </c>
      <c r="O3691" s="16">
        <v>0</v>
      </c>
      <c r="P3691" s="17">
        <v>560.98254999742483</v>
      </c>
      <c r="Q3691" s="17">
        <v>0</v>
      </c>
      <c r="R3691" s="13"/>
      <c r="S3691" s="13"/>
      <c r="T3691" s="13"/>
      <c r="U3691" s="13"/>
      <c r="V3691" s="13"/>
      <c r="W3691" s="13"/>
    </row>
    <row r="3692" spans="1:23" x14ac:dyDescent="0.2">
      <c r="A3692"/>
      <c r="B3692"/>
      <c r="C3692"/>
      <c r="D3692"/>
      <c r="E3692"/>
      <c r="F3692"/>
      <c r="G3692"/>
      <c r="H3692"/>
      <c r="I3692"/>
      <c r="J3692"/>
      <c r="K3692" s="13" t="s">
        <v>281</v>
      </c>
      <c r="L3692" s="13" t="s">
        <v>391</v>
      </c>
      <c r="M3692" s="13" t="s">
        <v>358</v>
      </c>
      <c r="N3692" s="15">
        <v>0</v>
      </c>
      <c r="O3692" s="16">
        <v>0</v>
      </c>
      <c r="P3692" s="17">
        <v>120.20434998472743</v>
      </c>
      <c r="Q3692" s="17">
        <v>0</v>
      </c>
      <c r="R3692" s="13"/>
      <c r="S3692" s="13"/>
      <c r="T3692" s="13"/>
      <c r="U3692" s="13"/>
      <c r="V3692" s="13"/>
      <c r="W3692" s="13"/>
    </row>
    <row r="3693" spans="1:23" x14ac:dyDescent="0.2">
      <c r="A3693"/>
      <c r="B3693"/>
      <c r="C3693"/>
      <c r="D3693"/>
      <c r="E3693"/>
      <c r="F3693"/>
      <c r="G3693"/>
      <c r="H3693"/>
      <c r="I3693"/>
      <c r="J3693"/>
      <c r="K3693" s="13" t="s">
        <v>281</v>
      </c>
      <c r="L3693" s="13" t="s">
        <v>532</v>
      </c>
      <c r="M3693" s="13" t="s">
        <v>620</v>
      </c>
      <c r="N3693" s="15">
        <v>0</v>
      </c>
      <c r="O3693" s="16">
        <v>0</v>
      </c>
      <c r="P3693" s="17">
        <v>21.467200000239259</v>
      </c>
      <c r="Q3693" s="17">
        <v>0</v>
      </c>
      <c r="R3693" s="13"/>
      <c r="S3693" s="13"/>
      <c r="T3693" s="13"/>
      <c r="U3693" s="13"/>
      <c r="V3693" s="13"/>
      <c r="W3693" s="13"/>
    </row>
    <row r="3694" spans="1:23" x14ac:dyDescent="0.2">
      <c r="A3694"/>
      <c r="B3694"/>
      <c r="C3694"/>
      <c r="D3694"/>
      <c r="E3694"/>
      <c r="F3694"/>
      <c r="G3694"/>
      <c r="H3694"/>
      <c r="I3694"/>
      <c r="J3694"/>
      <c r="K3694" s="13" t="s">
        <v>281</v>
      </c>
      <c r="L3694" s="13" t="s">
        <v>513</v>
      </c>
      <c r="M3694" s="13" t="s">
        <v>533</v>
      </c>
      <c r="N3694" s="15">
        <v>0</v>
      </c>
      <c r="O3694" s="16">
        <v>0</v>
      </c>
      <c r="P3694" s="17">
        <v>55.122650000731369</v>
      </c>
      <c r="Q3694" s="17">
        <v>0</v>
      </c>
      <c r="R3694" s="13"/>
      <c r="S3694" s="13"/>
      <c r="T3694" s="13"/>
      <c r="U3694" s="13"/>
      <c r="V3694" s="13"/>
      <c r="W3694" s="13"/>
    </row>
    <row r="3695" spans="1:23" x14ac:dyDescent="0.2">
      <c r="A3695"/>
      <c r="B3695"/>
      <c r="C3695"/>
      <c r="D3695"/>
      <c r="E3695"/>
      <c r="F3695"/>
      <c r="G3695"/>
      <c r="H3695"/>
      <c r="I3695"/>
      <c r="J3695"/>
      <c r="K3695" s="13" t="s">
        <v>281</v>
      </c>
      <c r="L3695" s="13" t="s">
        <v>440</v>
      </c>
      <c r="M3695" s="13" t="s">
        <v>441</v>
      </c>
      <c r="N3695" s="15">
        <v>3</v>
      </c>
      <c r="O3695" s="16">
        <v>0</v>
      </c>
      <c r="P3695" s="17">
        <v>0</v>
      </c>
      <c r="Q3695" s="17">
        <v>0</v>
      </c>
      <c r="R3695" s="13"/>
      <c r="S3695" s="13"/>
      <c r="T3695" s="13"/>
      <c r="U3695" s="13"/>
      <c r="V3695" s="13"/>
      <c r="W3695" s="13"/>
    </row>
    <row r="3696" spans="1:23" x14ac:dyDescent="0.2">
      <c r="A3696"/>
      <c r="B3696"/>
      <c r="C3696"/>
      <c r="D3696"/>
      <c r="E3696"/>
      <c r="F3696"/>
      <c r="G3696"/>
      <c r="H3696"/>
      <c r="I3696"/>
      <c r="J3696"/>
      <c r="K3696" s="13" t="s">
        <v>281</v>
      </c>
      <c r="L3696" s="13" t="s">
        <v>395</v>
      </c>
      <c r="M3696" s="13" t="s">
        <v>602</v>
      </c>
      <c r="N3696" s="15">
        <v>1</v>
      </c>
      <c r="O3696" s="16">
        <v>0</v>
      </c>
      <c r="P3696" s="17">
        <v>0</v>
      </c>
      <c r="Q3696" s="17">
        <v>0</v>
      </c>
      <c r="R3696" s="13"/>
      <c r="S3696" s="13"/>
      <c r="T3696" s="13"/>
      <c r="U3696" s="13"/>
      <c r="V3696" s="13"/>
      <c r="W3696" s="13"/>
    </row>
    <row r="3697" spans="1:23" x14ac:dyDescent="0.2">
      <c r="A3697"/>
      <c r="B3697"/>
      <c r="C3697"/>
      <c r="D3697"/>
      <c r="E3697"/>
      <c r="F3697"/>
      <c r="G3697"/>
      <c r="H3697"/>
      <c r="I3697"/>
      <c r="J3697"/>
      <c r="K3697" s="13" t="s">
        <v>281</v>
      </c>
      <c r="L3697" s="13" t="s">
        <v>401</v>
      </c>
      <c r="M3697" s="13" t="s">
        <v>360</v>
      </c>
      <c r="N3697" s="15">
        <v>0</v>
      </c>
      <c r="O3697" s="16">
        <v>0</v>
      </c>
      <c r="P3697" s="17">
        <v>617.26644999744019</v>
      </c>
      <c r="Q3697" s="17">
        <v>0</v>
      </c>
      <c r="R3697" s="13"/>
      <c r="S3697" s="13"/>
      <c r="T3697" s="13"/>
      <c r="U3697" s="13"/>
      <c r="V3697" s="13"/>
      <c r="W3697" s="13"/>
    </row>
    <row r="3698" spans="1:23" x14ac:dyDescent="0.2">
      <c r="A3698"/>
      <c r="B3698"/>
      <c r="C3698"/>
      <c r="D3698"/>
      <c r="E3698"/>
      <c r="F3698"/>
      <c r="G3698"/>
      <c r="H3698"/>
      <c r="I3698"/>
      <c r="J3698"/>
      <c r="K3698" s="13" t="s">
        <v>281</v>
      </c>
      <c r="L3698" s="13" t="s">
        <v>511</v>
      </c>
      <c r="M3698" s="13" t="s">
        <v>377</v>
      </c>
      <c r="N3698" s="15">
        <v>0</v>
      </c>
      <c r="O3698" s="16">
        <v>0</v>
      </c>
      <c r="P3698" s="17">
        <v>7.6365499996769248</v>
      </c>
      <c r="Q3698" s="17">
        <v>0</v>
      </c>
      <c r="R3698" s="13"/>
      <c r="S3698" s="13"/>
      <c r="T3698" s="13"/>
      <c r="U3698" s="13"/>
      <c r="V3698" s="13"/>
      <c r="W3698" s="13"/>
    </row>
    <row r="3699" spans="1:23" x14ac:dyDescent="0.2">
      <c r="A3699"/>
      <c r="B3699"/>
      <c r="C3699"/>
      <c r="D3699"/>
      <c r="E3699"/>
      <c r="F3699"/>
      <c r="G3699"/>
      <c r="H3699"/>
      <c r="I3699"/>
      <c r="J3699"/>
      <c r="K3699" s="13" t="s">
        <v>281</v>
      </c>
      <c r="L3699" s="13" t="s">
        <v>402</v>
      </c>
      <c r="M3699" s="13" t="s">
        <v>403</v>
      </c>
      <c r="N3699" s="15">
        <v>0</v>
      </c>
      <c r="O3699" s="16">
        <v>0</v>
      </c>
      <c r="P3699" s="17">
        <v>1136.2866700720826</v>
      </c>
      <c r="Q3699" s="17">
        <v>0</v>
      </c>
      <c r="R3699" s="13"/>
      <c r="S3699" s="13"/>
      <c r="T3699" s="13"/>
      <c r="U3699" s="13"/>
      <c r="V3699" s="13"/>
      <c r="W3699" s="13"/>
    </row>
    <row r="3700" spans="1:23" x14ac:dyDescent="0.2">
      <c r="A3700"/>
      <c r="B3700"/>
      <c r="C3700"/>
      <c r="D3700"/>
      <c r="E3700"/>
      <c r="F3700"/>
      <c r="G3700"/>
      <c r="H3700"/>
      <c r="I3700"/>
      <c r="J3700"/>
      <c r="K3700" s="13" t="s">
        <v>281</v>
      </c>
      <c r="L3700" s="13" t="s">
        <v>448</v>
      </c>
      <c r="M3700" s="13" t="s">
        <v>366</v>
      </c>
      <c r="N3700" s="15">
        <v>0</v>
      </c>
      <c r="O3700" s="16">
        <v>0</v>
      </c>
      <c r="P3700" s="17">
        <v>129.38528457332254</v>
      </c>
      <c r="Q3700" s="17">
        <v>0</v>
      </c>
      <c r="R3700" s="13"/>
      <c r="S3700" s="13"/>
      <c r="T3700" s="13"/>
      <c r="U3700" s="13"/>
      <c r="V3700" s="13"/>
      <c r="W3700" s="13"/>
    </row>
    <row r="3701" spans="1:23" x14ac:dyDescent="0.2">
      <c r="A3701"/>
      <c r="B3701"/>
      <c r="C3701"/>
      <c r="D3701"/>
      <c r="E3701"/>
      <c r="F3701"/>
      <c r="G3701"/>
      <c r="H3701"/>
      <c r="I3701"/>
      <c r="J3701"/>
      <c r="K3701" s="13" t="s">
        <v>281</v>
      </c>
      <c r="L3701" s="13" t="s">
        <v>404</v>
      </c>
      <c r="M3701" s="13" t="s">
        <v>405</v>
      </c>
      <c r="N3701" s="15">
        <v>0</v>
      </c>
      <c r="O3701" s="16">
        <v>0</v>
      </c>
      <c r="P3701" s="17">
        <v>24.976299989489544</v>
      </c>
      <c r="Q3701" s="17">
        <v>159.9977212552464</v>
      </c>
      <c r="R3701" s="13"/>
      <c r="S3701" s="13"/>
      <c r="T3701" s="13"/>
      <c r="U3701" s="13"/>
      <c r="V3701" s="13"/>
      <c r="W3701" s="13"/>
    </row>
    <row r="3702" spans="1:23" x14ac:dyDescent="0.2">
      <c r="A3702"/>
      <c r="B3702"/>
      <c r="C3702"/>
      <c r="D3702"/>
      <c r="E3702"/>
      <c r="F3702"/>
      <c r="G3702"/>
      <c r="H3702"/>
      <c r="I3702"/>
      <c r="J3702"/>
      <c r="K3702" s="13" t="s">
        <v>281</v>
      </c>
      <c r="L3702" s="13" t="s">
        <v>406</v>
      </c>
      <c r="M3702" s="13" t="s">
        <v>361</v>
      </c>
      <c r="N3702" s="15">
        <v>0</v>
      </c>
      <c r="O3702" s="16">
        <v>0</v>
      </c>
      <c r="P3702" s="17">
        <v>10.325100011731433</v>
      </c>
      <c r="Q3702" s="17">
        <v>141.53314513873167</v>
      </c>
      <c r="R3702" s="13"/>
      <c r="S3702" s="13"/>
      <c r="T3702" s="13"/>
      <c r="U3702" s="13"/>
      <c r="V3702" s="13"/>
      <c r="W3702" s="13"/>
    </row>
    <row r="3703" spans="1:23" x14ac:dyDescent="0.2">
      <c r="A3703"/>
      <c r="B3703"/>
      <c r="C3703"/>
      <c r="D3703"/>
      <c r="E3703"/>
      <c r="F3703"/>
      <c r="G3703"/>
      <c r="H3703"/>
      <c r="I3703"/>
      <c r="J3703"/>
      <c r="K3703" s="13" t="s">
        <v>281</v>
      </c>
      <c r="L3703" s="13" t="s">
        <v>381</v>
      </c>
      <c r="M3703" s="13" t="s">
        <v>382</v>
      </c>
      <c r="N3703" s="15">
        <v>7</v>
      </c>
      <c r="O3703" s="16">
        <v>0</v>
      </c>
      <c r="P3703" s="17">
        <v>0</v>
      </c>
      <c r="Q3703" s="17">
        <v>0</v>
      </c>
      <c r="R3703" s="13"/>
      <c r="S3703" s="13"/>
      <c r="T3703" s="13"/>
      <c r="U3703" s="13"/>
      <c r="V3703" s="13"/>
      <c r="W3703" s="13"/>
    </row>
    <row r="3704" spans="1:23" x14ac:dyDescent="0.2">
      <c r="A3704"/>
      <c r="B3704"/>
      <c r="C3704"/>
      <c r="D3704"/>
      <c r="E3704"/>
      <c r="F3704"/>
      <c r="G3704"/>
      <c r="H3704"/>
      <c r="I3704"/>
      <c r="J3704"/>
      <c r="K3704" s="13" t="s">
        <v>281</v>
      </c>
      <c r="L3704" s="13" t="s">
        <v>471</v>
      </c>
      <c r="M3704" s="13" t="s">
        <v>472</v>
      </c>
      <c r="N3704" s="15">
        <v>0</v>
      </c>
      <c r="O3704" s="16">
        <v>0</v>
      </c>
      <c r="P3704" s="17">
        <v>614.90599999377423</v>
      </c>
      <c r="Q3704" s="17">
        <v>0</v>
      </c>
      <c r="R3704" s="13"/>
      <c r="S3704" s="13"/>
      <c r="T3704" s="13"/>
      <c r="U3704" s="13"/>
      <c r="V3704" s="13"/>
      <c r="W3704" s="13"/>
    </row>
    <row r="3705" spans="1:23" x14ac:dyDescent="0.2">
      <c r="A3705"/>
      <c r="B3705"/>
      <c r="C3705"/>
      <c r="D3705"/>
      <c r="E3705"/>
      <c r="F3705"/>
      <c r="G3705"/>
      <c r="H3705"/>
      <c r="I3705"/>
      <c r="J3705"/>
      <c r="K3705" s="13" t="s">
        <v>281</v>
      </c>
      <c r="L3705" s="13" t="s">
        <v>411</v>
      </c>
      <c r="M3705" s="13" t="s">
        <v>362</v>
      </c>
      <c r="N3705" s="15">
        <v>0</v>
      </c>
      <c r="O3705" s="16">
        <v>55.088906622775099</v>
      </c>
      <c r="P3705" s="17">
        <v>0</v>
      </c>
      <c r="Q3705" s="17">
        <v>0</v>
      </c>
      <c r="R3705" s="13"/>
      <c r="S3705" s="13"/>
      <c r="T3705" s="13"/>
      <c r="U3705" s="13"/>
      <c r="V3705" s="13"/>
      <c r="W3705" s="13"/>
    </row>
    <row r="3706" spans="1:23" x14ac:dyDescent="0.2">
      <c r="A3706"/>
      <c r="B3706"/>
      <c r="C3706"/>
      <c r="D3706"/>
      <c r="E3706"/>
      <c r="F3706"/>
      <c r="G3706"/>
      <c r="H3706"/>
      <c r="I3706"/>
      <c r="J3706"/>
      <c r="K3706" s="13" t="s">
        <v>281</v>
      </c>
      <c r="L3706" s="13" t="s">
        <v>623</v>
      </c>
      <c r="M3706" s="13" t="s">
        <v>530</v>
      </c>
      <c r="N3706" s="15">
        <v>0</v>
      </c>
      <c r="O3706" s="16">
        <v>139.01826881629344</v>
      </c>
      <c r="P3706" s="17">
        <v>0</v>
      </c>
      <c r="Q3706" s="17">
        <v>0</v>
      </c>
      <c r="R3706" s="13"/>
      <c r="S3706" s="13"/>
      <c r="T3706" s="13"/>
      <c r="U3706" s="13"/>
      <c r="V3706" s="13"/>
      <c r="W3706" s="13"/>
    </row>
    <row r="3707" spans="1:23" x14ac:dyDescent="0.2">
      <c r="A3707"/>
      <c r="B3707"/>
      <c r="C3707"/>
      <c r="D3707"/>
      <c r="E3707"/>
      <c r="F3707"/>
      <c r="G3707"/>
      <c r="H3707"/>
      <c r="I3707"/>
      <c r="J3707"/>
      <c r="K3707" s="13" t="s">
        <v>281</v>
      </c>
      <c r="L3707" s="13" t="s">
        <v>607</v>
      </c>
      <c r="M3707" s="13" t="s">
        <v>431</v>
      </c>
      <c r="N3707" s="15">
        <v>1</v>
      </c>
      <c r="O3707" s="16">
        <v>0</v>
      </c>
      <c r="P3707" s="17">
        <v>0</v>
      </c>
      <c r="Q3707" s="17">
        <v>0</v>
      </c>
      <c r="R3707" s="13"/>
      <c r="S3707" s="13"/>
      <c r="T3707" s="13"/>
      <c r="U3707" s="13"/>
      <c r="V3707" s="13"/>
      <c r="W3707" s="13"/>
    </row>
    <row r="3708" spans="1:23" x14ac:dyDescent="0.2">
      <c r="A3708"/>
      <c r="B3708"/>
      <c r="C3708"/>
      <c r="D3708"/>
      <c r="E3708"/>
      <c r="F3708"/>
      <c r="G3708"/>
      <c r="H3708"/>
      <c r="I3708"/>
      <c r="J3708"/>
      <c r="K3708" s="13" t="s">
        <v>281</v>
      </c>
      <c r="L3708" s="13" t="s">
        <v>615</v>
      </c>
      <c r="M3708" s="13" t="s">
        <v>449</v>
      </c>
      <c r="N3708" s="15">
        <v>1</v>
      </c>
      <c r="O3708" s="16">
        <v>0</v>
      </c>
      <c r="P3708" s="17">
        <v>0</v>
      </c>
      <c r="Q3708" s="17">
        <v>0</v>
      </c>
      <c r="R3708" s="13"/>
      <c r="S3708" s="13"/>
      <c r="T3708" s="13"/>
      <c r="U3708" s="13"/>
      <c r="V3708" s="13"/>
      <c r="W3708" s="13"/>
    </row>
    <row r="3709" spans="1:23" x14ac:dyDescent="0.2">
      <c r="A3709"/>
      <c r="B3709"/>
      <c r="C3709"/>
      <c r="D3709"/>
      <c r="E3709"/>
      <c r="F3709"/>
      <c r="G3709"/>
      <c r="H3709"/>
      <c r="I3709"/>
      <c r="J3709"/>
      <c r="K3709" s="13" t="s">
        <v>281</v>
      </c>
      <c r="L3709" s="13" t="s">
        <v>383</v>
      </c>
      <c r="M3709" s="13" t="s">
        <v>420</v>
      </c>
      <c r="N3709" s="15">
        <v>8</v>
      </c>
      <c r="O3709" s="16">
        <v>0</v>
      </c>
      <c r="P3709" s="17">
        <v>0</v>
      </c>
      <c r="Q3709" s="17">
        <v>0</v>
      </c>
      <c r="R3709" s="13"/>
      <c r="S3709" s="13"/>
      <c r="T3709" s="13"/>
      <c r="U3709" s="13"/>
      <c r="V3709" s="13"/>
      <c r="W3709" s="13"/>
    </row>
    <row r="3710" spans="1:23" x14ac:dyDescent="0.2">
      <c r="A3710"/>
      <c r="B3710"/>
      <c r="C3710"/>
      <c r="D3710"/>
      <c r="E3710"/>
      <c r="F3710"/>
      <c r="G3710"/>
      <c r="H3710"/>
      <c r="I3710"/>
      <c r="J3710"/>
      <c r="K3710" s="13" t="s">
        <v>281</v>
      </c>
      <c r="L3710" s="13" t="s">
        <v>528</v>
      </c>
      <c r="M3710" s="13" t="s">
        <v>384</v>
      </c>
      <c r="N3710" s="15">
        <v>0</v>
      </c>
      <c r="O3710" s="16">
        <v>267.41605277980057</v>
      </c>
      <c r="P3710" s="17">
        <v>0</v>
      </c>
      <c r="Q3710" s="17">
        <v>0</v>
      </c>
      <c r="R3710" s="13"/>
      <c r="S3710" s="13"/>
      <c r="T3710" s="13"/>
      <c r="U3710" s="13"/>
      <c r="V3710" s="13"/>
      <c r="W3710" s="13"/>
    </row>
    <row r="3711" spans="1:23" x14ac:dyDescent="0.2">
      <c r="A3711"/>
      <c r="B3711"/>
      <c r="C3711"/>
      <c r="D3711"/>
      <c r="E3711"/>
      <c r="F3711"/>
      <c r="G3711"/>
      <c r="H3711"/>
      <c r="I3711"/>
      <c r="J3711"/>
      <c r="K3711" s="13" t="s">
        <v>281</v>
      </c>
      <c r="L3711" s="13" t="s">
        <v>613</v>
      </c>
      <c r="M3711" s="13" t="s">
        <v>444</v>
      </c>
      <c r="N3711" s="15">
        <v>0</v>
      </c>
      <c r="O3711" s="16">
        <v>57.906959059912758</v>
      </c>
      <c r="P3711" s="17">
        <v>0</v>
      </c>
      <c r="Q3711" s="17">
        <v>0</v>
      </c>
      <c r="R3711" s="13"/>
      <c r="S3711" s="13"/>
      <c r="T3711" s="13"/>
      <c r="U3711" s="13"/>
      <c r="V3711" s="13"/>
      <c r="W3711" s="13"/>
    </row>
    <row r="3712" spans="1:23" x14ac:dyDescent="0.2">
      <c r="A3712"/>
      <c r="B3712"/>
      <c r="C3712"/>
      <c r="D3712"/>
      <c r="E3712"/>
      <c r="F3712"/>
      <c r="G3712"/>
      <c r="H3712"/>
      <c r="I3712"/>
      <c r="J3712"/>
      <c r="K3712" s="13" t="s">
        <v>281</v>
      </c>
      <c r="L3712" s="13" t="s">
        <v>446</v>
      </c>
      <c r="M3712" s="13" t="s">
        <v>371</v>
      </c>
      <c r="N3712" s="15">
        <v>8</v>
      </c>
      <c r="O3712" s="16">
        <v>0</v>
      </c>
      <c r="P3712" s="17">
        <v>0</v>
      </c>
      <c r="Q3712" s="17">
        <v>0</v>
      </c>
      <c r="R3712" s="13"/>
      <c r="S3712" s="13"/>
      <c r="T3712" s="13"/>
      <c r="U3712" s="13"/>
      <c r="V3712" s="13"/>
      <c r="W3712" s="13"/>
    </row>
    <row r="3713" spans="1:23" x14ac:dyDescent="0.2">
      <c r="A3713"/>
      <c r="B3713"/>
      <c r="C3713"/>
      <c r="D3713"/>
      <c r="E3713"/>
      <c r="F3713"/>
      <c r="G3713"/>
      <c r="H3713"/>
      <c r="I3713"/>
      <c r="J3713"/>
      <c r="K3713" s="13" t="s">
        <v>281</v>
      </c>
      <c r="L3713" s="13" t="s">
        <v>424</v>
      </c>
      <c r="M3713" s="13" t="s">
        <v>468</v>
      </c>
      <c r="N3713" s="15">
        <v>0</v>
      </c>
      <c r="O3713" s="16">
        <v>0</v>
      </c>
      <c r="P3713" s="17">
        <v>46.346200007272373</v>
      </c>
      <c r="Q3713" s="17">
        <v>0</v>
      </c>
      <c r="R3713" s="13"/>
      <c r="S3713" s="13"/>
      <c r="T3713" s="13"/>
      <c r="U3713" s="13"/>
      <c r="V3713" s="13"/>
      <c r="W3713" s="13"/>
    </row>
    <row r="3714" spans="1:23" x14ac:dyDescent="0.2">
      <c r="A3714"/>
      <c r="B3714"/>
      <c r="C3714"/>
      <c r="D3714"/>
      <c r="E3714"/>
      <c r="F3714"/>
      <c r="G3714"/>
      <c r="H3714"/>
      <c r="I3714"/>
      <c r="J3714"/>
      <c r="K3714" s="13" t="s">
        <v>281</v>
      </c>
      <c r="L3714" s="13" t="s">
        <v>469</v>
      </c>
      <c r="M3714" s="13" t="s">
        <v>426</v>
      </c>
      <c r="N3714" s="15">
        <v>1</v>
      </c>
      <c r="O3714" s="16">
        <v>0</v>
      </c>
      <c r="P3714" s="17">
        <v>0</v>
      </c>
      <c r="Q3714" s="17">
        <v>0</v>
      </c>
      <c r="R3714" s="13"/>
      <c r="S3714" s="13"/>
      <c r="T3714" s="13"/>
      <c r="U3714" s="13"/>
      <c r="V3714" s="13"/>
      <c r="W3714" s="13"/>
    </row>
    <row r="3715" spans="1:23" x14ac:dyDescent="0.2">
      <c r="A3715"/>
      <c r="B3715"/>
      <c r="C3715"/>
      <c r="D3715"/>
      <c r="E3715"/>
      <c r="F3715"/>
      <c r="G3715"/>
      <c r="H3715"/>
      <c r="I3715"/>
      <c r="J3715"/>
      <c r="K3715" s="13" t="s">
        <v>283</v>
      </c>
      <c r="L3715" s="13" t="s">
        <v>435</v>
      </c>
      <c r="M3715" s="13" t="s">
        <v>364</v>
      </c>
      <c r="N3715" s="15">
        <v>0</v>
      </c>
      <c r="O3715" s="16">
        <v>10.13894954103548</v>
      </c>
      <c r="P3715" s="17">
        <v>0</v>
      </c>
      <c r="Q3715" s="17">
        <v>0</v>
      </c>
      <c r="R3715" s="13"/>
      <c r="S3715" s="13"/>
      <c r="T3715" s="13"/>
      <c r="U3715" s="13"/>
      <c r="V3715" s="13"/>
      <c r="W3715" s="13"/>
    </row>
    <row r="3716" spans="1:23" x14ac:dyDescent="0.2">
      <c r="A3716"/>
      <c r="B3716"/>
      <c r="C3716"/>
      <c r="D3716"/>
      <c r="E3716"/>
      <c r="F3716"/>
      <c r="G3716"/>
      <c r="H3716"/>
      <c r="I3716"/>
      <c r="J3716"/>
      <c r="K3716" s="13" t="s">
        <v>283</v>
      </c>
      <c r="L3716" s="13" t="s">
        <v>435</v>
      </c>
      <c r="M3716" s="13" t="s">
        <v>364</v>
      </c>
      <c r="N3716" s="15">
        <v>1</v>
      </c>
      <c r="O3716" s="16">
        <v>0</v>
      </c>
      <c r="P3716" s="17">
        <v>0</v>
      </c>
      <c r="Q3716" s="17">
        <v>0</v>
      </c>
      <c r="R3716" s="13"/>
      <c r="S3716" s="13"/>
      <c r="T3716" s="13"/>
      <c r="U3716" s="13"/>
      <c r="V3716" s="13"/>
      <c r="W3716" s="13"/>
    </row>
    <row r="3717" spans="1:23" x14ac:dyDescent="0.2">
      <c r="A3717"/>
      <c r="B3717"/>
      <c r="C3717"/>
      <c r="D3717"/>
      <c r="E3717"/>
      <c r="F3717"/>
      <c r="G3717"/>
      <c r="H3717"/>
      <c r="I3717"/>
      <c r="J3717"/>
      <c r="K3717" s="13" t="s">
        <v>283</v>
      </c>
      <c r="L3717" s="13" t="s">
        <v>389</v>
      </c>
      <c r="M3717" s="13" t="s">
        <v>388</v>
      </c>
      <c r="N3717" s="15">
        <v>0</v>
      </c>
      <c r="O3717" s="16">
        <v>0</v>
      </c>
      <c r="P3717" s="17">
        <v>679.49641465724665</v>
      </c>
      <c r="Q3717" s="17">
        <v>0</v>
      </c>
      <c r="R3717" s="13"/>
      <c r="S3717" s="13"/>
      <c r="T3717" s="13"/>
      <c r="U3717" s="13"/>
      <c r="V3717" s="13"/>
      <c r="W3717" s="13"/>
    </row>
    <row r="3718" spans="1:23" x14ac:dyDescent="0.2">
      <c r="A3718"/>
      <c r="B3718"/>
      <c r="C3718"/>
      <c r="D3718"/>
      <c r="E3718"/>
      <c r="F3718"/>
      <c r="G3718"/>
      <c r="H3718"/>
      <c r="I3718"/>
      <c r="J3718"/>
      <c r="K3718" s="13" t="s">
        <v>283</v>
      </c>
      <c r="L3718" s="13" t="s">
        <v>436</v>
      </c>
      <c r="M3718" s="13" t="s">
        <v>487</v>
      </c>
      <c r="N3718" s="15">
        <v>0</v>
      </c>
      <c r="O3718" s="16">
        <v>0</v>
      </c>
      <c r="P3718" s="17">
        <v>408.46519998939971</v>
      </c>
      <c r="Q3718" s="17">
        <v>0</v>
      </c>
      <c r="R3718" s="13"/>
      <c r="S3718" s="13"/>
      <c r="T3718" s="13"/>
      <c r="U3718" s="13"/>
      <c r="V3718" s="13"/>
      <c r="W3718" s="13"/>
    </row>
    <row r="3719" spans="1:23" x14ac:dyDescent="0.2">
      <c r="A3719"/>
      <c r="B3719"/>
      <c r="C3719"/>
      <c r="D3719"/>
      <c r="E3719"/>
      <c r="F3719"/>
      <c r="G3719"/>
      <c r="H3719"/>
      <c r="I3719"/>
      <c r="J3719"/>
      <c r="K3719" s="13" t="s">
        <v>283</v>
      </c>
      <c r="L3719" s="13" t="s">
        <v>512</v>
      </c>
      <c r="M3719" s="13" t="s">
        <v>466</v>
      </c>
      <c r="N3719" s="15">
        <v>0</v>
      </c>
      <c r="O3719" s="16">
        <v>0</v>
      </c>
      <c r="P3719" s="17">
        <v>149.3603999958942</v>
      </c>
      <c r="Q3719" s="17">
        <v>0</v>
      </c>
      <c r="R3719" s="13"/>
      <c r="S3719" s="13"/>
      <c r="T3719" s="13"/>
      <c r="U3719" s="13"/>
      <c r="V3719" s="13"/>
      <c r="W3719" s="13"/>
    </row>
    <row r="3720" spans="1:23" x14ac:dyDescent="0.2">
      <c r="A3720"/>
      <c r="B3720"/>
      <c r="C3720"/>
      <c r="D3720"/>
      <c r="E3720"/>
      <c r="F3720"/>
      <c r="G3720"/>
      <c r="H3720"/>
      <c r="I3720"/>
      <c r="J3720"/>
      <c r="K3720" s="13" t="s">
        <v>283</v>
      </c>
      <c r="L3720" s="13" t="s">
        <v>440</v>
      </c>
      <c r="M3720" s="13" t="s">
        <v>441</v>
      </c>
      <c r="N3720" s="15">
        <v>4</v>
      </c>
      <c r="O3720" s="16">
        <v>0</v>
      </c>
      <c r="P3720" s="17">
        <v>0</v>
      </c>
      <c r="Q3720" s="17">
        <v>0</v>
      </c>
      <c r="R3720" s="13"/>
      <c r="S3720" s="13"/>
      <c r="T3720" s="13"/>
      <c r="U3720" s="13"/>
      <c r="V3720" s="13"/>
      <c r="W3720" s="13"/>
    </row>
    <row r="3721" spans="1:23" x14ac:dyDescent="0.2">
      <c r="A3721"/>
      <c r="B3721"/>
      <c r="C3721"/>
      <c r="D3721"/>
      <c r="E3721"/>
      <c r="F3721"/>
      <c r="G3721"/>
      <c r="H3721"/>
      <c r="I3721"/>
      <c r="J3721"/>
      <c r="K3721" s="13" t="s">
        <v>283</v>
      </c>
      <c r="L3721" s="13" t="s">
        <v>394</v>
      </c>
      <c r="M3721" s="13" t="s">
        <v>359</v>
      </c>
      <c r="N3721" s="15">
        <v>0</v>
      </c>
      <c r="O3721" s="16">
        <v>0</v>
      </c>
      <c r="P3721" s="17">
        <v>7.5818000049044389</v>
      </c>
      <c r="Q3721" s="17">
        <v>0</v>
      </c>
      <c r="R3721" s="13"/>
      <c r="S3721" s="13"/>
      <c r="T3721" s="13"/>
      <c r="U3721" s="13"/>
      <c r="V3721" s="13"/>
      <c r="W3721" s="13"/>
    </row>
    <row r="3722" spans="1:23" x14ac:dyDescent="0.2">
      <c r="A3722"/>
      <c r="B3722"/>
      <c r="C3722"/>
      <c r="D3722"/>
      <c r="E3722"/>
      <c r="F3722"/>
      <c r="G3722"/>
      <c r="H3722"/>
      <c r="I3722"/>
      <c r="J3722"/>
      <c r="K3722" s="13" t="s">
        <v>283</v>
      </c>
      <c r="L3722" s="13" t="s">
        <v>395</v>
      </c>
      <c r="M3722" s="13" t="s">
        <v>602</v>
      </c>
      <c r="N3722" s="15">
        <v>13</v>
      </c>
      <c r="O3722" s="16">
        <v>0</v>
      </c>
      <c r="P3722" s="17">
        <v>0</v>
      </c>
      <c r="Q3722" s="17">
        <v>0</v>
      </c>
      <c r="R3722" s="13"/>
      <c r="S3722" s="13"/>
      <c r="T3722" s="13"/>
      <c r="U3722" s="13"/>
      <c r="V3722" s="13"/>
      <c r="W3722" s="13"/>
    </row>
    <row r="3723" spans="1:23" x14ac:dyDescent="0.2">
      <c r="A3723"/>
      <c r="B3723"/>
      <c r="C3723"/>
      <c r="D3723"/>
      <c r="E3723"/>
      <c r="F3723"/>
      <c r="G3723"/>
      <c r="H3723"/>
      <c r="I3723"/>
      <c r="J3723"/>
      <c r="K3723" s="13" t="s">
        <v>283</v>
      </c>
      <c r="L3723" s="13" t="s">
        <v>397</v>
      </c>
      <c r="M3723" s="13" t="s">
        <v>398</v>
      </c>
      <c r="N3723" s="15">
        <v>0</v>
      </c>
      <c r="O3723" s="16">
        <v>0</v>
      </c>
      <c r="P3723" s="17">
        <v>12.480400000653844</v>
      </c>
      <c r="Q3723" s="17">
        <v>0</v>
      </c>
      <c r="R3723" s="13"/>
      <c r="S3723" s="13"/>
      <c r="T3723" s="13"/>
      <c r="U3723" s="13"/>
      <c r="V3723" s="13"/>
      <c r="W3723" s="13"/>
    </row>
    <row r="3724" spans="1:23" x14ac:dyDescent="0.2">
      <c r="A3724"/>
      <c r="B3724"/>
      <c r="C3724"/>
      <c r="D3724"/>
      <c r="E3724"/>
      <c r="F3724"/>
      <c r="G3724"/>
      <c r="H3724"/>
      <c r="I3724"/>
      <c r="J3724"/>
      <c r="K3724" s="13" t="s">
        <v>283</v>
      </c>
      <c r="L3724" s="13" t="s">
        <v>399</v>
      </c>
      <c r="M3724" s="13" t="s">
        <v>400</v>
      </c>
      <c r="N3724" s="15">
        <v>0</v>
      </c>
      <c r="O3724" s="16">
        <v>0</v>
      </c>
      <c r="P3724" s="17">
        <v>1.7245999992693308</v>
      </c>
      <c r="Q3724" s="17">
        <v>0</v>
      </c>
      <c r="R3724" s="13"/>
      <c r="S3724" s="13"/>
      <c r="T3724" s="13"/>
      <c r="U3724" s="13"/>
      <c r="V3724" s="13"/>
      <c r="W3724" s="13"/>
    </row>
    <row r="3725" spans="1:23" x14ac:dyDescent="0.2">
      <c r="A3725"/>
      <c r="B3725"/>
      <c r="C3725"/>
      <c r="D3725"/>
      <c r="E3725"/>
      <c r="F3725"/>
      <c r="G3725"/>
      <c r="H3725"/>
      <c r="I3725"/>
      <c r="J3725"/>
      <c r="K3725" s="13" t="s">
        <v>283</v>
      </c>
      <c r="L3725" s="13" t="s">
        <v>401</v>
      </c>
      <c r="M3725" s="13" t="s">
        <v>360</v>
      </c>
      <c r="N3725" s="15">
        <v>0</v>
      </c>
      <c r="O3725" s="16">
        <v>0</v>
      </c>
      <c r="P3725" s="17">
        <v>28.592199994725824</v>
      </c>
      <c r="Q3725" s="17">
        <v>0</v>
      </c>
      <c r="R3725" s="13"/>
      <c r="S3725" s="13"/>
      <c r="T3725" s="13"/>
      <c r="U3725" s="13"/>
      <c r="V3725" s="13"/>
      <c r="W3725" s="13"/>
    </row>
    <row r="3726" spans="1:23" x14ac:dyDescent="0.2">
      <c r="A3726"/>
      <c r="B3726"/>
      <c r="C3726"/>
      <c r="D3726"/>
      <c r="E3726"/>
      <c r="F3726"/>
      <c r="G3726"/>
      <c r="H3726"/>
      <c r="I3726"/>
      <c r="J3726"/>
      <c r="K3726" s="13" t="s">
        <v>283</v>
      </c>
      <c r="L3726" s="13" t="s">
        <v>402</v>
      </c>
      <c r="M3726" s="13" t="s">
        <v>403</v>
      </c>
      <c r="N3726" s="15">
        <v>0</v>
      </c>
      <c r="O3726" s="16">
        <v>0</v>
      </c>
      <c r="P3726" s="17">
        <v>348.62542946304001</v>
      </c>
      <c r="Q3726" s="17">
        <v>0</v>
      </c>
      <c r="R3726" s="13"/>
      <c r="S3726" s="13"/>
      <c r="T3726" s="13"/>
      <c r="U3726" s="13"/>
      <c r="V3726" s="13"/>
      <c r="W3726" s="13"/>
    </row>
    <row r="3727" spans="1:23" x14ac:dyDescent="0.2">
      <c r="A3727"/>
      <c r="B3727"/>
      <c r="C3727"/>
      <c r="D3727"/>
      <c r="E3727"/>
      <c r="F3727"/>
      <c r="G3727"/>
      <c r="H3727"/>
      <c r="I3727"/>
      <c r="J3727"/>
      <c r="K3727" s="13" t="s">
        <v>283</v>
      </c>
      <c r="L3727" s="13" t="s">
        <v>404</v>
      </c>
      <c r="M3727" s="13" t="s">
        <v>405</v>
      </c>
      <c r="N3727" s="15">
        <v>0</v>
      </c>
      <c r="O3727" s="16">
        <v>0</v>
      </c>
      <c r="P3727" s="17">
        <v>11.316799999282741</v>
      </c>
      <c r="Q3727" s="17">
        <v>56.191891336127092</v>
      </c>
      <c r="R3727" s="13"/>
      <c r="S3727" s="13"/>
      <c r="T3727" s="13"/>
      <c r="U3727" s="13"/>
      <c r="V3727" s="13"/>
      <c r="W3727" s="13"/>
    </row>
    <row r="3728" spans="1:23" x14ac:dyDescent="0.2">
      <c r="A3728"/>
      <c r="B3728"/>
      <c r="C3728"/>
      <c r="D3728"/>
      <c r="E3728"/>
      <c r="F3728"/>
      <c r="G3728"/>
      <c r="H3728"/>
      <c r="I3728"/>
      <c r="J3728"/>
      <c r="K3728" s="13" t="s">
        <v>283</v>
      </c>
      <c r="L3728" s="13" t="s">
        <v>381</v>
      </c>
      <c r="M3728" s="13" t="s">
        <v>382</v>
      </c>
      <c r="N3728" s="15">
        <v>63</v>
      </c>
      <c r="O3728" s="16">
        <v>0</v>
      </c>
      <c r="P3728" s="17">
        <v>0</v>
      </c>
      <c r="Q3728" s="17">
        <v>0</v>
      </c>
      <c r="R3728" s="13"/>
      <c r="S3728" s="13"/>
      <c r="T3728" s="13"/>
      <c r="U3728" s="13"/>
      <c r="V3728" s="13"/>
      <c r="W3728" s="13"/>
    </row>
    <row r="3729" spans="1:23" x14ac:dyDescent="0.2">
      <c r="A3729"/>
      <c r="B3729"/>
      <c r="C3729"/>
      <c r="D3729"/>
      <c r="E3729"/>
      <c r="F3729"/>
      <c r="G3729"/>
      <c r="H3729"/>
      <c r="I3729"/>
      <c r="J3729"/>
      <c r="K3729" s="13" t="s">
        <v>283</v>
      </c>
      <c r="L3729" s="13" t="s">
        <v>409</v>
      </c>
      <c r="M3729" s="13" t="s">
        <v>410</v>
      </c>
      <c r="N3729" s="15">
        <v>5</v>
      </c>
      <c r="O3729" s="16">
        <v>0</v>
      </c>
      <c r="P3729" s="17">
        <v>0</v>
      </c>
      <c r="Q3729" s="17">
        <v>0</v>
      </c>
      <c r="R3729" s="13"/>
      <c r="S3729" s="13"/>
      <c r="T3729" s="13"/>
      <c r="U3729" s="13"/>
      <c r="V3729" s="13"/>
      <c r="W3729" s="13"/>
    </row>
    <row r="3730" spans="1:23" x14ac:dyDescent="0.2">
      <c r="A3730"/>
      <c r="B3730"/>
      <c r="C3730"/>
      <c r="D3730"/>
      <c r="E3730"/>
      <c r="F3730"/>
      <c r="G3730"/>
      <c r="H3730"/>
      <c r="I3730"/>
      <c r="J3730"/>
      <c r="K3730" s="13" t="s">
        <v>283</v>
      </c>
      <c r="L3730" s="13" t="s">
        <v>411</v>
      </c>
      <c r="M3730" s="13" t="s">
        <v>362</v>
      </c>
      <c r="N3730" s="15">
        <v>0</v>
      </c>
      <c r="O3730" s="16">
        <v>0</v>
      </c>
      <c r="P3730" s="17">
        <v>33.777550004240524</v>
      </c>
      <c r="Q3730" s="17">
        <v>0</v>
      </c>
      <c r="R3730" s="13"/>
      <c r="S3730" s="13"/>
      <c r="T3730" s="13"/>
      <c r="U3730" s="13"/>
      <c r="V3730" s="13"/>
      <c r="W3730" s="13"/>
    </row>
    <row r="3731" spans="1:23" x14ac:dyDescent="0.2">
      <c r="A3731"/>
      <c r="B3731"/>
      <c r="C3731"/>
      <c r="D3731"/>
      <c r="E3731"/>
      <c r="F3731"/>
      <c r="G3731"/>
      <c r="H3731"/>
      <c r="I3731"/>
      <c r="J3731"/>
      <c r="K3731" s="13" t="s">
        <v>283</v>
      </c>
      <c r="L3731" s="13" t="s">
        <v>411</v>
      </c>
      <c r="M3731" s="13" t="s">
        <v>362</v>
      </c>
      <c r="N3731" s="15">
        <v>0</v>
      </c>
      <c r="O3731" s="16">
        <v>105.03779235335769</v>
      </c>
      <c r="P3731" s="17">
        <v>0</v>
      </c>
      <c r="Q3731" s="17">
        <v>0</v>
      </c>
      <c r="R3731" s="13"/>
      <c r="S3731" s="13"/>
      <c r="T3731" s="13"/>
      <c r="U3731" s="13"/>
      <c r="V3731" s="13"/>
      <c r="W3731" s="13"/>
    </row>
    <row r="3732" spans="1:23" x14ac:dyDescent="0.2">
      <c r="A3732"/>
      <c r="B3732"/>
      <c r="C3732"/>
      <c r="D3732"/>
      <c r="E3732"/>
      <c r="F3732"/>
      <c r="G3732"/>
      <c r="H3732"/>
      <c r="I3732"/>
      <c r="J3732"/>
      <c r="K3732" s="13" t="s">
        <v>283</v>
      </c>
      <c r="L3732" s="13" t="s">
        <v>413</v>
      </c>
      <c r="M3732" s="13" t="s">
        <v>428</v>
      </c>
      <c r="N3732" s="15">
        <v>1</v>
      </c>
      <c r="O3732" s="16">
        <v>0</v>
      </c>
      <c r="P3732" s="17">
        <v>0</v>
      </c>
      <c r="Q3732" s="17">
        <v>0</v>
      </c>
      <c r="R3732" s="13"/>
      <c r="S3732" s="13"/>
      <c r="T3732" s="13"/>
      <c r="U3732" s="13"/>
      <c r="V3732" s="13"/>
      <c r="W3732" s="13"/>
    </row>
    <row r="3733" spans="1:23" x14ac:dyDescent="0.2">
      <c r="A3733"/>
      <c r="B3733"/>
      <c r="C3733"/>
      <c r="D3733"/>
      <c r="E3733"/>
      <c r="F3733"/>
      <c r="G3733"/>
      <c r="H3733"/>
      <c r="I3733"/>
      <c r="J3733"/>
      <c r="K3733" s="13" t="s">
        <v>283</v>
      </c>
      <c r="L3733" s="13" t="s">
        <v>603</v>
      </c>
      <c r="M3733" s="13" t="s">
        <v>385</v>
      </c>
      <c r="N3733" s="15">
        <v>1</v>
      </c>
      <c r="O3733" s="16">
        <v>0</v>
      </c>
      <c r="P3733" s="17">
        <v>0</v>
      </c>
      <c r="Q3733" s="17">
        <v>0</v>
      </c>
      <c r="R3733" s="13"/>
      <c r="S3733" s="13"/>
      <c r="T3733" s="13"/>
      <c r="U3733" s="13"/>
      <c r="V3733" s="13"/>
      <c r="W3733" s="13"/>
    </row>
    <row r="3734" spans="1:23" x14ac:dyDescent="0.2">
      <c r="A3734"/>
      <c r="B3734"/>
      <c r="C3734"/>
      <c r="D3734"/>
      <c r="E3734"/>
      <c r="F3734"/>
      <c r="G3734"/>
      <c r="H3734"/>
      <c r="I3734"/>
      <c r="J3734"/>
      <c r="K3734" s="13" t="s">
        <v>283</v>
      </c>
      <c r="L3734" s="13" t="s">
        <v>606</v>
      </c>
      <c r="M3734" s="13" t="s">
        <v>430</v>
      </c>
      <c r="N3734" s="15">
        <v>1</v>
      </c>
      <c r="O3734" s="16">
        <v>0</v>
      </c>
      <c r="P3734" s="17">
        <v>0</v>
      </c>
      <c r="Q3734" s="17">
        <v>0</v>
      </c>
      <c r="R3734" s="13"/>
      <c r="S3734" s="13"/>
      <c r="T3734" s="13"/>
      <c r="U3734" s="13"/>
      <c r="V3734" s="13"/>
      <c r="W3734" s="13"/>
    </row>
    <row r="3735" spans="1:23" x14ac:dyDescent="0.2">
      <c r="A3735"/>
      <c r="B3735"/>
      <c r="C3735"/>
      <c r="D3735"/>
      <c r="E3735"/>
      <c r="F3735"/>
      <c r="G3735"/>
      <c r="H3735"/>
      <c r="I3735"/>
      <c r="J3735"/>
      <c r="K3735" s="13" t="s">
        <v>283</v>
      </c>
      <c r="L3735" s="13" t="s">
        <v>623</v>
      </c>
      <c r="M3735" s="13" t="s">
        <v>530</v>
      </c>
      <c r="N3735" s="15">
        <v>0</v>
      </c>
      <c r="O3735" s="16">
        <v>47.234737446410861</v>
      </c>
      <c r="P3735" s="17">
        <v>0</v>
      </c>
      <c r="Q3735" s="17">
        <v>0</v>
      </c>
      <c r="R3735" s="13"/>
      <c r="S3735" s="13"/>
      <c r="T3735" s="13"/>
      <c r="U3735" s="13"/>
      <c r="V3735" s="13"/>
      <c r="W3735" s="13"/>
    </row>
    <row r="3736" spans="1:23" x14ac:dyDescent="0.2">
      <c r="A3736"/>
      <c r="B3736"/>
      <c r="C3736"/>
      <c r="D3736"/>
      <c r="E3736"/>
      <c r="F3736"/>
      <c r="G3736"/>
      <c r="H3736"/>
      <c r="I3736"/>
      <c r="J3736"/>
      <c r="K3736" s="13" t="s">
        <v>283</v>
      </c>
      <c r="L3736" s="13" t="s">
        <v>607</v>
      </c>
      <c r="M3736" s="13" t="s">
        <v>431</v>
      </c>
      <c r="N3736" s="15">
        <v>2</v>
      </c>
      <c r="O3736" s="16">
        <v>0</v>
      </c>
      <c r="P3736" s="17">
        <v>0</v>
      </c>
      <c r="Q3736" s="17">
        <v>0</v>
      </c>
      <c r="R3736" s="13"/>
      <c r="S3736" s="13"/>
      <c r="T3736" s="13"/>
      <c r="U3736" s="13"/>
      <c r="V3736" s="13"/>
      <c r="W3736" s="13"/>
    </row>
    <row r="3737" spans="1:23" x14ac:dyDescent="0.2">
      <c r="A3737"/>
      <c r="B3737"/>
      <c r="C3737"/>
      <c r="D3737"/>
      <c r="E3737"/>
      <c r="F3737"/>
      <c r="G3737"/>
      <c r="H3737"/>
      <c r="I3737"/>
      <c r="J3737"/>
      <c r="K3737" s="13" t="s">
        <v>283</v>
      </c>
      <c r="L3737" s="13" t="s">
        <v>608</v>
      </c>
      <c r="M3737" s="13" t="s">
        <v>432</v>
      </c>
      <c r="N3737" s="15">
        <v>8</v>
      </c>
      <c r="O3737" s="16">
        <v>0</v>
      </c>
      <c r="P3737" s="17">
        <v>0</v>
      </c>
      <c r="Q3737" s="17">
        <v>0</v>
      </c>
      <c r="R3737" s="13"/>
      <c r="S3737" s="13"/>
      <c r="T3737" s="13"/>
      <c r="U3737" s="13"/>
      <c r="V3737" s="13"/>
      <c r="W3737" s="13"/>
    </row>
    <row r="3738" spans="1:23" x14ac:dyDescent="0.2">
      <c r="A3738"/>
      <c r="B3738"/>
      <c r="C3738"/>
      <c r="D3738"/>
      <c r="E3738"/>
      <c r="F3738"/>
      <c r="G3738"/>
      <c r="H3738"/>
      <c r="I3738"/>
      <c r="J3738"/>
      <c r="K3738" s="13" t="s">
        <v>283</v>
      </c>
      <c r="L3738" s="13" t="s">
        <v>615</v>
      </c>
      <c r="M3738" s="13" t="s">
        <v>449</v>
      </c>
      <c r="N3738" s="15">
        <v>1</v>
      </c>
      <c r="O3738" s="16">
        <v>0</v>
      </c>
      <c r="P3738" s="17">
        <v>0</v>
      </c>
      <c r="Q3738" s="17">
        <v>0</v>
      </c>
      <c r="R3738" s="13"/>
      <c r="S3738" s="13"/>
      <c r="T3738" s="13"/>
      <c r="U3738" s="13"/>
      <c r="V3738" s="13"/>
      <c r="W3738" s="13"/>
    </row>
    <row r="3739" spans="1:23" x14ac:dyDescent="0.2">
      <c r="A3739"/>
      <c r="B3739"/>
      <c r="C3739"/>
      <c r="D3739"/>
      <c r="E3739"/>
      <c r="F3739"/>
      <c r="G3739"/>
      <c r="H3739"/>
      <c r="I3739"/>
      <c r="J3739"/>
      <c r="K3739" s="13" t="s">
        <v>283</v>
      </c>
      <c r="L3739" s="13" t="s">
        <v>383</v>
      </c>
      <c r="M3739" s="13" t="s">
        <v>420</v>
      </c>
      <c r="N3739" s="15">
        <v>13</v>
      </c>
      <c r="O3739" s="16">
        <v>0</v>
      </c>
      <c r="P3739" s="17">
        <v>0</v>
      </c>
      <c r="Q3739" s="17">
        <v>0</v>
      </c>
      <c r="R3739" s="13"/>
      <c r="S3739" s="13"/>
      <c r="T3739" s="13"/>
      <c r="U3739" s="13"/>
      <c r="V3739" s="13"/>
      <c r="W3739" s="13"/>
    </row>
    <row r="3740" spans="1:23" x14ac:dyDescent="0.2">
      <c r="A3740"/>
      <c r="B3740"/>
      <c r="C3740"/>
      <c r="D3740"/>
      <c r="E3740"/>
      <c r="F3740"/>
      <c r="G3740"/>
      <c r="H3740"/>
      <c r="I3740"/>
      <c r="J3740"/>
      <c r="K3740" s="13" t="s">
        <v>283</v>
      </c>
      <c r="L3740" s="13" t="s">
        <v>528</v>
      </c>
      <c r="M3740" s="13" t="s">
        <v>384</v>
      </c>
      <c r="N3740" s="15">
        <v>0</v>
      </c>
      <c r="O3740" s="16">
        <v>75.504109054534013</v>
      </c>
      <c r="P3740" s="17">
        <v>0</v>
      </c>
      <c r="Q3740" s="17">
        <v>0</v>
      </c>
      <c r="R3740" s="13"/>
      <c r="S3740" s="13"/>
      <c r="T3740" s="13"/>
      <c r="U3740" s="13"/>
      <c r="V3740" s="13"/>
      <c r="W3740" s="13"/>
    </row>
    <row r="3741" spans="1:23" x14ac:dyDescent="0.2">
      <c r="A3741"/>
      <c r="B3741"/>
      <c r="C3741"/>
      <c r="D3741"/>
      <c r="E3741"/>
      <c r="F3741"/>
      <c r="G3741"/>
      <c r="H3741"/>
      <c r="I3741"/>
      <c r="J3741"/>
      <c r="K3741" s="13" t="s">
        <v>283</v>
      </c>
      <c r="L3741" s="13" t="s">
        <v>613</v>
      </c>
      <c r="M3741" s="13" t="s">
        <v>444</v>
      </c>
      <c r="N3741" s="15">
        <v>0</v>
      </c>
      <c r="O3741" s="16">
        <v>13.956843172135144</v>
      </c>
      <c r="P3741" s="17">
        <v>0</v>
      </c>
      <c r="Q3741" s="17">
        <v>0</v>
      </c>
      <c r="R3741" s="13"/>
      <c r="S3741" s="13"/>
      <c r="T3741" s="13"/>
      <c r="U3741" s="13"/>
      <c r="V3741" s="13"/>
      <c r="W3741" s="13"/>
    </row>
    <row r="3742" spans="1:23" x14ac:dyDescent="0.2">
      <c r="A3742"/>
      <c r="B3742"/>
      <c r="C3742"/>
      <c r="D3742"/>
      <c r="E3742"/>
      <c r="F3742"/>
      <c r="G3742"/>
      <c r="H3742"/>
      <c r="I3742"/>
      <c r="J3742"/>
      <c r="K3742" s="13" t="s">
        <v>283</v>
      </c>
      <c r="L3742" s="13" t="s">
        <v>611</v>
      </c>
      <c r="M3742" s="13" t="s">
        <v>423</v>
      </c>
      <c r="N3742" s="15">
        <v>0</v>
      </c>
      <c r="O3742" s="16">
        <v>8.1652775716795318</v>
      </c>
      <c r="P3742" s="17">
        <v>0</v>
      </c>
      <c r="Q3742" s="17">
        <v>0</v>
      </c>
      <c r="R3742" s="13"/>
      <c r="S3742" s="13"/>
      <c r="T3742" s="13"/>
      <c r="U3742" s="13"/>
      <c r="V3742" s="13"/>
      <c r="W3742" s="13"/>
    </row>
    <row r="3743" spans="1:23" x14ac:dyDescent="0.2">
      <c r="A3743"/>
      <c r="B3743"/>
      <c r="C3743"/>
      <c r="D3743"/>
      <c r="E3743"/>
      <c r="F3743"/>
      <c r="G3743"/>
      <c r="H3743"/>
      <c r="I3743"/>
      <c r="J3743"/>
      <c r="K3743" s="13" t="s">
        <v>283</v>
      </c>
      <c r="L3743" s="13" t="s">
        <v>446</v>
      </c>
      <c r="M3743" s="13" t="s">
        <v>371</v>
      </c>
      <c r="N3743" s="15">
        <v>19</v>
      </c>
      <c r="O3743" s="16">
        <v>0</v>
      </c>
      <c r="P3743" s="17">
        <v>0</v>
      </c>
      <c r="Q3743" s="17">
        <v>0</v>
      </c>
      <c r="R3743" s="13"/>
      <c r="S3743" s="13"/>
      <c r="T3743" s="13"/>
      <c r="U3743" s="13"/>
      <c r="V3743" s="13"/>
      <c r="W3743" s="13"/>
    </row>
    <row r="3744" spans="1:23" x14ac:dyDescent="0.2">
      <c r="A3744"/>
      <c r="B3744"/>
      <c r="C3744"/>
      <c r="D3744"/>
      <c r="E3744"/>
      <c r="F3744"/>
      <c r="G3744"/>
      <c r="H3744"/>
      <c r="I3744"/>
      <c r="J3744"/>
      <c r="K3744" s="13" t="s">
        <v>283</v>
      </c>
      <c r="L3744" s="13" t="s">
        <v>424</v>
      </c>
      <c r="M3744" s="13" t="s">
        <v>468</v>
      </c>
      <c r="N3744" s="15">
        <v>0</v>
      </c>
      <c r="O3744" s="16">
        <v>0</v>
      </c>
      <c r="P3744" s="17">
        <v>37.818399998775831</v>
      </c>
      <c r="Q3744" s="17">
        <v>0</v>
      </c>
      <c r="R3744" s="13"/>
      <c r="S3744" s="13"/>
      <c r="T3744" s="13"/>
      <c r="U3744" s="13"/>
      <c r="V3744" s="13"/>
      <c r="W3744" s="13"/>
    </row>
    <row r="3745" spans="1:23" x14ac:dyDescent="0.2">
      <c r="A3745"/>
      <c r="B3745"/>
      <c r="C3745"/>
      <c r="D3745"/>
      <c r="E3745"/>
      <c r="F3745"/>
      <c r="G3745"/>
      <c r="H3745"/>
      <c r="I3745"/>
      <c r="J3745"/>
      <c r="K3745" s="13" t="s">
        <v>283</v>
      </c>
      <c r="L3745" s="13" t="s">
        <v>484</v>
      </c>
      <c r="M3745" s="13" t="s">
        <v>529</v>
      </c>
      <c r="N3745" s="15">
        <v>0</v>
      </c>
      <c r="O3745" s="16">
        <v>56.90021427857063</v>
      </c>
      <c r="P3745" s="17">
        <v>0</v>
      </c>
      <c r="Q3745" s="17">
        <v>0</v>
      </c>
      <c r="R3745" s="13"/>
      <c r="S3745" s="13"/>
      <c r="T3745" s="13"/>
      <c r="U3745" s="13"/>
      <c r="V3745" s="13"/>
      <c r="W3745" s="13"/>
    </row>
    <row r="3746" spans="1:23" x14ac:dyDescent="0.2">
      <c r="A3746"/>
      <c r="B3746"/>
      <c r="C3746"/>
      <c r="D3746"/>
      <c r="E3746"/>
      <c r="F3746"/>
      <c r="G3746"/>
      <c r="H3746"/>
      <c r="I3746"/>
      <c r="J3746"/>
      <c r="K3746" s="13" t="s">
        <v>285</v>
      </c>
      <c r="L3746" s="13" t="s">
        <v>435</v>
      </c>
      <c r="M3746" s="13" t="s">
        <v>364</v>
      </c>
      <c r="N3746" s="15">
        <v>0</v>
      </c>
      <c r="O3746" s="16">
        <v>0</v>
      </c>
      <c r="P3746" s="17">
        <v>11.184549999361204</v>
      </c>
      <c r="Q3746" s="17">
        <v>0</v>
      </c>
      <c r="R3746" s="13"/>
      <c r="S3746" s="13"/>
      <c r="T3746" s="13"/>
      <c r="U3746" s="13"/>
      <c r="V3746" s="13"/>
      <c r="W3746" s="13"/>
    </row>
    <row r="3747" spans="1:23" x14ac:dyDescent="0.2">
      <c r="A3747"/>
      <c r="B3747"/>
      <c r="C3747"/>
      <c r="D3747"/>
      <c r="E3747"/>
      <c r="F3747"/>
      <c r="G3747"/>
      <c r="H3747"/>
      <c r="I3747"/>
      <c r="J3747"/>
      <c r="K3747" s="13" t="s">
        <v>285</v>
      </c>
      <c r="L3747" s="13" t="s">
        <v>435</v>
      </c>
      <c r="M3747" s="13" t="s">
        <v>364</v>
      </c>
      <c r="N3747" s="15">
        <v>1</v>
      </c>
      <c r="O3747" s="16">
        <v>0</v>
      </c>
      <c r="P3747" s="17">
        <v>0</v>
      </c>
      <c r="Q3747" s="17">
        <v>0</v>
      </c>
      <c r="R3747" s="13"/>
      <c r="S3747" s="13"/>
      <c r="T3747" s="13"/>
      <c r="U3747" s="13"/>
      <c r="V3747" s="13"/>
      <c r="W3747" s="13"/>
    </row>
    <row r="3748" spans="1:23" x14ac:dyDescent="0.2">
      <c r="A3748"/>
      <c r="B3748"/>
      <c r="C3748"/>
      <c r="D3748"/>
      <c r="E3748"/>
      <c r="F3748"/>
      <c r="G3748"/>
      <c r="H3748"/>
      <c r="I3748"/>
      <c r="J3748"/>
      <c r="K3748" s="13" t="s">
        <v>285</v>
      </c>
      <c r="L3748" s="13" t="s">
        <v>387</v>
      </c>
      <c r="M3748" s="13" t="s">
        <v>386</v>
      </c>
      <c r="N3748" s="15">
        <v>0</v>
      </c>
      <c r="O3748" s="16">
        <v>0</v>
      </c>
      <c r="P3748" s="17">
        <v>170.22779999631484</v>
      </c>
      <c r="Q3748" s="17">
        <v>0</v>
      </c>
      <c r="R3748" s="13"/>
      <c r="S3748" s="13"/>
      <c r="T3748" s="13"/>
      <c r="U3748" s="13"/>
      <c r="V3748" s="13"/>
      <c r="W3748" s="13"/>
    </row>
    <row r="3749" spans="1:23" x14ac:dyDescent="0.2">
      <c r="A3749"/>
      <c r="B3749"/>
      <c r="C3749"/>
      <c r="D3749"/>
      <c r="E3749"/>
      <c r="F3749"/>
      <c r="G3749"/>
      <c r="H3749"/>
      <c r="I3749"/>
      <c r="J3749"/>
      <c r="K3749" s="13" t="s">
        <v>285</v>
      </c>
      <c r="L3749" s="13" t="s">
        <v>389</v>
      </c>
      <c r="M3749" s="13" t="s">
        <v>388</v>
      </c>
      <c r="N3749" s="15">
        <v>0</v>
      </c>
      <c r="O3749" s="16">
        <v>0</v>
      </c>
      <c r="P3749" s="17">
        <v>598.63085302137415</v>
      </c>
      <c r="Q3749" s="17">
        <v>0</v>
      </c>
      <c r="R3749" s="13"/>
      <c r="S3749" s="13"/>
      <c r="T3749" s="13"/>
      <c r="U3749" s="13"/>
      <c r="V3749" s="13"/>
      <c r="W3749" s="13"/>
    </row>
    <row r="3750" spans="1:23" x14ac:dyDescent="0.2">
      <c r="A3750"/>
      <c r="B3750"/>
      <c r="C3750"/>
      <c r="D3750"/>
      <c r="E3750"/>
      <c r="F3750"/>
      <c r="G3750"/>
      <c r="H3750"/>
      <c r="I3750"/>
      <c r="J3750"/>
      <c r="K3750" s="13" t="s">
        <v>285</v>
      </c>
      <c r="L3750" s="13" t="s">
        <v>542</v>
      </c>
      <c r="M3750" s="13" t="s">
        <v>390</v>
      </c>
      <c r="N3750" s="15">
        <v>0</v>
      </c>
      <c r="O3750" s="16">
        <v>0</v>
      </c>
      <c r="P3750" s="17">
        <v>5.2615999988597828</v>
      </c>
      <c r="Q3750" s="17">
        <v>0</v>
      </c>
      <c r="R3750" s="13"/>
      <c r="S3750" s="13"/>
      <c r="T3750" s="13"/>
      <c r="U3750" s="13"/>
      <c r="V3750" s="13"/>
      <c r="W3750" s="13"/>
    </row>
    <row r="3751" spans="1:23" x14ac:dyDescent="0.2">
      <c r="A3751"/>
      <c r="B3751"/>
      <c r="C3751"/>
      <c r="D3751"/>
      <c r="E3751"/>
      <c r="F3751"/>
      <c r="G3751"/>
      <c r="H3751"/>
      <c r="I3751"/>
      <c r="J3751"/>
      <c r="K3751" s="13" t="s">
        <v>285</v>
      </c>
      <c r="L3751" s="13" t="s">
        <v>436</v>
      </c>
      <c r="M3751" s="13" t="s">
        <v>487</v>
      </c>
      <c r="N3751" s="15">
        <v>0</v>
      </c>
      <c r="O3751" s="16">
        <v>0</v>
      </c>
      <c r="P3751" s="17">
        <v>2.7244999997871928</v>
      </c>
      <c r="Q3751" s="17">
        <v>0</v>
      </c>
      <c r="R3751" s="13"/>
      <c r="S3751" s="13"/>
      <c r="T3751" s="13"/>
      <c r="U3751" s="13"/>
      <c r="V3751" s="13"/>
      <c r="W3751" s="13"/>
    </row>
    <row r="3752" spans="1:23" x14ac:dyDescent="0.2">
      <c r="A3752"/>
      <c r="B3752"/>
      <c r="C3752"/>
      <c r="D3752"/>
      <c r="E3752"/>
      <c r="F3752"/>
      <c r="G3752"/>
      <c r="H3752"/>
      <c r="I3752"/>
      <c r="J3752"/>
      <c r="K3752" s="13" t="s">
        <v>285</v>
      </c>
      <c r="L3752" s="13" t="s">
        <v>460</v>
      </c>
      <c r="M3752" s="13" t="s">
        <v>393</v>
      </c>
      <c r="N3752" s="15">
        <v>0</v>
      </c>
      <c r="O3752" s="16">
        <v>0</v>
      </c>
      <c r="P3752" s="17">
        <v>24.20199999611371</v>
      </c>
      <c r="Q3752" s="17">
        <v>0</v>
      </c>
      <c r="R3752" s="13"/>
      <c r="S3752" s="13"/>
      <c r="T3752" s="13"/>
      <c r="U3752" s="13"/>
      <c r="V3752" s="13"/>
      <c r="W3752" s="13"/>
    </row>
    <row r="3753" spans="1:23" x14ac:dyDescent="0.2">
      <c r="A3753"/>
      <c r="B3753"/>
      <c r="C3753"/>
      <c r="D3753"/>
      <c r="E3753"/>
      <c r="F3753"/>
      <c r="G3753"/>
      <c r="H3753"/>
      <c r="I3753"/>
      <c r="J3753"/>
      <c r="K3753" s="13" t="s">
        <v>285</v>
      </c>
      <c r="L3753" s="13" t="s">
        <v>486</v>
      </c>
      <c r="M3753" s="13" t="s">
        <v>439</v>
      </c>
      <c r="N3753" s="15">
        <v>0</v>
      </c>
      <c r="O3753" s="16">
        <v>0</v>
      </c>
      <c r="P3753" s="17">
        <v>73.21874999889755</v>
      </c>
      <c r="Q3753" s="17">
        <v>0</v>
      </c>
      <c r="R3753" s="13"/>
      <c r="S3753" s="13"/>
      <c r="T3753" s="13"/>
      <c r="U3753" s="13"/>
      <c r="V3753" s="13"/>
      <c r="W3753" s="13"/>
    </row>
    <row r="3754" spans="1:23" x14ac:dyDescent="0.2">
      <c r="A3754"/>
      <c r="B3754"/>
      <c r="C3754"/>
      <c r="D3754"/>
      <c r="E3754"/>
      <c r="F3754"/>
      <c r="G3754"/>
      <c r="H3754"/>
      <c r="I3754"/>
      <c r="J3754"/>
      <c r="K3754" s="13" t="s">
        <v>285</v>
      </c>
      <c r="L3754" s="13" t="s">
        <v>532</v>
      </c>
      <c r="M3754" s="13" t="s">
        <v>620</v>
      </c>
      <c r="N3754" s="15">
        <v>0</v>
      </c>
      <c r="O3754" s="16">
        <v>0</v>
      </c>
      <c r="P3754" s="17">
        <v>101.98074999452405</v>
      </c>
      <c r="Q3754" s="17">
        <v>0</v>
      </c>
      <c r="R3754" s="13"/>
      <c r="S3754" s="13"/>
      <c r="T3754" s="13"/>
      <c r="U3754" s="13"/>
      <c r="V3754" s="13"/>
      <c r="W3754" s="13"/>
    </row>
    <row r="3755" spans="1:23" x14ac:dyDescent="0.2">
      <c r="A3755"/>
      <c r="B3755"/>
      <c r="C3755"/>
      <c r="D3755"/>
      <c r="E3755"/>
      <c r="F3755"/>
      <c r="G3755"/>
      <c r="H3755"/>
      <c r="I3755"/>
      <c r="J3755"/>
      <c r="K3755" s="13" t="s">
        <v>285</v>
      </c>
      <c r="L3755" s="13" t="s">
        <v>440</v>
      </c>
      <c r="M3755" s="13" t="s">
        <v>441</v>
      </c>
      <c r="N3755" s="15">
        <v>19</v>
      </c>
      <c r="O3755" s="16">
        <v>0</v>
      </c>
      <c r="P3755" s="17">
        <v>0</v>
      </c>
      <c r="Q3755" s="17">
        <v>0</v>
      </c>
      <c r="R3755" s="13"/>
      <c r="S3755" s="13"/>
      <c r="T3755" s="13"/>
      <c r="U3755" s="13"/>
      <c r="V3755" s="13"/>
      <c r="W3755" s="13"/>
    </row>
    <row r="3756" spans="1:23" x14ac:dyDescent="0.2">
      <c r="A3756"/>
      <c r="B3756"/>
      <c r="C3756"/>
      <c r="D3756"/>
      <c r="E3756"/>
      <c r="F3756"/>
      <c r="G3756"/>
      <c r="H3756"/>
      <c r="I3756"/>
      <c r="J3756"/>
      <c r="K3756" s="13" t="s">
        <v>285</v>
      </c>
      <c r="L3756" s="13" t="s">
        <v>394</v>
      </c>
      <c r="M3756" s="13" t="s">
        <v>359</v>
      </c>
      <c r="N3756" s="15">
        <v>0</v>
      </c>
      <c r="O3756" s="16">
        <v>0</v>
      </c>
      <c r="P3756" s="17">
        <v>14.472799999960397</v>
      </c>
      <c r="Q3756" s="17">
        <v>0</v>
      </c>
      <c r="R3756" s="13"/>
      <c r="S3756" s="13"/>
      <c r="T3756" s="13"/>
      <c r="U3756" s="13"/>
      <c r="V3756" s="13"/>
      <c r="W3756" s="13"/>
    </row>
    <row r="3757" spans="1:23" x14ac:dyDescent="0.2">
      <c r="A3757"/>
      <c r="B3757"/>
      <c r="C3757"/>
      <c r="D3757"/>
      <c r="E3757"/>
      <c r="F3757"/>
      <c r="G3757"/>
      <c r="H3757"/>
      <c r="I3757"/>
      <c r="J3757"/>
      <c r="K3757" s="13" t="s">
        <v>285</v>
      </c>
      <c r="L3757" s="13" t="s">
        <v>395</v>
      </c>
      <c r="M3757" s="13" t="s">
        <v>602</v>
      </c>
      <c r="N3757" s="15">
        <v>3</v>
      </c>
      <c r="O3757" s="16">
        <v>0</v>
      </c>
      <c r="P3757" s="17">
        <v>0</v>
      </c>
      <c r="Q3757" s="17">
        <v>0</v>
      </c>
      <c r="R3757" s="13"/>
      <c r="S3757" s="13"/>
      <c r="T3757" s="13"/>
      <c r="U3757" s="13"/>
      <c r="V3757" s="13"/>
      <c r="W3757" s="13"/>
    </row>
    <row r="3758" spans="1:23" x14ac:dyDescent="0.2">
      <c r="A3758"/>
      <c r="B3758"/>
      <c r="C3758"/>
      <c r="D3758"/>
      <c r="E3758"/>
      <c r="F3758"/>
      <c r="G3758"/>
      <c r="H3758"/>
      <c r="I3758"/>
      <c r="J3758"/>
      <c r="K3758" s="13" t="s">
        <v>285</v>
      </c>
      <c r="L3758" s="13" t="s">
        <v>397</v>
      </c>
      <c r="M3758" s="13" t="s">
        <v>398</v>
      </c>
      <c r="N3758" s="15">
        <v>0</v>
      </c>
      <c r="O3758" s="16">
        <v>0</v>
      </c>
      <c r="P3758" s="17">
        <v>58.904400000560024</v>
      </c>
      <c r="Q3758" s="17">
        <v>0</v>
      </c>
      <c r="R3758" s="13"/>
      <c r="S3758" s="13"/>
      <c r="T3758" s="13"/>
      <c r="U3758" s="13"/>
      <c r="V3758" s="13"/>
      <c r="W3758" s="13"/>
    </row>
    <row r="3759" spans="1:23" x14ac:dyDescent="0.2">
      <c r="A3759"/>
      <c r="B3759"/>
      <c r="C3759"/>
      <c r="D3759"/>
      <c r="E3759"/>
      <c r="F3759"/>
      <c r="G3759"/>
      <c r="H3759"/>
      <c r="I3759"/>
      <c r="J3759"/>
      <c r="K3759" s="13" t="s">
        <v>285</v>
      </c>
      <c r="L3759" s="13" t="s">
        <v>399</v>
      </c>
      <c r="M3759" s="13" t="s">
        <v>400</v>
      </c>
      <c r="N3759" s="15">
        <v>0</v>
      </c>
      <c r="O3759" s="16">
        <v>0</v>
      </c>
      <c r="P3759" s="17">
        <v>1.7210499998302449</v>
      </c>
      <c r="Q3759" s="17">
        <v>0</v>
      </c>
      <c r="R3759" s="13"/>
      <c r="S3759" s="13"/>
      <c r="T3759" s="13"/>
      <c r="U3759" s="13"/>
      <c r="V3759" s="13"/>
      <c r="W3759" s="13"/>
    </row>
    <row r="3760" spans="1:23" x14ac:dyDescent="0.2">
      <c r="A3760"/>
      <c r="B3760"/>
      <c r="C3760"/>
      <c r="D3760"/>
      <c r="E3760"/>
      <c r="F3760"/>
      <c r="G3760"/>
      <c r="H3760"/>
      <c r="I3760"/>
      <c r="J3760"/>
      <c r="K3760" s="13" t="s">
        <v>285</v>
      </c>
      <c r="L3760" s="13" t="s">
        <v>401</v>
      </c>
      <c r="M3760" s="13" t="s">
        <v>360</v>
      </c>
      <c r="N3760" s="15">
        <v>0</v>
      </c>
      <c r="O3760" s="16">
        <v>0</v>
      </c>
      <c r="P3760" s="17">
        <v>223.36750000299361</v>
      </c>
      <c r="Q3760" s="17">
        <v>0</v>
      </c>
      <c r="R3760" s="13"/>
      <c r="S3760" s="13"/>
      <c r="T3760" s="13"/>
      <c r="U3760" s="13"/>
      <c r="V3760" s="13"/>
      <c r="W3760" s="13"/>
    </row>
    <row r="3761" spans="1:23" x14ac:dyDescent="0.2">
      <c r="A3761"/>
      <c r="B3761"/>
      <c r="C3761"/>
      <c r="D3761"/>
      <c r="E3761"/>
      <c r="F3761"/>
      <c r="G3761"/>
      <c r="H3761"/>
      <c r="I3761"/>
      <c r="J3761"/>
      <c r="K3761" s="13" t="s">
        <v>285</v>
      </c>
      <c r="L3761" s="13" t="s">
        <v>402</v>
      </c>
      <c r="M3761" s="13" t="s">
        <v>403</v>
      </c>
      <c r="N3761" s="15">
        <v>0</v>
      </c>
      <c r="O3761" s="16">
        <v>0</v>
      </c>
      <c r="P3761" s="17">
        <v>1527.3672999808284</v>
      </c>
      <c r="Q3761" s="17">
        <v>0</v>
      </c>
      <c r="R3761" s="13"/>
      <c r="S3761" s="13"/>
      <c r="T3761" s="13"/>
      <c r="U3761" s="13"/>
      <c r="V3761" s="13"/>
      <c r="W3761" s="13"/>
    </row>
    <row r="3762" spans="1:23" x14ac:dyDescent="0.2">
      <c r="A3762"/>
      <c r="B3762"/>
      <c r="C3762"/>
      <c r="D3762"/>
      <c r="E3762"/>
      <c r="F3762"/>
      <c r="G3762"/>
      <c r="H3762"/>
      <c r="I3762"/>
      <c r="J3762"/>
      <c r="K3762" s="13" t="s">
        <v>285</v>
      </c>
      <c r="L3762" s="13" t="s">
        <v>448</v>
      </c>
      <c r="M3762" s="13" t="s">
        <v>366</v>
      </c>
      <c r="N3762" s="15">
        <v>0</v>
      </c>
      <c r="O3762" s="16">
        <v>0</v>
      </c>
      <c r="P3762" s="17">
        <v>365.86580000372101</v>
      </c>
      <c r="Q3762" s="17">
        <v>0</v>
      </c>
      <c r="R3762" s="13"/>
      <c r="S3762" s="13"/>
      <c r="T3762" s="13"/>
      <c r="U3762" s="13"/>
      <c r="V3762" s="13"/>
      <c r="W3762" s="13"/>
    </row>
    <row r="3763" spans="1:23" x14ac:dyDescent="0.2">
      <c r="A3763"/>
      <c r="B3763"/>
      <c r="C3763"/>
      <c r="D3763"/>
      <c r="E3763"/>
      <c r="F3763"/>
      <c r="G3763"/>
      <c r="H3763"/>
      <c r="I3763"/>
      <c r="J3763"/>
      <c r="K3763" s="13" t="s">
        <v>285</v>
      </c>
      <c r="L3763" s="13" t="s">
        <v>404</v>
      </c>
      <c r="M3763" s="13" t="s">
        <v>405</v>
      </c>
      <c r="N3763" s="15">
        <v>0</v>
      </c>
      <c r="O3763" s="16">
        <v>0</v>
      </c>
      <c r="P3763" s="17">
        <v>16.955449998702218</v>
      </c>
      <c r="Q3763" s="17">
        <v>93.628648410681762</v>
      </c>
      <c r="R3763" s="13"/>
      <c r="S3763" s="13"/>
      <c r="T3763" s="13"/>
      <c r="U3763" s="13"/>
      <c r="V3763" s="13"/>
      <c r="W3763" s="13"/>
    </row>
    <row r="3764" spans="1:23" x14ac:dyDescent="0.2">
      <c r="A3764"/>
      <c r="B3764"/>
      <c r="C3764"/>
      <c r="D3764"/>
      <c r="E3764"/>
      <c r="F3764"/>
      <c r="G3764"/>
      <c r="H3764"/>
      <c r="I3764"/>
      <c r="J3764"/>
      <c r="K3764" s="13" t="s">
        <v>285</v>
      </c>
      <c r="L3764" s="13" t="s">
        <v>406</v>
      </c>
      <c r="M3764" s="13" t="s">
        <v>361</v>
      </c>
      <c r="N3764" s="15">
        <v>0</v>
      </c>
      <c r="O3764" s="16">
        <v>0</v>
      </c>
      <c r="P3764" s="17">
        <v>9.0934999876985145</v>
      </c>
      <c r="Q3764" s="17">
        <v>9.0934999876985145</v>
      </c>
      <c r="R3764" s="13"/>
      <c r="S3764" s="13"/>
      <c r="T3764" s="13"/>
      <c r="U3764" s="13"/>
      <c r="V3764" s="13"/>
      <c r="W3764" s="13"/>
    </row>
    <row r="3765" spans="1:23" x14ac:dyDescent="0.2">
      <c r="A3765"/>
      <c r="B3765"/>
      <c r="C3765"/>
      <c r="D3765"/>
      <c r="E3765"/>
      <c r="F3765"/>
      <c r="G3765"/>
      <c r="H3765"/>
      <c r="I3765"/>
      <c r="J3765"/>
      <c r="K3765" s="13" t="s">
        <v>285</v>
      </c>
      <c r="L3765" s="13" t="s">
        <v>381</v>
      </c>
      <c r="M3765" s="13" t="s">
        <v>382</v>
      </c>
      <c r="N3765" s="15">
        <v>10</v>
      </c>
      <c r="O3765" s="16">
        <v>0</v>
      </c>
      <c r="P3765" s="17">
        <v>0</v>
      </c>
      <c r="Q3765" s="17">
        <v>0</v>
      </c>
      <c r="R3765" s="13"/>
      <c r="S3765" s="13"/>
      <c r="T3765" s="13"/>
      <c r="U3765" s="13"/>
      <c r="V3765" s="13"/>
      <c r="W3765" s="13"/>
    </row>
    <row r="3766" spans="1:23" x14ac:dyDescent="0.2">
      <c r="A3766"/>
      <c r="B3766"/>
      <c r="C3766"/>
      <c r="D3766"/>
      <c r="E3766"/>
      <c r="F3766"/>
      <c r="G3766"/>
      <c r="H3766"/>
      <c r="I3766"/>
      <c r="J3766"/>
      <c r="K3766" s="13" t="s">
        <v>285</v>
      </c>
      <c r="L3766" s="13" t="s">
        <v>407</v>
      </c>
      <c r="M3766" s="13" t="s">
        <v>408</v>
      </c>
      <c r="N3766" s="15">
        <v>21</v>
      </c>
      <c r="O3766" s="16">
        <v>0</v>
      </c>
      <c r="P3766" s="17">
        <v>0</v>
      </c>
      <c r="Q3766" s="17">
        <v>0</v>
      </c>
      <c r="R3766" s="13"/>
      <c r="S3766" s="13"/>
      <c r="T3766" s="13"/>
      <c r="U3766" s="13"/>
      <c r="V3766" s="13"/>
      <c r="W3766" s="13"/>
    </row>
    <row r="3767" spans="1:23" x14ac:dyDescent="0.2">
      <c r="A3767"/>
      <c r="B3767"/>
      <c r="C3767"/>
      <c r="D3767"/>
      <c r="E3767"/>
      <c r="F3767"/>
      <c r="G3767"/>
      <c r="H3767"/>
      <c r="I3767"/>
      <c r="J3767"/>
      <c r="K3767" s="13" t="s">
        <v>285</v>
      </c>
      <c r="L3767" s="13" t="s">
        <v>505</v>
      </c>
      <c r="M3767" s="13" t="s">
        <v>506</v>
      </c>
      <c r="N3767" s="15">
        <v>3</v>
      </c>
      <c r="O3767" s="16">
        <v>0</v>
      </c>
      <c r="P3767" s="17">
        <v>0</v>
      </c>
      <c r="Q3767" s="17">
        <v>0</v>
      </c>
      <c r="R3767" s="13"/>
      <c r="S3767" s="13"/>
      <c r="T3767" s="13"/>
      <c r="U3767" s="13"/>
      <c r="V3767" s="13"/>
      <c r="W3767" s="13"/>
    </row>
    <row r="3768" spans="1:23" x14ac:dyDescent="0.2">
      <c r="A3768"/>
      <c r="B3768"/>
      <c r="C3768"/>
      <c r="D3768"/>
      <c r="E3768"/>
      <c r="F3768"/>
      <c r="G3768"/>
      <c r="H3768"/>
      <c r="I3768"/>
      <c r="J3768"/>
      <c r="K3768" s="13" t="s">
        <v>285</v>
      </c>
      <c r="L3768" s="13" t="s">
        <v>409</v>
      </c>
      <c r="M3768" s="13" t="s">
        <v>410</v>
      </c>
      <c r="N3768" s="15">
        <v>1</v>
      </c>
      <c r="O3768" s="16">
        <v>0</v>
      </c>
      <c r="P3768" s="17">
        <v>0</v>
      </c>
      <c r="Q3768" s="17">
        <v>0</v>
      </c>
      <c r="R3768" s="13"/>
      <c r="S3768" s="13"/>
      <c r="T3768" s="13"/>
      <c r="U3768" s="13"/>
      <c r="V3768" s="13"/>
      <c r="W3768" s="13"/>
    </row>
    <row r="3769" spans="1:23" x14ac:dyDescent="0.2">
      <c r="A3769"/>
      <c r="B3769"/>
      <c r="C3769"/>
      <c r="D3769"/>
      <c r="E3769"/>
      <c r="F3769"/>
      <c r="G3769"/>
      <c r="H3769"/>
      <c r="I3769"/>
      <c r="J3769"/>
      <c r="K3769" s="13" t="s">
        <v>285</v>
      </c>
      <c r="L3769" s="13" t="s">
        <v>411</v>
      </c>
      <c r="M3769" s="13" t="s">
        <v>362</v>
      </c>
      <c r="N3769" s="15">
        <v>0</v>
      </c>
      <c r="O3769" s="16">
        <v>67.944860468370024</v>
      </c>
      <c r="P3769" s="17">
        <v>0</v>
      </c>
      <c r="Q3769" s="17">
        <v>0</v>
      </c>
      <c r="R3769" s="13"/>
      <c r="S3769" s="13"/>
      <c r="T3769" s="13"/>
      <c r="U3769" s="13"/>
      <c r="V3769" s="13"/>
      <c r="W3769" s="13"/>
    </row>
    <row r="3770" spans="1:23" x14ac:dyDescent="0.2">
      <c r="A3770"/>
      <c r="B3770"/>
      <c r="C3770"/>
      <c r="D3770"/>
      <c r="E3770"/>
      <c r="F3770"/>
      <c r="G3770"/>
      <c r="H3770"/>
      <c r="I3770"/>
      <c r="J3770"/>
      <c r="K3770" s="13" t="s">
        <v>285</v>
      </c>
      <c r="L3770" s="13" t="s">
        <v>413</v>
      </c>
      <c r="M3770" s="13" t="s">
        <v>428</v>
      </c>
      <c r="N3770" s="15">
        <v>2</v>
      </c>
      <c r="O3770" s="16">
        <v>0</v>
      </c>
      <c r="P3770" s="17">
        <v>0</v>
      </c>
      <c r="Q3770" s="17">
        <v>0</v>
      </c>
      <c r="R3770" s="13"/>
      <c r="S3770" s="13"/>
      <c r="T3770" s="13"/>
      <c r="U3770" s="13"/>
      <c r="V3770" s="13"/>
      <c r="W3770" s="13"/>
    </row>
    <row r="3771" spans="1:23" x14ac:dyDescent="0.2">
      <c r="A3771"/>
      <c r="B3771"/>
      <c r="C3771"/>
      <c r="D3771"/>
      <c r="E3771"/>
      <c r="F3771"/>
      <c r="G3771"/>
      <c r="H3771"/>
      <c r="I3771"/>
      <c r="J3771"/>
      <c r="K3771" s="13" t="s">
        <v>285</v>
      </c>
      <c r="L3771" s="13" t="s">
        <v>606</v>
      </c>
      <c r="M3771" s="13" t="s">
        <v>430</v>
      </c>
      <c r="N3771" s="15">
        <v>1</v>
      </c>
      <c r="O3771" s="16">
        <v>0</v>
      </c>
      <c r="P3771" s="17">
        <v>0</v>
      </c>
      <c r="Q3771" s="17">
        <v>0</v>
      </c>
      <c r="R3771" s="13"/>
      <c r="S3771" s="13"/>
      <c r="T3771" s="13"/>
      <c r="U3771" s="13"/>
      <c r="V3771" s="13"/>
      <c r="W3771" s="13"/>
    </row>
    <row r="3772" spans="1:23" x14ac:dyDescent="0.2">
      <c r="A3772"/>
      <c r="B3772"/>
      <c r="C3772"/>
      <c r="D3772"/>
      <c r="E3772"/>
      <c r="F3772"/>
      <c r="G3772"/>
      <c r="H3772"/>
      <c r="I3772"/>
      <c r="J3772"/>
      <c r="K3772" s="13" t="s">
        <v>285</v>
      </c>
      <c r="L3772" s="13" t="s">
        <v>623</v>
      </c>
      <c r="M3772" s="13" t="s">
        <v>530</v>
      </c>
      <c r="N3772" s="15">
        <v>0</v>
      </c>
      <c r="O3772" s="16">
        <v>113.48872866595354</v>
      </c>
      <c r="P3772" s="17">
        <v>0</v>
      </c>
      <c r="Q3772" s="17">
        <v>0</v>
      </c>
      <c r="R3772" s="13"/>
      <c r="S3772" s="13"/>
      <c r="T3772" s="13"/>
      <c r="U3772" s="13"/>
      <c r="V3772" s="13"/>
      <c r="W3772" s="13"/>
    </row>
    <row r="3773" spans="1:23" x14ac:dyDescent="0.2">
      <c r="A3773"/>
      <c r="B3773"/>
      <c r="C3773"/>
      <c r="D3773"/>
      <c r="E3773"/>
      <c r="F3773"/>
      <c r="G3773"/>
      <c r="H3773"/>
      <c r="I3773"/>
      <c r="J3773"/>
      <c r="K3773" s="13" t="s">
        <v>285</v>
      </c>
      <c r="L3773" s="13" t="s">
        <v>608</v>
      </c>
      <c r="M3773" s="13" t="s">
        <v>432</v>
      </c>
      <c r="N3773" s="15">
        <v>17</v>
      </c>
      <c r="O3773" s="16">
        <v>0</v>
      </c>
      <c r="P3773" s="17">
        <v>0</v>
      </c>
      <c r="Q3773" s="17">
        <v>0</v>
      </c>
      <c r="R3773" s="13"/>
      <c r="S3773" s="13"/>
      <c r="T3773" s="13"/>
      <c r="U3773" s="13"/>
      <c r="V3773" s="13"/>
      <c r="W3773" s="13"/>
    </row>
    <row r="3774" spans="1:23" x14ac:dyDescent="0.2">
      <c r="A3774"/>
      <c r="B3774"/>
      <c r="C3774"/>
      <c r="D3774"/>
      <c r="E3774"/>
      <c r="F3774"/>
      <c r="G3774"/>
      <c r="H3774"/>
      <c r="I3774"/>
      <c r="J3774"/>
      <c r="K3774" s="13" t="s">
        <v>285</v>
      </c>
      <c r="L3774" s="13" t="s">
        <v>609</v>
      </c>
      <c r="M3774" s="13" t="s">
        <v>416</v>
      </c>
      <c r="N3774" s="15">
        <v>0</v>
      </c>
      <c r="O3774" s="16">
        <v>12.364075942336665</v>
      </c>
      <c r="P3774" s="17">
        <v>0</v>
      </c>
      <c r="Q3774" s="17">
        <v>0</v>
      </c>
      <c r="R3774" s="13"/>
      <c r="S3774" s="13"/>
      <c r="T3774" s="13"/>
      <c r="U3774" s="13"/>
      <c r="V3774" s="13"/>
      <c r="W3774" s="13"/>
    </row>
    <row r="3775" spans="1:23" x14ac:dyDescent="0.2">
      <c r="A3775"/>
      <c r="B3775"/>
      <c r="C3775"/>
      <c r="D3775"/>
      <c r="E3775"/>
      <c r="F3775"/>
      <c r="G3775"/>
      <c r="H3775"/>
      <c r="I3775"/>
      <c r="J3775"/>
      <c r="K3775" s="13" t="s">
        <v>285</v>
      </c>
      <c r="L3775" s="13" t="s">
        <v>421</v>
      </c>
      <c r="M3775" s="13" t="s">
        <v>443</v>
      </c>
      <c r="N3775" s="15">
        <v>3</v>
      </c>
      <c r="O3775" s="16">
        <v>0</v>
      </c>
      <c r="P3775" s="17">
        <v>0</v>
      </c>
      <c r="Q3775" s="17">
        <v>0</v>
      </c>
      <c r="R3775" s="13"/>
      <c r="S3775" s="13"/>
      <c r="T3775" s="13"/>
      <c r="U3775" s="13"/>
      <c r="V3775" s="13"/>
      <c r="W3775" s="13"/>
    </row>
    <row r="3776" spans="1:23" x14ac:dyDescent="0.2">
      <c r="A3776"/>
      <c r="B3776"/>
      <c r="C3776"/>
      <c r="D3776"/>
      <c r="E3776"/>
      <c r="F3776"/>
      <c r="G3776"/>
      <c r="H3776"/>
      <c r="I3776"/>
      <c r="J3776"/>
      <c r="K3776" s="13" t="s">
        <v>285</v>
      </c>
      <c r="L3776" s="13" t="s">
        <v>383</v>
      </c>
      <c r="M3776" s="13" t="s">
        <v>420</v>
      </c>
      <c r="N3776" s="15">
        <v>8</v>
      </c>
      <c r="O3776" s="16">
        <v>0</v>
      </c>
      <c r="P3776" s="17">
        <v>0</v>
      </c>
      <c r="Q3776" s="17">
        <v>0</v>
      </c>
      <c r="R3776" s="13"/>
      <c r="S3776" s="13"/>
      <c r="T3776" s="13"/>
      <c r="U3776" s="13"/>
      <c r="V3776" s="13"/>
      <c r="W3776" s="13"/>
    </row>
    <row r="3777" spans="1:23" x14ac:dyDescent="0.2">
      <c r="A3777"/>
      <c r="B3777"/>
      <c r="C3777"/>
      <c r="D3777"/>
      <c r="E3777"/>
      <c r="F3777"/>
      <c r="G3777"/>
      <c r="H3777"/>
      <c r="I3777"/>
      <c r="J3777"/>
      <c r="K3777" s="13" t="s">
        <v>285</v>
      </c>
      <c r="L3777" s="13" t="s">
        <v>528</v>
      </c>
      <c r="M3777" s="13" t="s">
        <v>384</v>
      </c>
      <c r="N3777" s="15">
        <v>0</v>
      </c>
      <c r="O3777" s="16">
        <v>236.25797160929267</v>
      </c>
      <c r="P3777" s="17">
        <v>0</v>
      </c>
      <c r="Q3777" s="17">
        <v>0</v>
      </c>
      <c r="R3777" s="13"/>
      <c r="S3777" s="13"/>
      <c r="T3777" s="13"/>
      <c r="U3777" s="13"/>
      <c r="V3777" s="13"/>
      <c r="W3777" s="13"/>
    </row>
    <row r="3778" spans="1:23" x14ac:dyDescent="0.2">
      <c r="A3778"/>
      <c r="B3778"/>
      <c r="C3778"/>
      <c r="D3778"/>
      <c r="E3778"/>
      <c r="F3778"/>
      <c r="G3778"/>
      <c r="H3778"/>
      <c r="I3778"/>
      <c r="J3778"/>
      <c r="K3778" s="13" t="s">
        <v>285</v>
      </c>
      <c r="L3778" s="13" t="s">
        <v>613</v>
      </c>
      <c r="M3778" s="13" t="s">
        <v>444</v>
      </c>
      <c r="N3778" s="15">
        <v>0</v>
      </c>
      <c r="O3778" s="16">
        <v>51.46098163602025</v>
      </c>
      <c r="P3778" s="17">
        <v>0</v>
      </c>
      <c r="Q3778" s="17">
        <v>0</v>
      </c>
      <c r="R3778" s="13"/>
      <c r="S3778" s="13"/>
      <c r="T3778" s="13"/>
      <c r="U3778" s="13"/>
      <c r="V3778" s="13"/>
      <c r="W3778" s="13"/>
    </row>
    <row r="3779" spans="1:23" x14ac:dyDescent="0.2">
      <c r="A3779"/>
      <c r="B3779"/>
      <c r="C3779"/>
      <c r="D3779"/>
      <c r="E3779"/>
      <c r="F3779"/>
      <c r="G3779"/>
      <c r="H3779"/>
      <c r="I3779"/>
      <c r="J3779"/>
      <c r="K3779" s="13" t="s">
        <v>285</v>
      </c>
      <c r="L3779" s="13" t="s">
        <v>611</v>
      </c>
      <c r="M3779" s="13" t="s">
        <v>423</v>
      </c>
      <c r="N3779" s="15">
        <v>0</v>
      </c>
      <c r="O3779" s="16">
        <v>32.340511087957935</v>
      </c>
      <c r="P3779" s="17">
        <v>0</v>
      </c>
      <c r="Q3779" s="17">
        <v>0</v>
      </c>
      <c r="R3779" s="13"/>
      <c r="S3779" s="13"/>
      <c r="T3779" s="13"/>
      <c r="U3779" s="13"/>
      <c r="V3779" s="13"/>
      <c r="W3779" s="13"/>
    </row>
    <row r="3780" spans="1:23" x14ac:dyDescent="0.2">
      <c r="A3780"/>
      <c r="B3780"/>
      <c r="C3780"/>
      <c r="D3780"/>
      <c r="E3780"/>
      <c r="F3780"/>
      <c r="G3780"/>
      <c r="H3780"/>
      <c r="I3780"/>
      <c r="J3780"/>
      <c r="K3780" s="13" t="s">
        <v>285</v>
      </c>
      <c r="L3780" s="13" t="s">
        <v>446</v>
      </c>
      <c r="M3780" s="13" t="s">
        <v>371</v>
      </c>
      <c r="N3780" s="15">
        <v>21</v>
      </c>
      <c r="O3780" s="16">
        <v>0</v>
      </c>
      <c r="P3780" s="17">
        <v>0</v>
      </c>
      <c r="Q3780" s="17">
        <v>0</v>
      </c>
      <c r="R3780" s="13"/>
      <c r="S3780" s="13"/>
      <c r="T3780" s="13"/>
      <c r="U3780" s="13"/>
      <c r="V3780" s="13"/>
      <c r="W3780" s="13"/>
    </row>
    <row r="3781" spans="1:23" x14ac:dyDescent="0.2">
      <c r="A3781"/>
      <c r="B3781"/>
      <c r="C3781"/>
      <c r="D3781"/>
      <c r="E3781"/>
      <c r="F3781"/>
      <c r="G3781"/>
      <c r="H3781"/>
      <c r="I3781"/>
      <c r="J3781"/>
      <c r="K3781" s="13" t="s">
        <v>285</v>
      </c>
      <c r="L3781" s="13" t="s">
        <v>424</v>
      </c>
      <c r="M3781" s="13" t="s">
        <v>468</v>
      </c>
      <c r="N3781" s="15">
        <v>0</v>
      </c>
      <c r="O3781" s="16">
        <v>0</v>
      </c>
      <c r="P3781" s="17">
        <v>9.3510500019460903</v>
      </c>
      <c r="Q3781" s="17">
        <v>0</v>
      </c>
      <c r="R3781" s="13"/>
      <c r="S3781" s="13"/>
      <c r="T3781" s="13"/>
      <c r="U3781" s="13"/>
      <c r="V3781" s="13"/>
      <c r="W3781" s="13"/>
    </row>
    <row r="3782" spans="1:23" x14ac:dyDescent="0.2">
      <c r="A3782"/>
      <c r="B3782"/>
      <c r="C3782"/>
      <c r="D3782"/>
      <c r="E3782"/>
      <c r="F3782"/>
      <c r="G3782"/>
      <c r="H3782"/>
      <c r="I3782"/>
      <c r="J3782"/>
      <c r="K3782" s="13" t="s">
        <v>285</v>
      </c>
      <c r="L3782" s="13" t="s">
        <v>433</v>
      </c>
      <c r="M3782" s="13" t="s">
        <v>434</v>
      </c>
      <c r="N3782" s="15">
        <v>0</v>
      </c>
      <c r="O3782" s="16">
        <v>0</v>
      </c>
      <c r="P3782" s="17">
        <v>4.7883500002070543</v>
      </c>
      <c r="Q3782" s="17">
        <v>0</v>
      </c>
      <c r="R3782" s="13"/>
      <c r="S3782" s="13"/>
      <c r="T3782" s="13"/>
      <c r="U3782" s="13"/>
      <c r="V3782" s="13"/>
      <c r="W3782" s="13"/>
    </row>
    <row r="3783" spans="1:23" x14ac:dyDescent="0.2">
      <c r="A3783"/>
      <c r="B3783"/>
      <c r="C3783"/>
      <c r="D3783"/>
      <c r="E3783"/>
      <c r="F3783"/>
      <c r="G3783"/>
      <c r="H3783"/>
      <c r="I3783"/>
      <c r="J3783"/>
      <c r="K3783" s="13" t="s">
        <v>287</v>
      </c>
      <c r="L3783" s="13" t="s">
        <v>635</v>
      </c>
      <c r="M3783" s="13" t="s">
        <v>507</v>
      </c>
      <c r="N3783" s="15">
        <v>0</v>
      </c>
      <c r="O3783" s="16">
        <v>0</v>
      </c>
      <c r="P3783" s="17">
        <v>0.64125000068452209</v>
      </c>
      <c r="Q3783" s="17">
        <v>0</v>
      </c>
      <c r="R3783" s="13"/>
      <c r="S3783" s="13"/>
      <c r="T3783" s="13"/>
      <c r="U3783" s="13"/>
      <c r="V3783" s="13"/>
      <c r="W3783" s="13"/>
    </row>
    <row r="3784" spans="1:23" x14ac:dyDescent="0.2">
      <c r="A3784"/>
      <c r="B3784"/>
      <c r="C3784"/>
      <c r="D3784"/>
      <c r="E3784"/>
      <c r="F3784"/>
      <c r="G3784"/>
      <c r="H3784"/>
      <c r="I3784"/>
      <c r="J3784"/>
      <c r="K3784" s="13" t="s">
        <v>287</v>
      </c>
      <c r="L3784" s="13" t="s">
        <v>387</v>
      </c>
      <c r="M3784" s="13" t="s">
        <v>386</v>
      </c>
      <c r="N3784" s="15">
        <v>0</v>
      </c>
      <c r="O3784" s="16">
        <v>0</v>
      </c>
      <c r="P3784" s="17">
        <v>406.28320002714185</v>
      </c>
      <c r="Q3784" s="17">
        <v>0</v>
      </c>
      <c r="R3784" s="13"/>
      <c r="S3784" s="13"/>
      <c r="T3784" s="13"/>
      <c r="U3784" s="13"/>
      <c r="V3784" s="13"/>
      <c r="W3784" s="13"/>
    </row>
    <row r="3785" spans="1:23" x14ac:dyDescent="0.2">
      <c r="A3785"/>
      <c r="B3785"/>
      <c r="C3785"/>
      <c r="D3785"/>
      <c r="E3785"/>
      <c r="F3785"/>
      <c r="G3785"/>
      <c r="H3785"/>
      <c r="I3785"/>
      <c r="J3785"/>
      <c r="K3785" s="13" t="s">
        <v>287</v>
      </c>
      <c r="L3785" s="13" t="s">
        <v>389</v>
      </c>
      <c r="M3785" s="13" t="s">
        <v>388</v>
      </c>
      <c r="N3785" s="15">
        <v>0</v>
      </c>
      <c r="O3785" s="16">
        <v>0</v>
      </c>
      <c r="P3785" s="17">
        <v>636.88734997305426</v>
      </c>
      <c r="Q3785" s="17">
        <v>0</v>
      </c>
      <c r="R3785" s="13"/>
      <c r="S3785" s="13"/>
      <c r="T3785" s="13"/>
      <c r="U3785" s="13"/>
      <c r="V3785" s="13"/>
      <c r="W3785" s="13"/>
    </row>
    <row r="3786" spans="1:23" x14ac:dyDescent="0.2">
      <c r="A3786"/>
      <c r="B3786"/>
      <c r="C3786"/>
      <c r="D3786"/>
      <c r="E3786"/>
      <c r="F3786"/>
      <c r="G3786"/>
      <c r="H3786"/>
      <c r="I3786"/>
      <c r="J3786"/>
      <c r="K3786" s="13" t="s">
        <v>287</v>
      </c>
      <c r="L3786" s="13" t="s">
        <v>391</v>
      </c>
      <c r="M3786" s="13" t="s">
        <v>358</v>
      </c>
      <c r="N3786" s="15">
        <v>0</v>
      </c>
      <c r="O3786" s="16">
        <v>0</v>
      </c>
      <c r="P3786" s="17">
        <v>26.041350002239437</v>
      </c>
      <c r="Q3786" s="17">
        <v>0</v>
      </c>
      <c r="R3786" s="13"/>
      <c r="S3786" s="13"/>
      <c r="T3786" s="13"/>
      <c r="U3786" s="13"/>
      <c r="V3786" s="13"/>
      <c r="W3786" s="13"/>
    </row>
    <row r="3787" spans="1:23" x14ac:dyDescent="0.2">
      <c r="A3787"/>
      <c r="B3787"/>
      <c r="C3787"/>
      <c r="D3787"/>
      <c r="E3787"/>
      <c r="F3787"/>
      <c r="G3787"/>
      <c r="H3787"/>
      <c r="I3787"/>
      <c r="J3787"/>
      <c r="K3787" s="13" t="s">
        <v>287</v>
      </c>
      <c r="L3787" s="13" t="s">
        <v>486</v>
      </c>
      <c r="M3787" s="13" t="s">
        <v>439</v>
      </c>
      <c r="N3787" s="15">
        <v>0</v>
      </c>
      <c r="O3787" s="16">
        <v>0</v>
      </c>
      <c r="P3787" s="17">
        <v>13.36359999989029</v>
      </c>
      <c r="Q3787" s="17">
        <v>0</v>
      </c>
      <c r="R3787" s="13"/>
      <c r="S3787" s="13"/>
      <c r="T3787" s="13"/>
      <c r="U3787" s="13"/>
      <c r="V3787" s="13"/>
      <c r="W3787" s="13"/>
    </row>
    <row r="3788" spans="1:23" x14ac:dyDescent="0.2">
      <c r="A3788"/>
      <c r="B3788"/>
      <c r="C3788"/>
      <c r="D3788"/>
      <c r="E3788"/>
      <c r="F3788"/>
      <c r="G3788"/>
      <c r="H3788"/>
      <c r="I3788"/>
      <c r="J3788"/>
      <c r="K3788" s="13" t="s">
        <v>287</v>
      </c>
      <c r="L3788" s="13" t="s">
        <v>512</v>
      </c>
      <c r="M3788" s="13" t="s">
        <v>466</v>
      </c>
      <c r="N3788" s="15">
        <v>0</v>
      </c>
      <c r="O3788" s="16">
        <v>0</v>
      </c>
      <c r="P3788" s="17">
        <v>245.0128000058009</v>
      </c>
      <c r="Q3788" s="17">
        <v>0</v>
      </c>
      <c r="R3788" s="13"/>
      <c r="S3788" s="13"/>
      <c r="T3788" s="13"/>
      <c r="U3788" s="13"/>
      <c r="V3788" s="13"/>
      <c r="W3788" s="13"/>
    </row>
    <row r="3789" spans="1:23" x14ac:dyDescent="0.2">
      <c r="A3789"/>
      <c r="B3789"/>
      <c r="C3789"/>
      <c r="D3789"/>
      <c r="E3789"/>
      <c r="F3789"/>
      <c r="G3789"/>
      <c r="H3789"/>
      <c r="I3789"/>
      <c r="J3789"/>
      <c r="K3789" s="13" t="s">
        <v>287</v>
      </c>
      <c r="L3789" s="13" t="s">
        <v>440</v>
      </c>
      <c r="M3789" s="13" t="s">
        <v>441</v>
      </c>
      <c r="N3789" s="15">
        <v>1</v>
      </c>
      <c r="O3789" s="16">
        <v>0</v>
      </c>
      <c r="P3789" s="17">
        <v>0</v>
      </c>
      <c r="Q3789" s="17">
        <v>0</v>
      </c>
      <c r="R3789" s="13"/>
      <c r="S3789" s="13"/>
      <c r="T3789" s="13"/>
      <c r="U3789" s="13"/>
      <c r="V3789" s="13"/>
      <c r="W3789" s="13"/>
    </row>
    <row r="3790" spans="1:23" x14ac:dyDescent="0.2">
      <c r="A3790"/>
      <c r="B3790"/>
      <c r="C3790"/>
      <c r="D3790"/>
      <c r="E3790"/>
      <c r="F3790"/>
      <c r="G3790"/>
      <c r="H3790"/>
      <c r="I3790"/>
      <c r="J3790"/>
      <c r="K3790" s="13" t="s">
        <v>287</v>
      </c>
      <c r="L3790" s="13" t="s">
        <v>395</v>
      </c>
      <c r="M3790" s="13" t="s">
        <v>602</v>
      </c>
      <c r="N3790" s="15">
        <v>4</v>
      </c>
      <c r="O3790" s="16">
        <v>0</v>
      </c>
      <c r="P3790" s="17">
        <v>0</v>
      </c>
      <c r="Q3790" s="17">
        <v>0</v>
      </c>
      <c r="R3790" s="13"/>
      <c r="S3790" s="13"/>
      <c r="T3790" s="13"/>
      <c r="U3790" s="13"/>
      <c r="V3790" s="13"/>
      <c r="W3790" s="13"/>
    </row>
    <row r="3791" spans="1:23" x14ac:dyDescent="0.2">
      <c r="A3791"/>
      <c r="B3791"/>
      <c r="C3791"/>
      <c r="D3791"/>
      <c r="E3791"/>
      <c r="F3791"/>
      <c r="G3791"/>
      <c r="H3791"/>
      <c r="I3791"/>
      <c r="J3791"/>
      <c r="K3791" s="13" t="s">
        <v>287</v>
      </c>
      <c r="L3791" s="13" t="s">
        <v>399</v>
      </c>
      <c r="M3791" s="13" t="s">
        <v>400</v>
      </c>
      <c r="N3791" s="15">
        <v>0</v>
      </c>
      <c r="O3791" s="16">
        <v>0</v>
      </c>
      <c r="P3791" s="17">
        <v>31.803800004940758</v>
      </c>
      <c r="Q3791" s="17">
        <v>0</v>
      </c>
      <c r="R3791" s="13"/>
      <c r="S3791" s="13"/>
      <c r="T3791" s="13"/>
      <c r="U3791" s="13"/>
      <c r="V3791" s="13"/>
      <c r="W3791" s="13"/>
    </row>
    <row r="3792" spans="1:23" x14ac:dyDescent="0.2">
      <c r="A3792"/>
      <c r="B3792"/>
      <c r="C3792"/>
      <c r="D3792"/>
      <c r="E3792"/>
      <c r="F3792"/>
      <c r="G3792"/>
      <c r="H3792"/>
      <c r="I3792"/>
      <c r="J3792"/>
      <c r="K3792" s="13" t="s">
        <v>287</v>
      </c>
      <c r="L3792" s="13" t="s">
        <v>401</v>
      </c>
      <c r="M3792" s="13" t="s">
        <v>360</v>
      </c>
      <c r="N3792" s="15">
        <v>0</v>
      </c>
      <c r="O3792" s="16">
        <v>0</v>
      </c>
      <c r="P3792" s="17">
        <v>54.193899986805768</v>
      </c>
      <c r="Q3792" s="17">
        <v>0</v>
      </c>
      <c r="R3792" s="13"/>
      <c r="S3792" s="13"/>
      <c r="T3792" s="13"/>
      <c r="U3792" s="13"/>
      <c r="V3792" s="13"/>
      <c r="W3792" s="13"/>
    </row>
    <row r="3793" spans="1:23" x14ac:dyDescent="0.2">
      <c r="A3793"/>
      <c r="B3793"/>
      <c r="C3793"/>
      <c r="D3793"/>
      <c r="E3793"/>
      <c r="F3793"/>
      <c r="G3793"/>
      <c r="H3793"/>
      <c r="I3793"/>
      <c r="J3793"/>
      <c r="K3793" s="13" t="s">
        <v>287</v>
      </c>
      <c r="L3793" s="13" t="s">
        <v>402</v>
      </c>
      <c r="M3793" s="13" t="s">
        <v>403</v>
      </c>
      <c r="N3793" s="15">
        <v>0</v>
      </c>
      <c r="O3793" s="16">
        <v>0</v>
      </c>
      <c r="P3793" s="17">
        <v>1592.175949640477</v>
      </c>
      <c r="Q3793" s="17">
        <v>0</v>
      </c>
      <c r="R3793" s="13"/>
      <c r="S3793" s="13"/>
      <c r="T3793" s="13"/>
      <c r="U3793" s="13"/>
      <c r="V3793" s="13"/>
      <c r="W3793" s="13"/>
    </row>
    <row r="3794" spans="1:23" x14ac:dyDescent="0.2">
      <c r="A3794"/>
      <c r="B3794"/>
      <c r="C3794"/>
      <c r="D3794"/>
      <c r="E3794"/>
      <c r="F3794"/>
      <c r="G3794"/>
      <c r="H3794"/>
      <c r="I3794"/>
      <c r="J3794"/>
      <c r="K3794" s="13" t="s">
        <v>287</v>
      </c>
      <c r="L3794" s="13" t="s">
        <v>404</v>
      </c>
      <c r="M3794" s="13" t="s">
        <v>405</v>
      </c>
      <c r="N3794" s="15">
        <v>0</v>
      </c>
      <c r="O3794" s="16">
        <v>0</v>
      </c>
      <c r="P3794" s="17">
        <v>7.7160499981102069</v>
      </c>
      <c r="Q3794" s="17">
        <v>32.46297020360268</v>
      </c>
      <c r="R3794" s="13"/>
      <c r="S3794" s="13"/>
      <c r="T3794" s="13"/>
      <c r="U3794" s="13"/>
      <c r="V3794" s="13"/>
      <c r="W3794" s="13"/>
    </row>
    <row r="3795" spans="1:23" x14ac:dyDescent="0.2">
      <c r="A3795"/>
      <c r="B3795"/>
      <c r="C3795"/>
      <c r="D3795"/>
      <c r="E3795"/>
      <c r="F3795"/>
      <c r="G3795"/>
      <c r="H3795"/>
      <c r="I3795"/>
      <c r="J3795"/>
      <c r="K3795" s="13" t="s">
        <v>287</v>
      </c>
      <c r="L3795" s="13" t="s">
        <v>381</v>
      </c>
      <c r="M3795" s="13" t="s">
        <v>382</v>
      </c>
      <c r="N3795" s="15">
        <v>21</v>
      </c>
      <c r="O3795" s="16">
        <v>0</v>
      </c>
      <c r="P3795" s="17">
        <v>0</v>
      </c>
      <c r="Q3795" s="17">
        <v>0</v>
      </c>
      <c r="R3795" s="13"/>
      <c r="S3795" s="13"/>
      <c r="T3795" s="13"/>
      <c r="U3795" s="13"/>
      <c r="V3795" s="13"/>
      <c r="W3795" s="13"/>
    </row>
    <row r="3796" spans="1:23" x14ac:dyDescent="0.2">
      <c r="A3796"/>
      <c r="B3796"/>
      <c r="C3796"/>
      <c r="D3796"/>
      <c r="E3796"/>
      <c r="F3796"/>
      <c r="G3796"/>
      <c r="H3796"/>
      <c r="I3796"/>
      <c r="J3796"/>
      <c r="K3796" s="13" t="s">
        <v>287</v>
      </c>
      <c r="L3796" s="13" t="s">
        <v>409</v>
      </c>
      <c r="M3796" s="13" t="s">
        <v>410</v>
      </c>
      <c r="N3796" s="15">
        <v>2</v>
      </c>
      <c r="O3796" s="16">
        <v>0</v>
      </c>
      <c r="P3796" s="17">
        <v>0</v>
      </c>
      <c r="Q3796" s="17">
        <v>0</v>
      </c>
      <c r="R3796" s="13"/>
      <c r="S3796" s="13"/>
      <c r="T3796" s="13"/>
      <c r="U3796" s="13"/>
      <c r="V3796" s="13"/>
      <c r="W3796" s="13"/>
    </row>
    <row r="3797" spans="1:23" x14ac:dyDescent="0.2">
      <c r="A3797"/>
      <c r="B3797"/>
      <c r="C3797"/>
      <c r="D3797"/>
      <c r="E3797"/>
      <c r="F3797"/>
      <c r="G3797"/>
      <c r="H3797"/>
      <c r="I3797"/>
      <c r="J3797"/>
      <c r="K3797" s="13" t="s">
        <v>287</v>
      </c>
      <c r="L3797" s="13" t="s">
        <v>411</v>
      </c>
      <c r="M3797" s="13" t="s">
        <v>362</v>
      </c>
      <c r="N3797" s="15">
        <v>0</v>
      </c>
      <c r="O3797" s="16">
        <v>0</v>
      </c>
      <c r="P3797" s="17">
        <v>47.710549990970691</v>
      </c>
      <c r="Q3797" s="17">
        <v>0</v>
      </c>
      <c r="R3797" s="13"/>
      <c r="S3797" s="13"/>
      <c r="T3797" s="13"/>
      <c r="U3797" s="13"/>
      <c r="V3797" s="13"/>
      <c r="W3797" s="13"/>
    </row>
    <row r="3798" spans="1:23" x14ac:dyDescent="0.2">
      <c r="A3798"/>
      <c r="B3798"/>
      <c r="C3798"/>
      <c r="D3798"/>
      <c r="E3798"/>
      <c r="F3798"/>
      <c r="G3798"/>
      <c r="H3798"/>
      <c r="I3798"/>
      <c r="J3798"/>
      <c r="K3798" s="13" t="s">
        <v>287</v>
      </c>
      <c r="L3798" s="13" t="s">
        <v>411</v>
      </c>
      <c r="M3798" s="13" t="s">
        <v>362</v>
      </c>
      <c r="N3798" s="15">
        <v>0</v>
      </c>
      <c r="O3798" s="16">
        <v>36.341995663464168</v>
      </c>
      <c r="P3798" s="17">
        <v>0</v>
      </c>
      <c r="Q3798" s="17">
        <v>0</v>
      </c>
      <c r="R3798" s="13"/>
      <c r="S3798" s="13"/>
      <c r="T3798" s="13"/>
      <c r="U3798" s="13"/>
      <c r="V3798" s="13"/>
      <c r="W3798" s="13"/>
    </row>
    <row r="3799" spans="1:23" x14ac:dyDescent="0.2">
      <c r="A3799"/>
      <c r="B3799"/>
      <c r="C3799"/>
      <c r="D3799"/>
      <c r="E3799"/>
      <c r="F3799"/>
      <c r="G3799"/>
      <c r="H3799"/>
      <c r="I3799"/>
      <c r="J3799"/>
      <c r="K3799" s="13" t="s">
        <v>287</v>
      </c>
      <c r="L3799" s="13" t="s">
        <v>411</v>
      </c>
      <c r="M3799" s="13" t="s">
        <v>362</v>
      </c>
      <c r="N3799" s="15">
        <v>1</v>
      </c>
      <c r="O3799" s="16">
        <v>0</v>
      </c>
      <c r="P3799" s="17">
        <v>0</v>
      </c>
      <c r="Q3799" s="17">
        <v>0</v>
      </c>
      <c r="R3799" s="13"/>
      <c r="S3799" s="13"/>
      <c r="T3799" s="13"/>
      <c r="U3799" s="13"/>
      <c r="V3799" s="13"/>
      <c r="W3799" s="13"/>
    </row>
    <row r="3800" spans="1:23" x14ac:dyDescent="0.2">
      <c r="A3800"/>
      <c r="B3800"/>
      <c r="C3800"/>
      <c r="D3800"/>
      <c r="E3800"/>
      <c r="F3800"/>
      <c r="G3800"/>
      <c r="H3800"/>
      <c r="I3800"/>
      <c r="J3800"/>
      <c r="K3800" s="13" t="s">
        <v>287</v>
      </c>
      <c r="L3800" s="13" t="s">
        <v>606</v>
      </c>
      <c r="M3800" s="13" t="s">
        <v>430</v>
      </c>
      <c r="N3800" s="15">
        <v>5</v>
      </c>
      <c r="O3800" s="16">
        <v>0</v>
      </c>
      <c r="P3800" s="17">
        <v>0</v>
      </c>
      <c r="Q3800" s="17">
        <v>0</v>
      </c>
      <c r="R3800" s="13"/>
      <c r="S3800" s="13"/>
      <c r="T3800" s="13"/>
      <c r="U3800" s="13"/>
      <c r="V3800" s="13"/>
      <c r="W3800" s="13"/>
    </row>
    <row r="3801" spans="1:23" x14ac:dyDescent="0.2">
      <c r="A3801"/>
      <c r="B3801"/>
      <c r="C3801"/>
      <c r="D3801"/>
      <c r="E3801"/>
      <c r="F3801"/>
      <c r="G3801"/>
      <c r="H3801"/>
      <c r="I3801"/>
      <c r="J3801"/>
      <c r="K3801" s="13" t="s">
        <v>287</v>
      </c>
      <c r="L3801" s="13" t="s">
        <v>623</v>
      </c>
      <c r="M3801" s="13" t="s">
        <v>530</v>
      </c>
      <c r="N3801" s="15">
        <v>0</v>
      </c>
      <c r="O3801" s="16">
        <v>87.342925234054903</v>
      </c>
      <c r="P3801" s="17">
        <v>0</v>
      </c>
      <c r="Q3801" s="17">
        <v>0</v>
      </c>
      <c r="R3801" s="13"/>
      <c r="S3801" s="13"/>
      <c r="T3801" s="13"/>
      <c r="U3801" s="13"/>
      <c r="V3801" s="13"/>
      <c r="W3801" s="13"/>
    </row>
    <row r="3802" spans="1:23" x14ac:dyDescent="0.2">
      <c r="A3802"/>
      <c r="B3802"/>
      <c r="C3802"/>
      <c r="D3802"/>
      <c r="E3802"/>
      <c r="F3802"/>
      <c r="G3802"/>
      <c r="H3802"/>
      <c r="I3802"/>
      <c r="J3802"/>
      <c r="K3802" s="13" t="s">
        <v>287</v>
      </c>
      <c r="L3802" s="13" t="s">
        <v>607</v>
      </c>
      <c r="M3802" s="13" t="s">
        <v>431</v>
      </c>
      <c r="N3802" s="15">
        <v>4</v>
      </c>
      <c r="O3802" s="16">
        <v>0</v>
      </c>
      <c r="P3802" s="17">
        <v>0</v>
      </c>
      <c r="Q3802" s="17">
        <v>0</v>
      </c>
      <c r="R3802" s="13"/>
      <c r="S3802" s="13"/>
      <c r="T3802" s="13"/>
      <c r="U3802" s="13"/>
      <c r="V3802" s="13"/>
      <c r="W3802" s="13"/>
    </row>
    <row r="3803" spans="1:23" x14ac:dyDescent="0.2">
      <c r="A3803"/>
      <c r="B3803"/>
      <c r="C3803"/>
      <c r="D3803"/>
      <c r="E3803"/>
      <c r="F3803"/>
      <c r="G3803"/>
      <c r="H3803"/>
      <c r="I3803"/>
      <c r="J3803"/>
      <c r="K3803" s="13" t="s">
        <v>287</v>
      </c>
      <c r="L3803" s="13" t="s">
        <v>608</v>
      </c>
      <c r="M3803" s="13" t="s">
        <v>432</v>
      </c>
      <c r="N3803" s="15">
        <v>12</v>
      </c>
      <c r="O3803" s="16">
        <v>0</v>
      </c>
      <c r="P3803" s="17">
        <v>0</v>
      </c>
      <c r="Q3803" s="17">
        <v>0</v>
      </c>
      <c r="R3803" s="13"/>
      <c r="S3803" s="13"/>
      <c r="T3803" s="13"/>
      <c r="U3803" s="13"/>
      <c r="V3803" s="13"/>
      <c r="W3803" s="13"/>
    </row>
    <row r="3804" spans="1:23" x14ac:dyDescent="0.2">
      <c r="A3804"/>
      <c r="B3804"/>
      <c r="C3804"/>
      <c r="D3804"/>
      <c r="E3804"/>
      <c r="F3804"/>
      <c r="G3804"/>
      <c r="H3804"/>
      <c r="I3804"/>
      <c r="J3804"/>
      <c r="K3804" s="13" t="s">
        <v>287</v>
      </c>
      <c r="L3804" s="13" t="s">
        <v>615</v>
      </c>
      <c r="M3804" s="13" t="s">
        <v>449</v>
      </c>
      <c r="N3804" s="15">
        <v>2</v>
      </c>
      <c r="O3804" s="16">
        <v>0</v>
      </c>
      <c r="P3804" s="17">
        <v>0</v>
      </c>
      <c r="Q3804" s="17">
        <v>0</v>
      </c>
      <c r="R3804" s="13"/>
      <c r="S3804" s="13"/>
      <c r="T3804" s="13"/>
      <c r="U3804" s="13"/>
      <c r="V3804" s="13"/>
      <c r="W3804" s="13"/>
    </row>
    <row r="3805" spans="1:23" x14ac:dyDescent="0.2">
      <c r="A3805"/>
      <c r="B3805"/>
      <c r="C3805"/>
      <c r="D3805"/>
      <c r="E3805"/>
      <c r="F3805"/>
      <c r="G3805"/>
      <c r="H3805"/>
      <c r="I3805"/>
      <c r="J3805"/>
      <c r="K3805" s="13" t="s">
        <v>287</v>
      </c>
      <c r="L3805" s="13" t="s">
        <v>609</v>
      </c>
      <c r="M3805" s="13" t="s">
        <v>416</v>
      </c>
      <c r="N3805" s="15">
        <v>0</v>
      </c>
      <c r="O3805" s="16">
        <v>8.0432155921678135</v>
      </c>
      <c r="P3805" s="17">
        <v>0</v>
      </c>
      <c r="Q3805" s="17">
        <v>0</v>
      </c>
      <c r="R3805" s="13"/>
      <c r="S3805" s="13"/>
      <c r="T3805" s="13"/>
      <c r="U3805" s="13"/>
      <c r="V3805" s="13"/>
      <c r="W3805" s="13"/>
    </row>
    <row r="3806" spans="1:23" x14ac:dyDescent="0.2">
      <c r="A3806"/>
      <c r="B3806"/>
      <c r="C3806"/>
      <c r="D3806"/>
      <c r="E3806"/>
      <c r="F3806"/>
      <c r="G3806"/>
      <c r="H3806"/>
      <c r="I3806"/>
      <c r="J3806"/>
      <c r="K3806" s="13" t="s">
        <v>287</v>
      </c>
      <c r="L3806" s="13" t="s">
        <v>383</v>
      </c>
      <c r="M3806" s="13" t="s">
        <v>420</v>
      </c>
      <c r="N3806" s="15">
        <v>5</v>
      </c>
      <c r="O3806" s="16">
        <v>0</v>
      </c>
      <c r="P3806" s="17">
        <v>0</v>
      </c>
      <c r="Q3806" s="17">
        <v>0</v>
      </c>
      <c r="R3806" s="13"/>
      <c r="S3806" s="13"/>
      <c r="T3806" s="13"/>
      <c r="U3806" s="13"/>
      <c r="V3806" s="13"/>
      <c r="W3806" s="13"/>
    </row>
    <row r="3807" spans="1:23" x14ac:dyDescent="0.2">
      <c r="A3807"/>
      <c r="B3807"/>
      <c r="C3807"/>
      <c r="D3807"/>
      <c r="E3807"/>
      <c r="F3807"/>
      <c r="G3807"/>
      <c r="H3807"/>
      <c r="I3807"/>
      <c r="J3807"/>
      <c r="K3807" s="13" t="s">
        <v>287</v>
      </c>
      <c r="L3807" s="13" t="s">
        <v>528</v>
      </c>
      <c r="M3807" s="13" t="s">
        <v>384</v>
      </c>
      <c r="N3807" s="15">
        <v>0</v>
      </c>
      <c r="O3807" s="16">
        <v>216.81961765730244</v>
      </c>
      <c r="P3807" s="17">
        <v>0</v>
      </c>
      <c r="Q3807" s="17">
        <v>0</v>
      </c>
      <c r="R3807" s="13"/>
      <c r="S3807" s="13"/>
      <c r="T3807" s="13"/>
      <c r="U3807" s="13"/>
      <c r="V3807" s="13"/>
      <c r="W3807" s="13"/>
    </row>
    <row r="3808" spans="1:23" x14ac:dyDescent="0.2">
      <c r="A3808"/>
      <c r="B3808"/>
      <c r="C3808"/>
      <c r="D3808"/>
      <c r="E3808"/>
      <c r="F3808"/>
      <c r="G3808"/>
      <c r="H3808"/>
      <c r="I3808"/>
      <c r="J3808"/>
      <c r="K3808" s="13" t="s">
        <v>287</v>
      </c>
      <c r="L3808" s="13" t="s">
        <v>613</v>
      </c>
      <c r="M3808" s="13" t="s">
        <v>444</v>
      </c>
      <c r="N3808" s="15">
        <v>0</v>
      </c>
      <c r="O3808" s="16">
        <v>42.376918624907717</v>
      </c>
      <c r="P3808" s="17">
        <v>0</v>
      </c>
      <c r="Q3808" s="17">
        <v>0</v>
      </c>
      <c r="R3808" s="13"/>
      <c r="S3808" s="13"/>
      <c r="T3808" s="13"/>
      <c r="U3808" s="13"/>
      <c r="V3808" s="13"/>
      <c r="W3808" s="13"/>
    </row>
    <row r="3809" spans="1:23" x14ac:dyDescent="0.2">
      <c r="A3809"/>
      <c r="B3809"/>
      <c r="C3809"/>
      <c r="D3809"/>
      <c r="E3809"/>
      <c r="F3809"/>
      <c r="G3809"/>
      <c r="H3809"/>
      <c r="I3809"/>
      <c r="J3809"/>
      <c r="K3809" s="13" t="s">
        <v>287</v>
      </c>
      <c r="L3809" s="13" t="s">
        <v>611</v>
      </c>
      <c r="M3809" s="13" t="s">
        <v>423</v>
      </c>
      <c r="N3809" s="15">
        <v>0</v>
      </c>
      <c r="O3809" s="16">
        <v>8.26218146053289</v>
      </c>
      <c r="P3809" s="17">
        <v>0</v>
      </c>
      <c r="Q3809" s="17">
        <v>0</v>
      </c>
      <c r="R3809" s="13"/>
      <c r="S3809" s="13"/>
      <c r="T3809" s="13"/>
      <c r="U3809" s="13"/>
      <c r="V3809" s="13"/>
      <c r="W3809" s="13"/>
    </row>
    <row r="3810" spans="1:23" x14ac:dyDescent="0.2">
      <c r="A3810"/>
      <c r="B3810"/>
      <c r="C3810"/>
      <c r="D3810"/>
      <c r="E3810"/>
      <c r="F3810"/>
      <c r="G3810"/>
      <c r="H3810"/>
      <c r="I3810"/>
      <c r="J3810"/>
      <c r="K3810" s="13" t="s">
        <v>287</v>
      </c>
      <c r="L3810" s="13" t="s">
        <v>446</v>
      </c>
      <c r="M3810" s="13" t="s">
        <v>371</v>
      </c>
      <c r="N3810" s="15">
        <v>20</v>
      </c>
      <c r="O3810" s="16">
        <v>0</v>
      </c>
      <c r="P3810" s="17">
        <v>0</v>
      </c>
      <c r="Q3810" s="17">
        <v>0</v>
      </c>
      <c r="R3810" s="13"/>
      <c r="S3810" s="13"/>
      <c r="T3810" s="13"/>
      <c r="U3810" s="13"/>
      <c r="V3810" s="13"/>
      <c r="W3810" s="13"/>
    </row>
    <row r="3811" spans="1:23" x14ac:dyDescent="0.2">
      <c r="A3811"/>
      <c r="B3811"/>
      <c r="C3811"/>
      <c r="D3811"/>
      <c r="E3811"/>
      <c r="F3811"/>
      <c r="G3811"/>
      <c r="H3811"/>
      <c r="I3811"/>
      <c r="J3811"/>
      <c r="K3811" s="13" t="s">
        <v>287</v>
      </c>
      <c r="L3811" s="13" t="s">
        <v>424</v>
      </c>
      <c r="M3811" s="13" t="s">
        <v>468</v>
      </c>
      <c r="N3811" s="15">
        <v>0</v>
      </c>
      <c r="O3811" s="16">
        <v>0</v>
      </c>
      <c r="P3811" s="17">
        <v>28.101893180769128</v>
      </c>
      <c r="Q3811" s="17">
        <v>0</v>
      </c>
      <c r="R3811" s="13"/>
      <c r="S3811" s="13"/>
      <c r="T3811" s="13"/>
      <c r="U3811" s="13"/>
      <c r="V3811" s="13"/>
      <c r="W3811" s="13"/>
    </row>
    <row r="3812" spans="1:23" x14ac:dyDescent="0.2">
      <c r="A3812"/>
      <c r="B3812"/>
      <c r="C3812"/>
      <c r="D3812"/>
      <c r="E3812"/>
      <c r="F3812"/>
      <c r="G3812"/>
      <c r="H3812"/>
      <c r="I3812"/>
      <c r="J3812"/>
      <c r="K3812" s="13" t="s">
        <v>287</v>
      </c>
      <c r="L3812" s="13" t="s">
        <v>484</v>
      </c>
      <c r="M3812" s="13" t="s">
        <v>529</v>
      </c>
      <c r="N3812" s="15">
        <v>0</v>
      </c>
      <c r="O3812" s="16">
        <v>141.69320438236502</v>
      </c>
      <c r="P3812" s="17">
        <v>0</v>
      </c>
      <c r="Q3812" s="17">
        <v>0</v>
      </c>
      <c r="R3812" s="13"/>
      <c r="S3812" s="13"/>
      <c r="T3812" s="13"/>
      <c r="U3812" s="13"/>
      <c r="V3812" s="13"/>
      <c r="W3812" s="13"/>
    </row>
    <row r="3813" spans="1:23" x14ac:dyDescent="0.2">
      <c r="A3813"/>
      <c r="B3813"/>
      <c r="C3813"/>
      <c r="D3813"/>
      <c r="E3813"/>
      <c r="F3813"/>
      <c r="G3813"/>
      <c r="H3813"/>
      <c r="I3813"/>
      <c r="J3813"/>
      <c r="K3813" s="13" t="s">
        <v>287</v>
      </c>
      <c r="L3813" s="13" t="s">
        <v>627</v>
      </c>
      <c r="M3813" s="13" t="s">
        <v>628</v>
      </c>
      <c r="N3813" s="15">
        <v>0</v>
      </c>
      <c r="O3813" s="16">
        <v>12.452826242298318</v>
      </c>
      <c r="P3813" s="17">
        <v>0</v>
      </c>
      <c r="Q3813" s="17">
        <v>0</v>
      </c>
      <c r="R3813" s="13"/>
      <c r="S3813" s="13"/>
      <c r="T3813" s="13"/>
      <c r="U3813" s="13"/>
      <c r="V3813" s="13"/>
      <c r="W3813" s="13"/>
    </row>
    <row r="3814" spans="1:23" x14ac:dyDescent="0.2">
      <c r="A3814"/>
      <c r="B3814"/>
      <c r="C3814"/>
      <c r="D3814"/>
      <c r="E3814"/>
      <c r="F3814"/>
      <c r="G3814"/>
      <c r="H3814"/>
      <c r="I3814"/>
      <c r="J3814"/>
      <c r="K3814" s="13" t="s">
        <v>289</v>
      </c>
      <c r="L3814" s="13" t="s">
        <v>435</v>
      </c>
      <c r="M3814" s="13" t="s">
        <v>364</v>
      </c>
      <c r="N3814" s="15">
        <v>0</v>
      </c>
      <c r="O3814" s="16">
        <v>0</v>
      </c>
      <c r="P3814" s="17">
        <v>115.84554999743639</v>
      </c>
      <c r="Q3814" s="17">
        <v>0</v>
      </c>
      <c r="R3814" s="13"/>
      <c r="S3814" s="13"/>
      <c r="T3814" s="13"/>
      <c r="U3814" s="13"/>
      <c r="V3814" s="13"/>
      <c r="W3814" s="13"/>
    </row>
    <row r="3815" spans="1:23" x14ac:dyDescent="0.2">
      <c r="A3815"/>
      <c r="B3815"/>
      <c r="C3815"/>
      <c r="D3815"/>
      <c r="E3815"/>
      <c r="F3815"/>
      <c r="G3815"/>
      <c r="H3815"/>
      <c r="I3815"/>
      <c r="J3815"/>
      <c r="K3815" s="13" t="s">
        <v>289</v>
      </c>
      <c r="L3815" s="13" t="s">
        <v>389</v>
      </c>
      <c r="M3815" s="13" t="s">
        <v>388</v>
      </c>
      <c r="N3815" s="15">
        <v>0</v>
      </c>
      <c r="O3815" s="16">
        <v>0</v>
      </c>
      <c r="P3815" s="17">
        <v>794.63924998713628</v>
      </c>
      <c r="Q3815" s="17">
        <v>0</v>
      </c>
      <c r="R3815" s="13"/>
      <c r="S3815" s="13"/>
      <c r="T3815" s="13"/>
      <c r="U3815" s="13"/>
      <c r="V3815" s="13"/>
      <c r="W3815" s="13"/>
    </row>
    <row r="3816" spans="1:23" x14ac:dyDescent="0.2">
      <c r="A3816"/>
      <c r="B3816"/>
      <c r="C3816"/>
      <c r="D3816"/>
      <c r="E3816"/>
      <c r="F3816"/>
      <c r="G3816"/>
      <c r="H3816"/>
      <c r="I3816"/>
      <c r="J3816"/>
      <c r="K3816" s="13" t="s">
        <v>289</v>
      </c>
      <c r="L3816" s="13" t="s">
        <v>391</v>
      </c>
      <c r="M3816" s="13" t="s">
        <v>358</v>
      </c>
      <c r="N3816" s="15">
        <v>0</v>
      </c>
      <c r="O3816" s="16">
        <v>0</v>
      </c>
      <c r="P3816" s="17">
        <v>19.989300002634337</v>
      </c>
      <c r="Q3816" s="17">
        <v>0</v>
      </c>
      <c r="R3816" s="13"/>
      <c r="S3816" s="13"/>
      <c r="T3816" s="13"/>
      <c r="U3816" s="13"/>
      <c r="V3816" s="13"/>
      <c r="W3816" s="13"/>
    </row>
    <row r="3817" spans="1:23" x14ac:dyDescent="0.2">
      <c r="A3817"/>
      <c r="B3817"/>
      <c r="C3817"/>
      <c r="D3817"/>
      <c r="E3817"/>
      <c r="F3817"/>
      <c r="G3817"/>
      <c r="H3817"/>
      <c r="I3817"/>
      <c r="J3817"/>
      <c r="K3817" s="13" t="s">
        <v>289</v>
      </c>
      <c r="L3817" s="13" t="s">
        <v>486</v>
      </c>
      <c r="M3817" s="13" t="s">
        <v>439</v>
      </c>
      <c r="N3817" s="15">
        <v>0</v>
      </c>
      <c r="O3817" s="16">
        <v>0</v>
      </c>
      <c r="P3817" s="17">
        <v>26.311150001200637</v>
      </c>
      <c r="Q3817" s="17">
        <v>0</v>
      </c>
      <c r="R3817" s="13"/>
      <c r="S3817" s="13"/>
      <c r="T3817" s="13"/>
      <c r="U3817" s="13"/>
      <c r="V3817" s="13"/>
      <c r="W3817" s="13"/>
    </row>
    <row r="3818" spans="1:23" x14ac:dyDescent="0.2">
      <c r="A3818"/>
      <c r="B3818"/>
      <c r="C3818"/>
      <c r="D3818"/>
      <c r="E3818"/>
      <c r="F3818"/>
      <c r="G3818"/>
      <c r="H3818"/>
      <c r="I3818"/>
      <c r="J3818"/>
      <c r="K3818" s="13" t="s">
        <v>289</v>
      </c>
      <c r="L3818" s="13" t="s">
        <v>512</v>
      </c>
      <c r="M3818" s="13" t="s">
        <v>466</v>
      </c>
      <c r="N3818" s="15">
        <v>0</v>
      </c>
      <c r="O3818" s="16">
        <v>0</v>
      </c>
      <c r="P3818" s="17">
        <v>37.343000007137192</v>
      </c>
      <c r="Q3818" s="17">
        <v>0</v>
      </c>
      <c r="R3818" s="13"/>
      <c r="S3818" s="13"/>
      <c r="T3818" s="13"/>
      <c r="U3818" s="13"/>
      <c r="V3818" s="13"/>
      <c r="W3818" s="13"/>
    </row>
    <row r="3819" spans="1:23" x14ac:dyDescent="0.2">
      <c r="A3819"/>
      <c r="B3819"/>
      <c r="C3819"/>
      <c r="D3819"/>
      <c r="E3819"/>
      <c r="F3819"/>
      <c r="G3819"/>
      <c r="H3819"/>
      <c r="I3819"/>
      <c r="J3819"/>
      <c r="K3819" s="13" t="s">
        <v>289</v>
      </c>
      <c r="L3819" s="13" t="s">
        <v>532</v>
      </c>
      <c r="M3819" s="13" t="s">
        <v>620</v>
      </c>
      <c r="N3819" s="15">
        <v>0</v>
      </c>
      <c r="O3819" s="16">
        <v>0</v>
      </c>
      <c r="P3819" s="17">
        <v>352.67021997226664</v>
      </c>
      <c r="Q3819" s="17">
        <v>0</v>
      </c>
      <c r="R3819" s="13"/>
      <c r="S3819" s="13"/>
      <c r="T3819" s="13"/>
      <c r="U3819" s="13"/>
      <c r="V3819" s="13"/>
      <c r="W3819" s="13"/>
    </row>
    <row r="3820" spans="1:23" x14ac:dyDescent="0.2">
      <c r="A3820"/>
      <c r="B3820"/>
      <c r="C3820"/>
      <c r="D3820"/>
      <c r="E3820"/>
      <c r="F3820"/>
      <c r="G3820"/>
      <c r="H3820"/>
      <c r="I3820"/>
      <c r="J3820"/>
      <c r="K3820" s="13" t="s">
        <v>289</v>
      </c>
      <c r="L3820" s="13" t="s">
        <v>440</v>
      </c>
      <c r="M3820" s="13" t="s">
        <v>441</v>
      </c>
      <c r="N3820" s="15">
        <v>1</v>
      </c>
      <c r="O3820" s="16">
        <v>0</v>
      </c>
      <c r="P3820" s="17">
        <v>0</v>
      </c>
      <c r="Q3820" s="17">
        <v>0</v>
      </c>
      <c r="R3820" s="13"/>
      <c r="S3820" s="13"/>
      <c r="T3820" s="13"/>
      <c r="U3820" s="13"/>
      <c r="V3820" s="13"/>
      <c r="W3820" s="13"/>
    </row>
    <row r="3821" spans="1:23" x14ac:dyDescent="0.2">
      <c r="A3821"/>
      <c r="B3821"/>
      <c r="C3821"/>
      <c r="D3821"/>
      <c r="E3821"/>
      <c r="F3821"/>
      <c r="G3821"/>
      <c r="H3821"/>
      <c r="I3821"/>
      <c r="J3821"/>
      <c r="K3821" s="13" t="s">
        <v>289</v>
      </c>
      <c r="L3821" s="13" t="s">
        <v>394</v>
      </c>
      <c r="M3821" s="13" t="s">
        <v>359</v>
      </c>
      <c r="N3821" s="15">
        <v>0</v>
      </c>
      <c r="O3821" s="16">
        <v>0</v>
      </c>
      <c r="P3821" s="17">
        <v>22.636799999118018</v>
      </c>
      <c r="Q3821" s="17">
        <v>0</v>
      </c>
      <c r="R3821" s="13"/>
      <c r="S3821" s="13"/>
      <c r="T3821" s="13"/>
      <c r="U3821" s="13"/>
      <c r="V3821" s="13"/>
      <c r="W3821" s="13"/>
    </row>
    <row r="3822" spans="1:23" x14ac:dyDescent="0.2">
      <c r="A3822"/>
      <c r="B3822"/>
      <c r="C3822"/>
      <c r="D3822"/>
      <c r="E3822"/>
      <c r="F3822"/>
      <c r="G3822"/>
      <c r="H3822"/>
      <c r="I3822"/>
      <c r="J3822"/>
      <c r="K3822" s="13" t="s">
        <v>289</v>
      </c>
      <c r="L3822" s="13" t="s">
        <v>395</v>
      </c>
      <c r="M3822" s="13" t="s">
        <v>602</v>
      </c>
      <c r="N3822" s="15">
        <v>12</v>
      </c>
      <c r="O3822" s="16">
        <v>0</v>
      </c>
      <c r="P3822" s="17">
        <v>0</v>
      </c>
      <c r="Q3822" s="17">
        <v>0</v>
      </c>
      <c r="R3822" s="13"/>
      <c r="S3822" s="13"/>
      <c r="T3822" s="13"/>
      <c r="U3822" s="13"/>
      <c r="V3822" s="13"/>
      <c r="W3822" s="13"/>
    </row>
    <row r="3823" spans="1:23" x14ac:dyDescent="0.2">
      <c r="A3823"/>
      <c r="B3823"/>
      <c r="C3823"/>
      <c r="D3823"/>
      <c r="E3823"/>
      <c r="F3823"/>
      <c r="G3823"/>
      <c r="H3823"/>
      <c r="I3823"/>
      <c r="J3823"/>
      <c r="K3823" s="13" t="s">
        <v>289</v>
      </c>
      <c r="L3823" s="13" t="s">
        <v>397</v>
      </c>
      <c r="M3823" s="13" t="s">
        <v>398</v>
      </c>
      <c r="N3823" s="15">
        <v>0</v>
      </c>
      <c r="O3823" s="16">
        <v>0</v>
      </c>
      <c r="P3823" s="17">
        <v>35.886299995760254</v>
      </c>
      <c r="Q3823" s="17">
        <v>0</v>
      </c>
      <c r="R3823" s="13"/>
      <c r="S3823" s="13"/>
      <c r="T3823" s="13"/>
      <c r="U3823" s="13"/>
      <c r="V3823" s="13"/>
      <c r="W3823" s="13"/>
    </row>
    <row r="3824" spans="1:23" x14ac:dyDescent="0.2">
      <c r="A3824"/>
      <c r="B3824"/>
      <c r="C3824"/>
      <c r="D3824"/>
      <c r="E3824"/>
      <c r="F3824"/>
      <c r="G3824"/>
      <c r="H3824"/>
      <c r="I3824"/>
      <c r="J3824"/>
      <c r="K3824" s="13" t="s">
        <v>289</v>
      </c>
      <c r="L3824" s="13" t="s">
        <v>399</v>
      </c>
      <c r="M3824" s="13" t="s">
        <v>400</v>
      </c>
      <c r="N3824" s="15">
        <v>0</v>
      </c>
      <c r="O3824" s="16">
        <v>0</v>
      </c>
      <c r="P3824" s="17">
        <v>66.407535836562587</v>
      </c>
      <c r="Q3824" s="17">
        <v>0</v>
      </c>
      <c r="R3824" s="13"/>
      <c r="S3824" s="13"/>
      <c r="T3824" s="13"/>
      <c r="U3824" s="13"/>
      <c r="V3824" s="13"/>
      <c r="W3824" s="13"/>
    </row>
    <row r="3825" spans="1:23" x14ac:dyDescent="0.2">
      <c r="A3825"/>
      <c r="B3825"/>
      <c r="C3825"/>
      <c r="D3825"/>
      <c r="E3825"/>
      <c r="F3825"/>
      <c r="G3825"/>
      <c r="H3825"/>
      <c r="I3825"/>
      <c r="J3825"/>
      <c r="K3825" s="13" t="s">
        <v>289</v>
      </c>
      <c r="L3825" s="13" t="s">
        <v>401</v>
      </c>
      <c r="M3825" s="13" t="s">
        <v>360</v>
      </c>
      <c r="N3825" s="15">
        <v>0</v>
      </c>
      <c r="O3825" s="16">
        <v>0</v>
      </c>
      <c r="P3825" s="17">
        <v>135.51810002903682</v>
      </c>
      <c r="Q3825" s="17">
        <v>0</v>
      </c>
      <c r="R3825" s="13"/>
      <c r="S3825" s="13"/>
      <c r="T3825" s="13"/>
      <c r="U3825" s="13"/>
      <c r="V3825" s="13"/>
      <c r="W3825" s="13"/>
    </row>
    <row r="3826" spans="1:23" x14ac:dyDescent="0.2">
      <c r="A3826"/>
      <c r="B3826"/>
      <c r="C3826"/>
      <c r="D3826"/>
      <c r="E3826"/>
      <c r="F3826"/>
      <c r="G3826"/>
      <c r="H3826"/>
      <c r="I3826"/>
      <c r="J3826"/>
      <c r="K3826" s="13" t="s">
        <v>289</v>
      </c>
      <c r="L3826" s="13" t="s">
        <v>402</v>
      </c>
      <c r="M3826" s="13" t="s">
        <v>403</v>
      </c>
      <c r="N3826" s="15">
        <v>0</v>
      </c>
      <c r="O3826" s="16">
        <v>0</v>
      </c>
      <c r="P3826" s="17">
        <v>2382.3534129675613</v>
      </c>
      <c r="Q3826" s="17">
        <v>0</v>
      </c>
      <c r="R3826" s="13"/>
      <c r="S3826" s="13"/>
      <c r="T3826" s="13"/>
      <c r="U3826" s="13"/>
      <c r="V3826" s="13"/>
      <c r="W3826" s="13"/>
    </row>
    <row r="3827" spans="1:23" x14ac:dyDescent="0.2">
      <c r="A3827"/>
      <c r="B3827"/>
      <c r="C3827"/>
      <c r="D3827"/>
      <c r="E3827"/>
      <c r="F3827"/>
      <c r="G3827"/>
      <c r="H3827"/>
      <c r="I3827"/>
      <c r="J3827"/>
      <c r="K3827" s="13" t="s">
        <v>289</v>
      </c>
      <c r="L3827" s="13" t="s">
        <v>448</v>
      </c>
      <c r="M3827" s="13" t="s">
        <v>366</v>
      </c>
      <c r="N3827" s="15">
        <v>0</v>
      </c>
      <c r="O3827" s="16">
        <v>0</v>
      </c>
      <c r="P3827" s="17">
        <v>46.576649998913425</v>
      </c>
      <c r="Q3827" s="17">
        <v>0</v>
      </c>
      <c r="R3827" s="13"/>
      <c r="S3827" s="13"/>
      <c r="T3827" s="13"/>
      <c r="U3827" s="13"/>
      <c r="V3827" s="13"/>
      <c r="W3827" s="13"/>
    </row>
    <row r="3828" spans="1:23" x14ac:dyDescent="0.2">
      <c r="A3828"/>
      <c r="B3828"/>
      <c r="C3828"/>
      <c r="D3828"/>
      <c r="E3828"/>
      <c r="F3828"/>
      <c r="G3828"/>
      <c r="H3828"/>
      <c r="I3828"/>
      <c r="J3828"/>
      <c r="K3828" s="13" t="s">
        <v>289</v>
      </c>
      <c r="L3828" s="13" t="s">
        <v>404</v>
      </c>
      <c r="M3828" s="13" t="s">
        <v>405</v>
      </c>
      <c r="N3828" s="15">
        <v>0</v>
      </c>
      <c r="O3828" s="16">
        <v>0</v>
      </c>
      <c r="P3828" s="17">
        <v>32.599311348184109</v>
      </c>
      <c r="Q3828" s="17">
        <v>116.98379058805332</v>
      </c>
      <c r="R3828" s="13"/>
      <c r="S3828" s="13"/>
      <c r="T3828" s="13"/>
      <c r="U3828" s="13"/>
      <c r="V3828" s="13"/>
      <c r="W3828" s="13"/>
    </row>
    <row r="3829" spans="1:23" x14ac:dyDescent="0.2">
      <c r="A3829"/>
      <c r="B3829"/>
      <c r="C3829"/>
      <c r="D3829"/>
      <c r="E3829"/>
      <c r="F3829"/>
      <c r="G3829"/>
      <c r="H3829"/>
      <c r="I3829"/>
      <c r="J3829"/>
      <c r="K3829" s="13" t="s">
        <v>289</v>
      </c>
      <c r="L3829" s="13" t="s">
        <v>381</v>
      </c>
      <c r="M3829" s="13" t="s">
        <v>382</v>
      </c>
      <c r="N3829" s="15">
        <v>18</v>
      </c>
      <c r="O3829" s="16">
        <v>0</v>
      </c>
      <c r="P3829" s="17">
        <v>0</v>
      </c>
      <c r="Q3829" s="17">
        <v>0</v>
      </c>
      <c r="R3829" s="13"/>
      <c r="S3829" s="13"/>
      <c r="T3829" s="13"/>
      <c r="U3829" s="13"/>
      <c r="V3829" s="13"/>
      <c r="W3829" s="13"/>
    </row>
    <row r="3830" spans="1:23" x14ac:dyDescent="0.2">
      <c r="A3830"/>
      <c r="B3830"/>
      <c r="C3830"/>
      <c r="D3830"/>
      <c r="E3830"/>
      <c r="F3830"/>
      <c r="G3830"/>
      <c r="H3830"/>
      <c r="I3830"/>
      <c r="J3830"/>
      <c r="K3830" s="13" t="s">
        <v>289</v>
      </c>
      <c r="L3830" s="13" t="s">
        <v>409</v>
      </c>
      <c r="M3830" s="13" t="s">
        <v>410</v>
      </c>
      <c r="N3830" s="15">
        <v>12</v>
      </c>
      <c r="O3830" s="16">
        <v>0</v>
      </c>
      <c r="P3830" s="17">
        <v>0</v>
      </c>
      <c r="Q3830" s="17">
        <v>0</v>
      </c>
      <c r="R3830" s="13"/>
      <c r="S3830" s="13"/>
      <c r="T3830" s="13"/>
      <c r="U3830" s="13"/>
      <c r="V3830" s="13"/>
      <c r="W3830" s="13"/>
    </row>
    <row r="3831" spans="1:23" x14ac:dyDescent="0.2">
      <c r="A3831"/>
      <c r="B3831"/>
      <c r="C3831"/>
      <c r="D3831"/>
      <c r="E3831"/>
      <c r="F3831"/>
      <c r="G3831"/>
      <c r="H3831"/>
      <c r="I3831"/>
      <c r="J3831"/>
      <c r="K3831" s="13" t="s">
        <v>289</v>
      </c>
      <c r="L3831" s="13" t="s">
        <v>411</v>
      </c>
      <c r="M3831" s="13" t="s">
        <v>362</v>
      </c>
      <c r="N3831" s="15">
        <v>0</v>
      </c>
      <c r="O3831" s="16">
        <v>0</v>
      </c>
      <c r="P3831" s="17">
        <v>80.48049998810329</v>
      </c>
      <c r="Q3831" s="17">
        <v>0</v>
      </c>
      <c r="R3831" s="13"/>
      <c r="S3831" s="13"/>
      <c r="T3831" s="13"/>
      <c r="U3831" s="13"/>
      <c r="V3831" s="13"/>
      <c r="W3831" s="13"/>
    </row>
    <row r="3832" spans="1:23" x14ac:dyDescent="0.2">
      <c r="A3832"/>
      <c r="B3832"/>
      <c r="C3832"/>
      <c r="D3832"/>
      <c r="E3832"/>
      <c r="F3832"/>
      <c r="G3832"/>
      <c r="H3832"/>
      <c r="I3832"/>
      <c r="J3832"/>
      <c r="K3832" s="13" t="s">
        <v>289</v>
      </c>
      <c r="L3832" s="13" t="s">
        <v>411</v>
      </c>
      <c r="M3832" s="13" t="s">
        <v>362</v>
      </c>
      <c r="N3832" s="15">
        <v>0</v>
      </c>
      <c r="O3832" s="16">
        <v>92.478994510857405</v>
      </c>
      <c r="P3832" s="17">
        <v>0</v>
      </c>
      <c r="Q3832" s="17">
        <v>0</v>
      </c>
      <c r="R3832" s="13"/>
      <c r="S3832" s="13"/>
      <c r="T3832" s="13"/>
      <c r="U3832" s="13"/>
      <c r="V3832" s="13"/>
      <c r="W3832" s="13"/>
    </row>
    <row r="3833" spans="1:23" x14ac:dyDescent="0.2">
      <c r="A3833"/>
      <c r="B3833"/>
      <c r="C3833"/>
      <c r="D3833"/>
      <c r="E3833"/>
      <c r="F3833"/>
      <c r="G3833"/>
      <c r="H3833"/>
      <c r="I3833"/>
      <c r="J3833"/>
      <c r="K3833" s="13" t="s">
        <v>289</v>
      </c>
      <c r="L3833" s="13" t="s">
        <v>411</v>
      </c>
      <c r="M3833" s="13" t="s">
        <v>362</v>
      </c>
      <c r="N3833" s="15">
        <v>2</v>
      </c>
      <c r="O3833" s="16">
        <v>0</v>
      </c>
      <c r="P3833" s="17">
        <v>0</v>
      </c>
      <c r="Q3833" s="17">
        <v>0</v>
      </c>
      <c r="R3833" s="13"/>
      <c r="S3833" s="13"/>
      <c r="T3833" s="13"/>
      <c r="U3833" s="13"/>
      <c r="V3833" s="13"/>
      <c r="W3833" s="13"/>
    </row>
    <row r="3834" spans="1:23" x14ac:dyDescent="0.2">
      <c r="A3834"/>
      <c r="B3834"/>
      <c r="C3834"/>
      <c r="D3834"/>
      <c r="E3834"/>
      <c r="F3834"/>
      <c r="G3834"/>
      <c r="H3834"/>
      <c r="I3834"/>
      <c r="J3834"/>
      <c r="K3834" s="13" t="s">
        <v>289</v>
      </c>
      <c r="L3834" s="13" t="s">
        <v>605</v>
      </c>
      <c r="M3834" s="13" t="s">
        <v>429</v>
      </c>
      <c r="N3834" s="15">
        <v>1</v>
      </c>
      <c r="O3834" s="16">
        <v>0</v>
      </c>
      <c r="P3834" s="17">
        <v>0</v>
      </c>
      <c r="Q3834" s="17">
        <v>0</v>
      </c>
      <c r="R3834" s="13"/>
      <c r="S3834" s="13"/>
      <c r="T3834" s="13"/>
      <c r="U3834" s="13"/>
      <c r="V3834" s="13"/>
      <c r="W3834" s="13"/>
    </row>
    <row r="3835" spans="1:23" x14ac:dyDescent="0.2">
      <c r="A3835"/>
      <c r="B3835"/>
      <c r="C3835"/>
      <c r="D3835"/>
      <c r="E3835"/>
      <c r="F3835"/>
      <c r="G3835"/>
      <c r="H3835"/>
      <c r="I3835"/>
      <c r="J3835"/>
      <c r="K3835" s="13" t="s">
        <v>289</v>
      </c>
      <c r="L3835" s="13" t="s">
        <v>606</v>
      </c>
      <c r="M3835" s="13" t="s">
        <v>430</v>
      </c>
      <c r="N3835" s="15">
        <v>2</v>
      </c>
      <c r="O3835" s="16">
        <v>0</v>
      </c>
      <c r="P3835" s="17">
        <v>0</v>
      </c>
      <c r="Q3835" s="17">
        <v>0</v>
      </c>
      <c r="R3835" s="13"/>
      <c r="S3835" s="13"/>
      <c r="T3835" s="13"/>
      <c r="U3835" s="13"/>
      <c r="V3835" s="13"/>
      <c r="W3835" s="13"/>
    </row>
    <row r="3836" spans="1:23" x14ac:dyDescent="0.2">
      <c r="A3836"/>
      <c r="B3836"/>
      <c r="C3836"/>
      <c r="D3836"/>
      <c r="E3836"/>
      <c r="F3836"/>
      <c r="G3836"/>
      <c r="H3836"/>
      <c r="I3836"/>
      <c r="J3836"/>
      <c r="K3836" s="13" t="s">
        <v>289</v>
      </c>
      <c r="L3836" s="13" t="s">
        <v>623</v>
      </c>
      <c r="M3836" s="13" t="s">
        <v>530</v>
      </c>
      <c r="N3836" s="15">
        <v>0</v>
      </c>
      <c r="O3836" s="16">
        <v>29.994250805188269</v>
      </c>
      <c r="P3836" s="17">
        <v>0</v>
      </c>
      <c r="Q3836" s="17">
        <v>0</v>
      </c>
      <c r="R3836" s="13"/>
      <c r="S3836" s="13"/>
      <c r="T3836" s="13"/>
      <c r="U3836" s="13"/>
      <c r="V3836" s="13"/>
      <c r="W3836" s="13"/>
    </row>
    <row r="3837" spans="1:23" x14ac:dyDescent="0.2">
      <c r="A3837"/>
      <c r="B3837"/>
      <c r="C3837"/>
      <c r="D3837"/>
      <c r="E3837"/>
      <c r="F3837"/>
      <c r="G3837"/>
      <c r="H3837"/>
      <c r="I3837"/>
      <c r="J3837"/>
      <c r="K3837" s="13" t="s">
        <v>289</v>
      </c>
      <c r="L3837" s="13" t="s">
        <v>608</v>
      </c>
      <c r="M3837" s="13" t="s">
        <v>432</v>
      </c>
      <c r="N3837" s="15">
        <v>4</v>
      </c>
      <c r="O3837" s="16">
        <v>0</v>
      </c>
      <c r="P3837" s="17">
        <v>0</v>
      </c>
      <c r="Q3837" s="17">
        <v>0</v>
      </c>
      <c r="R3837" s="13"/>
      <c r="S3837" s="13"/>
      <c r="T3837" s="13"/>
      <c r="U3837" s="13"/>
      <c r="V3837" s="13"/>
      <c r="W3837" s="13"/>
    </row>
    <row r="3838" spans="1:23" x14ac:dyDescent="0.2">
      <c r="A3838"/>
      <c r="B3838"/>
      <c r="C3838"/>
      <c r="D3838"/>
      <c r="E3838"/>
      <c r="F3838"/>
      <c r="G3838"/>
      <c r="H3838"/>
      <c r="I3838"/>
      <c r="J3838"/>
      <c r="K3838" s="13" t="s">
        <v>289</v>
      </c>
      <c r="L3838" s="13" t="s">
        <v>615</v>
      </c>
      <c r="M3838" s="13" t="s">
        <v>449</v>
      </c>
      <c r="N3838" s="15">
        <v>2</v>
      </c>
      <c r="O3838" s="16">
        <v>0</v>
      </c>
      <c r="P3838" s="17">
        <v>0</v>
      </c>
      <c r="Q3838" s="17">
        <v>0</v>
      </c>
      <c r="R3838" s="13"/>
      <c r="S3838" s="13"/>
      <c r="T3838" s="13"/>
      <c r="U3838" s="13"/>
      <c r="V3838" s="13"/>
      <c r="W3838" s="13"/>
    </row>
    <row r="3839" spans="1:23" x14ac:dyDescent="0.2">
      <c r="A3839"/>
      <c r="B3839"/>
      <c r="C3839"/>
      <c r="D3839"/>
      <c r="E3839"/>
      <c r="F3839"/>
      <c r="G3839"/>
      <c r="H3839"/>
      <c r="I3839"/>
      <c r="J3839"/>
      <c r="K3839" s="13" t="s">
        <v>289</v>
      </c>
      <c r="L3839" s="13" t="s">
        <v>415</v>
      </c>
      <c r="M3839" s="13" t="s">
        <v>412</v>
      </c>
      <c r="N3839" s="15">
        <v>0</v>
      </c>
      <c r="O3839" s="16">
        <v>0</v>
      </c>
      <c r="P3839" s="17">
        <v>6.5645499995899614</v>
      </c>
      <c r="Q3839" s="17">
        <v>0</v>
      </c>
      <c r="R3839" s="13"/>
      <c r="S3839" s="13"/>
      <c r="T3839" s="13"/>
      <c r="U3839" s="13"/>
      <c r="V3839" s="13"/>
      <c r="W3839" s="13"/>
    </row>
    <row r="3840" spans="1:23" x14ac:dyDescent="0.2">
      <c r="A3840"/>
      <c r="B3840"/>
      <c r="C3840"/>
      <c r="D3840"/>
      <c r="E3840"/>
      <c r="F3840"/>
      <c r="G3840"/>
      <c r="H3840"/>
      <c r="I3840"/>
      <c r="J3840"/>
      <c r="K3840" s="13" t="s">
        <v>289</v>
      </c>
      <c r="L3840" s="13" t="s">
        <v>421</v>
      </c>
      <c r="M3840" s="13" t="s">
        <v>443</v>
      </c>
      <c r="N3840" s="15">
        <v>8</v>
      </c>
      <c r="O3840" s="16">
        <v>0</v>
      </c>
      <c r="P3840" s="17">
        <v>0</v>
      </c>
      <c r="Q3840" s="17">
        <v>0</v>
      </c>
      <c r="R3840" s="13"/>
      <c r="S3840" s="13"/>
      <c r="T3840" s="13"/>
      <c r="U3840" s="13"/>
      <c r="V3840" s="13"/>
      <c r="W3840" s="13"/>
    </row>
    <row r="3841" spans="1:23" x14ac:dyDescent="0.2">
      <c r="A3841"/>
      <c r="B3841"/>
      <c r="C3841"/>
      <c r="D3841"/>
      <c r="E3841"/>
      <c r="F3841"/>
      <c r="G3841"/>
      <c r="H3841"/>
      <c r="I3841"/>
      <c r="J3841"/>
      <c r="K3841" s="13" t="s">
        <v>289</v>
      </c>
      <c r="L3841" s="13" t="s">
        <v>383</v>
      </c>
      <c r="M3841" s="13" t="s">
        <v>420</v>
      </c>
      <c r="N3841" s="15">
        <v>3</v>
      </c>
      <c r="O3841" s="16">
        <v>0</v>
      </c>
      <c r="P3841" s="17">
        <v>0</v>
      </c>
      <c r="Q3841" s="17">
        <v>0</v>
      </c>
      <c r="R3841" s="13"/>
      <c r="S3841" s="13"/>
      <c r="T3841" s="13"/>
      <c r="U3841" s="13"/>
      <c r="V3841" s="13"/>
      <c r="W3841" s="13"/>
    </row>
    <row r="3842" spans="1:23" x14ac:dyDescent="0.2">
      <c r="A3842"/>
      <c r="B3842"/>
      <c r="C3842"/>
      <c r="D3842"/>
      <c r="E3842"/>
      <c r="F3842"/>
      <c r="G3842"/>
      <c r="H3842"/>
      <c r="I3842"/>
      <c r="J3842"/>
      <c r="K3842" s="13" t="s">
        <v>289</v>
      </c>
      <c r="L3842" s="13" t="s">
        <v>528</v>
      </c>
      <c r="M3842" s="13" t="s">
        <v>384</v>
      </c>
      <c r="N3842" s="15">
        <v>0</v>
      </c>
      <c r="O3842" s="16">
        <v>240.09701495834804</v>
      </c>
      <c r="P3842" s="17">
        <v>0</v>
      </c>
      <c r="Q3842" s="17">
        <v>0</v>
      </c>
      <c r="R3842" s="13"/>
      <c r="S3842" s="13"/>
      <c r="T3842" s="13"/>
      <c r="U3842" s="13"/>
      <c r="V3842" s="13"/>
      <c r="W3842" s="13"/>
    </row>
    <row r="3843" spans="1:23" x14ac:dyDescent="0.2">
      <c r="A3843"/>
      <c r="B3843"/>
      <c r="C3843"/>
      <c r="D3843"/>
      <c r="E3843"/>
      <c r="F3843"/>
      <c r="G3843"/>
      <c r="H3843"/>
      <c r="I3843"/>
      <c r="J3843"/>
      <c r="K3843" s="13" t="s">
        <v>289</v>
      </c>
      <c r="L3843" s="13" t="s">
        <v>613</v>
      </c>
      <c r="M3843" s="13" t="s">
        <v>444</v>
      </c>
      <c r="N3843" s="15">
        <v>0</v>
      </c>
      <c r="O3843" s="16">
        <v>33.801007645972753</v>
      </c>
      <c r="P3843" s="17">
        <v>0</v>
      </c>
      <c r="Q3843" s="17">
        <v>0</v>
      </c>
      <c r="R3843" s="13"/>
      <c r="S3843" s="13"/>
      <c r="T3843" s="13"/>
      <c r="U3843" s="13"/>
      <c r="V3843" s="13"/>
      <c r="W3843" s="13"/>
    </row>
    <row r="3844" spans="1:23" x14ac:dyDescent="0.2">
      <c r="A3844"/>
      <c r="B3844"/>
      <c r="C3844"/>
      <c r="D3844"/>
      <c r="E3844"/>
      <c r="F3844"/>
      <c r="G3844"/>
      <c r="H3844"/>
      <c r="I3844"/>
      <c r="J3844"/>
      <c r="K3844" s="13" t="s">
        <v>289</v>
      </c>
      <c r="L3844" s="13" t="s">
        <v>611</v>
      </c>
      <c r="M3844" s="13" t="s">
        <v>423</v>
      </c>
      <c r="N3844" s="15">
        <v>0</v>
      </c>
      <c r="O3844" s="16">
        <v>71.140041941186254</v>
      </c>
      <c r="P3844" s="17">
        <v>0</v>
      </c>
      <c r="Q3844" s="17">
        <v>0</v>
      </c>
      <c r="R3844" s="13"/>
      <c r="S3844" s="13"/>
      <c r="T3844" s="13"/>
      <c r="U3844" s="13"/>
      <c r="V3844" s="13"/>
      <c r="W3844" s="13"/>
    </row>
    <row r="3845" spans="1:23" x14ac:dyDescent="0.2">
      <c r="A3845"/>
      <c r="B3845"/>
      <c r="C3845"/>
      <c r="D3845"/>
      <c r="E3845"/>
      <c r="F3845"/>
      <c r="G3845"/>
      <c r="H3845"/>
      <c r="I3845"/>
      <c r="J3845"/>
      <c r="K3845" s="13" t="s">
        <v>289</v>
      </c>
      <c r="L3845" s="13" t="s">
        <v>446</v>
      </c>
      <c r="M3845" s="13" t="s">
        <v>371</v>
      </c>
      <c r="N3845" s="15">
        <v>25</v>
      </c>
      <c r="O3845" s="16">
        <v>0</v>
      </c>
      <c r="P3845" s="17">
        <v>0</v>
      </c>
      <c r="Q3845" s="17">
        <v>0</v>
      </c>
      <c r="R3845" s="13"/>
      <c r="S3845" s="13"/>
      <c r="T3845" s="13"/>
      <c r="U3845" s="13"/>
      <c r="V3845" s="13"/>
      <c r="W3845" s="13"/>
    </row>
    <row r="3846" spans="1:23" x14ac:dyDescent="0.2">
      <c r="A3846"/>
      <c r="B3846"/>
      <c r="C3846"/>
      <c r="D3846"/>
      <c r="E3846"/>
      <c r="F3846"/>
      <c r="G3846"/>
      <c r="H3846"/>
      <c r="I3846"/>
      <c r="J3846"/>
      <c r="K3846" s="13" t="s">
        <v>289</v>
      </c>
      <c r="L3846" s="13" t="s">
        <v>424</v>
      </c>
      <c r="M3846" s="13" t="s">
        <v>468</v>
      </c>
      <c r="N3846" s="15">
        <v>0</v>
      </c>
      <c r="O3846" s="16">
        <v>0</v>
      </c>
      <c r="P3846" s="17">
        <v>9.4515300222907648</v>
      </c>
      <c r="Q3846" s="17">
        <v>0</v>
      </c>
      <c r="R3846" s="13"/>
      <c r="S3846" s="13"/>
      <c r="T3846" s="13"/>
      <c r="U3846" s="13"/>
      <c r="V3846" s="13"/>
      <c r="W3846" s="13"/>
    </row>
    <row r="3847" spans="1:23" x14ac:dyDescent="0.2">
      <c r="A3847"/>
      <c r="B3847"/>
      <c r="C3847"/>
      <c r="D3847"/>
      <c r="E3847"/>
      <c r="F3847"/>
      <c r="G3847"/>
      <c r="H3847"/>
      <c r="I3847"/>
      <c r="J3847"/>
      <c r="K3847" s="13" t="s">
        <v>289</v>
      </c>
      <c r="L3847" s="13" t="s">
        <v>484</v>
      </c>
      <c r="M3847" s="13" t="s">
        <v>529</v>
      </c>
      <c r="N3847" s="15">
        <v>0</v>
      </c>
      <c r="O3847" s="16">
        <v>25.48697422616857</v>
      </c>
      <c r="P3847" s="17">
        <v>0</v>
      </c>
      <c r="Q3847" s="17">
        <v>0</v>
      </c>
      <c r="R3847" s="13"/>
      <c r="S3847" s="13"/>
      <c r="T3847" s="13"/>
      <c r="U3847" s="13"/>
      <c r="V3847" s="13"/>
      <c r="W3847" s="13"/>
    </row>
    <row r="3848" spans="1:23" x14ac:dyDescent="0.2">
      <c r="A3848"/>
      <c r="B3848"/>
      <c r="C3848"/>
      <c r="D3848"/>
      <c r="E3848"/>
      <c r="F3848"/>
      <c r="G3848"/>
      <c r="H3848"/>
      <c r="I3848"/>
      <c r="J3848"/>
      <c r="K3848" s="13" t="s">
        <v>289</v>
      </c>
      <c r="L3848" s="13" t="s">
        <v>627</v>
      </c>
      <c r="M3848" s="13" t="s">
        <v>628</v>
      </c>
      <c r="N3848" s="15">
        <v>0</v>
      </c>
      <c r="O3848" s="16">
        <v>12.308495563625723</v>
      </c>
      <c r="P3848" s="17">
        <v>0</v>
      </c>
      <c r="Q3848" s="17">
        <v>0</v>
      </c>
      <c r="R3848" s="13"/>
      <c r="S3848" s="13"/>
      <c r="T3848" s="13"/>
      <c r="U3848" s="13"/>
      <c r="V3848" s="13"/>
      <c r="W3848" s="13"/>
    </row>
    <row r="3849" spans="1:23" x14ac:dyDescent="0.2">
      <c r="A3849"/>
      <c r="B3849"/>
      <c r="C3849"/>
      <c r="D3849"/>
      <c r="E3849"/>
      <c r="F3849"/>
      <c r="G3849"/>
      <c r="H3849"/>
      <c r="I3849"/>
      <c r="J3849"/>
      <c r="K3849" s="13" t="s">
        <v>289</v>
      </c>
      <c r="L3849" s="13" t="s">
        <v>614</v>
      </c>
      <c r="M3849" s="13" t="s">
        <v>447</v>
      </c>
      <c r="N3849" s="15">
        <v>1</v>
      </c>
      <c r="O3849" s="16">
        <v>0</v>
      </c>
      <c r="P3849" s="17">
        <v>0</v>
      </c>
      <c r="Q3849" s="17">
        <v>0</v>
      </c>
      <c r="R3849" s="13"/>
      <c r="S3849" s="13"/>
      <c r="T3849" s="13"/>
      <c r="U3849" s="13"/>
      <c r="V3849" s="13"/>
      <c r="W3849" s="13"/>
    </row>
    <row r="3850" spans="1:23" x14ac:dyDescent="0.2">
      <c r="A3850"/>
      <c r="B3850"/>
      <c r="C3850"/>
      <c r="D3850"/>
      <c r="E3850"/>
      <c r="F3850"/>
      <c r="G3850"/>
      <c r="H3850"/>
      <c r="I3850"/>
      <c r="J3850"/>
      <c r="K3850" s="13" t="s">
        <v>291</v>
      </c>
      <c r="L3850" s="13" t="s">
        <v>389</v>
      </c>
      <c r="M3850" s="13" t="s">
        <v>388</v>
      </c>
      <c r="N3850" s="15">
        <v>0</v>
      </c>
      <c r="O3850" s="16">
        <v>0</v>
      </c>
      <c r="P3850" s="17">
        <v>537.58005000979915</v>
      </c>
      <c r="Q3850" s="17">
        <v>0</v>
      </c>
      <c r="R3850" s="13"/>
      <c r="S3850" s="13"/>
      <c r="T3850" s="13"/>
      <c r="U3850" s="13"/>
      <c r="V3850" s="13"/>
      <c r="W3850" s="13"/>
    </row>
    <row r="3851" spans="1:23" x14ac:dyDescent="0.2">
      <c r="A3851"/>
      <c r="B3851"/>
      <c r="C3851"/>
      <c r="D3851"/>
      <c r="E3851"/>
      <c r="F3851"/>
      <c r="G3851"/>
      <c r="H3851"/>
      <c r="I3851"/>
      <c r="J3851"/>
      <c r="K3851" s="13" t="s">
        <v>291</v>
      </c>
      <c r="L3851" s="13" t="s">
        <v>391</v>
      </c>
      <c r="M3851" s="13" t="s">
        <v>358</v>
      </c>
      <c r="N3851" s="15">
        <v>0</v>
      </c>
      <c r="O3851" s="16">
        <v>0</v>
      </c>
      <c r="P3851" s="17">
        <v>152.41258227812466</v>
      </c>
      <c r="Q3851" s="17">
        <v>0</v>
      </c>
      <c r="R3851" s="13"/>
      <c r="S3851" s="13"/>
      <c r="T3851" s="13"/>
      <c r="U3851" s="13"/>
      <c r="V3851" s="13"/>
      <c r="W3851" s="13"/>
    </row>
    <row r="3852" spans="1:23" x14ac:dyDescent="0.2">
      <c r="A3852"/>
      <c r="B3852"/>
      <c r="C3852"/>
      <c r="D3852"/>
      <c r="E3852"/>
      <c r="F3852"/>
      <c r="G3852"/>
      <c r="H3852"/>
      <c r="I3852"/>
      <c r="J3852"/>
      <c r="K3852" s="13" t="s">
        <v>291</v>
      </c>
      <c r="L3852" s="13" t="s">
        <v>512</v>
      </c>
      <c r="M3852" s="13" t="s">
        <v>466</v>
      </c>
      <c r="N3852" s="15">
        <v>0</v>
      </c>
      <c r="O3852" s="16">
        <v>0</v>
      </c>
      <c r="P3852" s="17">
        <v>107.3675999985025</v>
      </c>
      <c r="Q3852" s="17">
        <v>0</v>
      </c>
      <c r="R3852" s="13"/>
      <c r="S3852" s="13"/>
      <c r="T3852" s="13"/>
      <c r="U3852" s="13"/>
      <c r="V3852" s="13"/>
      <c r="W3852" s="13"/>
    </row>
    <row r="3853" spans="1:23" x14ac:dyDescent="0.2">
      <c r="A3853"/>
      <c r="B3853"/>
      <c r="C3853"/>
      <c r="D3853"/>
      <c r="E3853"/>
      <c r="F3853"/>
      <c r="G3853"/>
      <c r="H3853"/>
      <c r="I3853"/>
      <c r="J3853"/>
      <c r="K3853" s="13" t="s">
        <v>291</v>
      </c>
      <c r="L3853" s="13" t="s">
        <v>440</v>
      </c>
      <c r="M3853" s="13" t="s">
        <v>441</v>
      </c>
      <c r="N3853" s="15">
        <v>6</v>
      </c>
      <c r="O3853" s="16">
        <v>0</v>
      </c>
      <c r="P3853" s="17">
        <v>0</v>
      </c>
      <c r="Q3853" s="17">
        <v>0</v>
      </c>
      <c r="R3853" s="13"/>
      <c r="S3853" s="13"/>
      <c r="T3853" s="13"/>
      <c r="U3853" s="13"/>
      <c r="V3853" s="13"/>
      <c r="W3853" s="13"/>
    </row>
    <row r="3854" spans="1:23" x14ac:dyDescent="0.2">
      <c r="A3854"/>
      <c r="B3854"/>
      <c r="C3854"/>
      <c r="D3854"/>
      <c r="E3854"/>
      <c r="F3854"/>
      <c r="G3854"/>
      <c r="H3854"/>
      <c r="I3854"/>
      <c r="J3854"/>
      <c r="K3854" s="13" t="s">
        <v>291</v>
      </c>
      <c r="L3854" s="13" t="s">
        <v>399</v>
      </c>
      <c r="M3854" s="13" t="s">
        <v>400</v>
      </c>
      <c r="N3854" s="15">
        <v>0</v>
      </c>
      <c r="O3854" s="16">
        <v>0</v>
      </c>
      <c r="P3854" s="17">
        <v>5.752749998694286</v>
      </c>
      <c r="Q3854" s="17">
        <v>0</v>
      </c>
      <c r="R3854" s="13"/>
      <c r="S3854" s="13"/>
      <c r="T3854" s="13"/>
      <c r="U3854" s="13"/>
      <c r="V3854" s="13"/>
      <c r="W3854" s="13"/>
    </row>
    <row r="3855" spans="1:23" x14ac:dyDescent="0.2">
      <c r="A3855"/>
      <c r="B3855"/>
      <c r="C3855"/>
      <c r="D3855"/>
      <c r="E3855"/>
      <c r="F3855"/>
      <c r="G3855"/>
      <c r="H3855"/>
      <c r="I3855"/>
      <c r="J3855"/>
      <c r="K3855" s="13" t="s">
        <v>291</v>
      </c>
      <c r="L3855" s="13" t="s">
        <v>401</v>
      </c>
      <c r="M3855" s="13" t="s">
        <v>360</v>
      </c>
      <c r="N3855" s="15">
        <v>0</v>
      </c>
      <c r="O3855" s="16">
        <v>0</v>
      </c>
      <c r="P3855" s="17">
        <v>77.730199996258207</v>
      </c>
      <c r="Q3855" s="17">
        <v>0</v>
      </c>
      <c r="R3855" s="13"/>
      <c r="S3855" s="13"/>
      <c r="T3855" s="13"/>
      <c r="U3855" s="13"/>
      <c r="V3855" s="13"/>
      <c r="W3855" s="13"/>
    </row>
    <row r="3856" spans="1:23" x14ac:dyDescent="0.2">
      <c r="A3856"/>
      <c r="B3856"/>
      <c r="C3856"/>
      <c r="D3856"/>
      <c r="E3856"/>
      <c r="F3856"/>
      <c r="G3856"/>
      <c r="H3856"/>
      <c r="I3856"/>
      <c r="J3856"/>
      <c r="K3856" s="13" t="s">
        <v>291</v>
      </c>
      <c r="L3856" s="13" t="s">
        <v>402</v>
      </c>
      <c r="M3856" s="13" t="s">
        <v>403</v>
      </c>
      <c r="N3856" s="15">
        <v>0</v>
      </c>
      <c r="O3856" s="16">
        <v>0</v>
      </c>
      <c r="P3856" s="17">
        <v>602.62914231954528</v>
      </c>
      <c r="Q3856" s="17">
        <v>0</v>
      </c>
      <c r="R3856" s="13"/>
      <c r="S3856" s="13"/>
      <c r="T3856" s="13"/>
      <c r="U3856" s="13"/>
      <c r="V3856" s="13"/>
      <c r="W3856" s="13"/>
    </row>
    <row r="3857" spans="1:23" x14ac:dyDescent="0.2">
      <c r="A3857"/>
      <c r="B3857"/>
      <c r="C3857"/>
      <c r="D3857"/>
      <c r="E3857"/>
      <c r="F3857"/>
      <c r="G3857"/>
      <c r="H3857"/>
      <c r="I3857"/>
      <c r="J3857"/>
      <c r="K3857" s="13" t="s">
        <v>291</v>
      </c>
      <c r="L3857" s="13" t="s">
        <v>448</v>
      </c>
      <c r="M3857" s="13" t="s">
        <v>366</v>
      </c>
      <c r="N3857" s="15">
        <v>0</v>
      </c>
      <c r="O3857" s="16">
        <v>0</v>
      </c>
      <c r="P3857" s="17">
        <v>105.13050000744163</v>
      </c>
      <c r="Q3857" s="17">
        <v>0</v>
      </c>
      <c r="R3857" s="13"/>
      <c r="S3857" s="13"/>
      <c r="T3857" s="13"/>
      <c r="U3857" s="13"/>
      <c r="V3857" s="13"/>
      <c r="W3857" s="13"/>
    </row>
    <row r="3858" spans="1:23" x14ac:dyDescent="0.2">
      <c r="A3858"/>
      <c r="B3858"/>
      <c r="C3858"/>
      <c r="D3858"/>
      <c r="E3858"/>
      <c r="F3858"/>
      <c r="G3858"/>
      <c r="H3858"/>
      <c r="I3858"/>
      <c r="J3858"/>
      <c r="K3858" s="13" t="s">
        <v>291</v>
      </c>
      <c r="L3858" s="13" t="s">
        <v>404</v>
      </c>
      <c r="M3858" s="13" t="s">
        <v>405</v>
      </c>
      <c r="N3858" s="15">
        <v>0</v>
      </c>
      <c r="O3858" s="16">
        <v>0</v>
      </c>
      <c r="P3858" s="17">
        <v>17.962257692354207</v>
      </c>
      <c r="Q3858" s="17">
        <v>86.875130685592495</v>
      </c>
      <c r="R3858" s="13"/>
      <c r="S3858" s="13"/>
      <c r="T3858" s="13"/>
      <c r="U3858" s="13"/>
      <c r="V3858" s="13"/>
      <c r="W3858" s="13"/>
    </row>
    <row r="3859" spans="1:23" x14ac:dyDescent="0.2">
      <c r="A3859"/>
      <c r="B3859"/>
      <c r="C3859"/>
      <c r="D3859"/>
      <c r="E3859"/>
      <c r="F3859"/>
      <c r="G3859"/>
      <c r="H3859"/>
      <c r="I3859"/>
      <c r="J3859"/>
      <c r="K3859" s="13" t="s">
        <v>291</v>
      </c>
      <c r="L3859" s="13" t="s">
        <v>406</v>
      </c>
      <c r="M3859" s="13" t="s">
        <v>361</v>
      </c>
      <c r="N3859" s="15">
        <v>0</v>
      </c>
      <c r="O3859" s="16">
        <v>0</v>
      </c>
      <c r="P3859" s="17">
        <v>16.801999996937937</v>
      </c>
      <c r="Q3859" s="17">
        <v>61.30430711687881</v>
      </c>
      <c r="R3859" s="13"/>
      <c r="S3859" s="13"/>
      <c r="T3859" s="13"/>
      <c r="U3859" s="13"/>
      <c r="V3859" s="13"/>
      <c r="W3859" s="13"/>
    </row>
    <row r="3860" spans="1:23" x14ac:dyDescent="0.2">
      <c r="A3860"/>
      <c r="B3860"/>
      <c r="C3860"/>
      <c r="D3860"/>
      <c r="E3860"/>
      <c r="F3860"/>
      <c r="G3860"/>
      <c r="H3860"/>
      <c r="I3860"/>
      <c r="J3860"/>
      <c r="K3860" s="13" t="s">
        <v>291</v>
      </c>
      <c r="L3860" s="13" t="s">
        <v>381</v>
      </c>
      <c r="M3860" s="13" t="s">
        <v>382</v>
      </c>
      <c r="N3860" s="15">
        <v>3</v>
      </c>
      <c r="O3860" s="16">
        <v>0</v>
      </c>
      <c r="P3860" s="17">
        <v>0</v>
      </c>
      <c r="Q3860" s="17">
        <v>0</v>
      </c>
      <c r="R3860" s="13"/>
      <c r="S3860" s="13"/>
      <c r="T3860" s="13"/>
      <c r="U3860" s="13"/>
      <c r="V3860" s="13"/>
      <c r="W3860" s="13"/>
    </row>
    <row r="3861" spans="1:23" x14ac:dyDescent="0.2">
      <c r="A3861"/>
      <c r="B3861"/>
      <c r="C3861"/>
      <c r="D3861"/>
      <c r="E3861"/>
      <c r="F3861"/>
      <c r="G3861"/>
      <c r="H3861"/>
      <c r="I3861"/>
      <c r="J3861"/>
      <c r="K3861" s="13" t="s">
        <v>291</v>
      </c>
      <c r="L3861" s="13" t="s">
        <v>411</v>
      </c>
      <c r="M3861" s="13" t="s">
        <v>362</v>
      </c>
      <c r="N3861" s="15">
        <v>0</v>
      </c>
      <c r="O3861" s="16">
        <v>0</v>
      </c>
      <c r="P3861" s="17">
        <v>33.307149994190226</v>
      </c>
      <c r="Q3861" s="17">
        <v>0</v>
      </c>
      <c r="R3861" s="13"/>
      <c r="S3861" s="13"/>
      <c r="T3861" s="13"/>
      <c r="U3861" s="13"/>
      <c r="V3861" s="13"/>
      <c r="W3861" s="13"/>
    </row>
    <row r="3862" spans="1:23" x14ac:dyDescent="0.2">
      <c r="A3862"/>
      <c r="B3862"/>
      <c r="C3862"/>
      <c r="D3862"/>
      <c r="E3862"/>
      <c r="F3862"/>
      <c r="G3862"/>
      <c r="H3862"/>
      <c r="I3862"/>
      <c r="J3862"/>
      <c r="K3862" s="13" t="s">
        <v>291</v>
      </c>
      <c r="L3862" s="13" t="s">
        <v>411</v>
      </c>
      <c r="M3862" s="13" t="s">
        <v>362</v>
      </c>
      <c r="N3862" s="15">
        <v>0</v>
      </c>
      <c r="O3862" s="16">
        <v>14.784907625060043</v>
      </c>
      <c r="P3862" s="17">
        <v>0</v>
      </c>
      <c r="Q3862" s="17">
        <v>0</v>
      </c>
      <c r="R3862" s="13"/>
      <c r="S3862" s="13"/>
      <c r="T3862" s="13"/>
      <c r="U3862" s="13"/>
      <c r="V3862" s="13"/>
      <c r="W3862" s="13"/>
    </row>
    <row r="3863" spans="1:23" x14ac:dyDescent="0.2">
      <c r="A3863"/>
      <c r="B3863"/>
      <c r="C3863"/>
      <c r="D3863"/>
      <c r="E3863"/>
      <c r="F3863"/>
      <c r="G3863"/>
      <c r="H3863"/>
      <c r="I3863"/>
      <c r="J3863"/>
      <c r="K3863" s="13" t="s">
        <v>291</v>
      </c>
      <c r="L3863" s="13" t="s">
        <v>615</v>
      </c>
      <c r="M3863" s="13" t="s">
        <v>449</v>
      </c>
      <c r="N3863" s="15">
        <v>1</v>
      </c>
      <c r="O3863" s="16">
        <v>0</v>
      </c>
      <c r="P3863" s="17">
        <v>0</v>
      </c>
      <c r="Q3863" s="17">
        <v>0</v>
      </c>
      <c r="R3863" s="13"/>
      <c r="S3863" s="13"/>
      <c r="T3863" s="13"/>
      <c r="U3863" s="13"/>
      <c r="V3863" s="13"/>
      <c r="W3863" s="13"/>
    </row>
    <row r="3864" spans="1:23" x14ac:dyDescent="0.2">
      <c r="A3864"/>
      <c r="B3864"/>
      <c r="C3864"/>
      <c r="D3864"/>
      <c r="E3864"/>
      <c r="F3864"/>
      <c r="G3864"/>
      <c r="H3864"/>
      <c r="I3864"/>
      <c r="J3864"/>
      <c r="K3864" s="13" t="s">
        <v>291</v>
      </c>
      <c r="L3864" s="13" t="s">
        <v>415</v>
      </c>
      <c r="M3864" s="13" t="s">
        <v>412</v>
      </c>
      <c r="N3864" s="15">
        <v>0</v>
      </c>
      <c r="O3864" s="16">
        <v>0</v>
      </c>
      <c r="P3864" s="17">
        <v>6.7558500000574622</v>
      </c>
      <c r="Q3864" s="17">
        <v>0</v>
      </c>
      <c r="R3864" s="13"/>
      <c r="S3864" s="13"/>
      <c r="T3864" s="13"/>
      <c r="U3864" s="13"/>
      <c r="V3864" s="13"/>
      <c r="W3864" s="13"/>
    </row>
    <row r="3865" spans="1:23" x14ac:dyDescent="0.2">
      <c r="A3865"/>
      <c r="B3865"/>
      <c r="C3865"/>
      <c r="D3865"/>
      <c r="E3865"/>
      <c r="F3865"/>
      <c r="G3865"/>
      <c r="H3865"/>
      <c r="I3865"/>
      <c r="J3865"/>
      <c r="K3865" s="13" t="s">
        <v>291</v>
      </c>
      <c r="L3865" s="13" t="s">
        <v>421</v>
      </c>
      <c r="M3865" s="13" t="s">
        <v>443</v>
      </c>
      <c r="N3865" s="15">
        <v>1</v>
      </c>
      <c r="O3865" s="16">
        <v>0</v>
      </c>
      <c r="P3865" s="17">
        <v>0</v>
      </c>
      <c r="Q3865" s="17">
        <v>0</v>
      </c>
      <c r="R3865" s="13"/>
      <c r="S3865" s="13"/>
      <c r="T3865" s="13"/>
      <c r="U3865" s="13"/>
      <c r="V3865" s="13"/>
      <c r="W3865" s="13"/>
    </row>
    <row r="3866" spans="1:23" x14ac:dyDescent="0.2">
      <c r="A3866"/>
      <c r="B3866"/>
      <c r="C3866"/>
      <c r="D3866"/>
      <c r="E3866"/>
      <c r="F3866"/>
      <c r="G3866"/>
      <c r="H3866"/>
      <c r="I3866"/>
      <c r="J3866"/>
      <c r="K3866" s="13" t="s">
        <v>291</v>
      </c>
      <c r="L3866" s="13" t="s">
        <v>383</v>
      </c>
      <c r="M3866" s="13" t="s">
        <v>420</v>
      </c>
      <c r="N3866" s="15">
        <v>5</v>
      </c>
      <c r="O3866" s="16">
        <v>0</v>
      </c>
      <c r="P3866" s="17">
        <v>0</v>
      </c>
      <c r="Q3866" s="17">
        <v>0</v>
      </c>
      <c r="R3866" s="13"/>
      <c r="S3866" s="13"/>
      <c r="T3866" s="13"/>
      <c r="U3866" s="13"/>
      <c r="V3866" s="13"/>
      <c r="W3866" s="13"/>
    </row>
    <row r="3867" spans="1:23" x14ac:dyDescent="0.2">
      <c r="A3867"/>
      <c r="B3867"/>
      <c r="C3867"/>
      <c r="D3867"/>
      <c r="E3867"/>
      <c r="F3867"/>
      <c r="G3867"/>
      <c r="H3867"/>
      <c r="I3867"/>
      <c r="J3867"/>
      <c r="K3867" s="13" t="s">
        <v>291</v>
      </c>
      <c r="L3867" s="13" t="s">
        <v>528</v>
      </c>
      <c r="M3867" s="13" t="s">
        <v>384</v>
      </c>
      <c r="N3867" s="15">
        <v>0</v>
      </c>
      <c r="O3867" s="16">
        <v>149.37539224396073</v>
      </c>
      <c r="P3867" s="17">
        <v>0</v>
      </c>
      <c r="Q3867" s="17">
        <v>0</v>
      </c>
      <c r="R3867" s="13"/>
      <c r="S3867" s="13"/>
      <c r="T3867" s="13"/>
      <c r="U3867" s="13"/>
      <c r="V3867" s="13"/>
      <c r="W3867" s="13"/>
    </row>
    <row r="3868" spans="1:23" x14ac:dyDescent="0.2">
      <c r="A3868"/>
      <c r="B3868"/>
      <c r="C3868"/>
      <c r="D3868"/>
      <c r="E3868"/>
      <c r="F3868"/>
      <c r="G3868"/>
      <c r="H3868"/>
      <c r="I3868"/>
      <c r="J3868"/>
      <c r="K3868" s="13" t="s">
        <v>291</v>
      </c>
      <c r="L3868" s="13" t="s">
        <v>613</v>
      </c>
      <c r="M3868" s="13" t="s">
        <v>444</v>
      </c>
      <c r="N3868" s="15">
        <v>0</v>
      </c>
      <c r="O3868" s="16">
        <v>9.2615603437903413</v>
      </c>
      <c r="P3868" s="17">
        <v>0</v>
      </c>
      <c r="Q3868" s="17">
        <v>0</v>
      </c>
      <c r="R3868" s="13"/>
      <c r="S3868" s="13"/>
      <c r="T3868" s="13"/>
      <c r="U3868" s="13"/>
      <c r="V3868" s="13"/>
      <c r="W3868" s="13"/>
    </row>
    <row r="3869" spans="1:23" x14ac:dyDescent="0.2">
      <c r="A3869"/>
      <c r="B3869"/>
      <c r="C3869"/>
      <c r="D3869"/>
      <c r="E3869"/>
      <c r="F3869"/>
      <c r="G3869"/>
      <c r="H3869"/>
      <c r="I3869"/>
      <c r="J3869"/>
      <c r="K3869" s="13" t="s">
        <v>291</v>
      </c>
      <c r="L3869" s="13" t="s">
        <v>446</v>
      </c>
      <c r="M3869" s="13" t="s">
        <v>371</v>
      </c>
      <c r="N3869" s="15">
        <v>9</v>
      </c>
      <c r="O3869" s="16">
        <v>0</v>
      </c>
      <c r="P3869" s="17">
        <v>0</v>
      </c>
      <c r="Q3869" s="17">
        <v>0</v>
      </c>
      <c r="R3869" s="13"/>
      <c r="S3869" s="13"/>
      <c r="T3869" s="13"/>
      <c r="U3869" s="13"/>
      <c r="V3869" s="13"/>
      <c r="W3869" s="13"/>
    </row>
    <row r="3870" spans="1:23" x14ac:dyDescent="0.2">
      <c r="A3870"/>
      <c r="B3870"/>
      <c r="C3870"/>
      <c r="D3870"/>
      <c r="E3870"/>
      <c r="F3870"/>
      <c r="G3870"/>
      <c r="H3870"/>
      <c r="I3870"/>
      <c r="J3870"/>
      <c r="K3870" s="13" t="s">
        <v>291</v>
      </c>
      <c r="L3870" s="13" t="s">
        <v>424</v>
      </c>
      <c r="M3870" s="13" t="s">
        <v>468</v>
      </c>
      <c r="N3870" s="15">
        <v>0</v>
      </c>
      <c r="O3870" s="16">
        <v>0</v>
      </c>
      <c r="P3870" s="17">
        <v>34.383067706248973</v>
      </c>
      <c r="Q3870" s="17">
        <v>0</v>
      </c>
      <c r="R3870" s="13"/>
      <c r="S3870" s="13"/>
      <c r="T3870" s="13"/>
      <c r="U3870" s="13"/>
      <c r="V3870" s="13"/>
      <c r="W3870" s="13"/>
    </row>
    <row r="3871" spans="1:23" x14ac:dyDescent="0.2">
      <c r="A3871"/>
      <c r="B3871"/>
      <c r="C3871"/>
      <c r="D3871"/>
      <c r="E3871"/>
      <c r="F3871"/>
      <c r="G3871"/>
      <c r="H3871"/>
      <c r="I3871"/>
      <c r="J3871"/>
      <c r="K3871" s="13" t="s">
        <v>291</v>
      </c>
      <c r="L3871" s="13" t="s">
        <v>627</v>
      </c>
      <c r="M3871" s="13" t="s">
        <v>628</v>
      </c>
      <c r="N3871" s="15">
        <v>0</v>
      </c>
      <c r="O3871" s="16">
        <v>21.393385894436747</v>
      </c>
      <c r="P3871" s="17">
        <v>0</v>
      </c>
      <c r="Q3871" s="17">
        <v>0</v>
      </c>
      <c r="R3871" s="13"/>
      <c r="S3871" s="13"/>
      <c r="T3871" s="13"/>
      <c r="U3871" s="13"/>
      <c r="V3871" s="13"/>
      <c r="W3871" s="13"/>
    </row>
    <row r="3872" spans="1:23" x14ac:dyDescent="0.2">
      <c r="A3872"/>
      <c r="B3872"/>
      <c r="C3872"/>
      <c r="D3872"/>
      <c r="E3872"/>
      <c r="F3872"/>
      <c r="G3872"/>
      <c r="H3872"/>
      <c r="I3872"/>
      <c r="J3872"/>
      <c r="K3872" s="13" t="s">
        <v>291</v>
      </c>
      <c r="L3872" s="13" t="s">
        <v>614</v>
      </c>
      <c r="M3872" s="13" t="s">
        <v>447</v>
      </c>
      <c r="N3872" s="15">
        <v>1</v>
      </c>
      <c r="O3872" s="16">
        <v>0</v>
      </c>
      <c r="P3872" s="17">
        <v>0</v>
      </c>
      <c r="Q3872" s="17">
        <v>0</v>
      </c>
      <c r="R3872" s="13"/>
      <c r="S3872" s="13"/>
      <c r="T3872" s="13"/>
      <c r="U3872" s="13"/>
      <c r="V3872" s="13"/>
      <c r="W3872" s="13"/>
    </row>
    <row r="3873" spans="1:23" x14ac:dyDescent="0.2">
      <c r="A3873"/>
      <c r="B3873"/>
      <c r="C3873"/>
      <c r="D3873"/>
      <c r="E3873"/>
      <c r="F3873"/>
      <c r="G3873"/>
      <c r="H3873"/>
      <c r="I3873"/>
      <c r="J3873"/>
      <c r="K3873" s="13" t="s">
        <v>292</v>
      </c>
      <c r="L3873" s="13" t="s">
        <v>435</v>
      </c>
      <c r="M3873" s="13" t="s">
        <v>364</v>
      </c>
      <c r="N3873" s="15">
        <v>0</v>
      </c>
      <c r="O3873" s="16">
        <v>0</v>
      </c>
      <c r="P3873" s="17">
        <v>251.16445000957236</v>
      </c>
      <c r="Q3873" s="17">
        <v>0</v>
      </c>
      <c r="R3873" s="13"/>
      <c r="S3873" s="13"/>
      <c r="T3873" s="13"/>
      <c r="U3873" s="13"/>
      <c r="V3873" s="13"/>
      <c r="W3873" s="13"/>
    </row>
    <row r="3874" spans="1:23" x14ac:dyDescent="0.2">
      <c r="A3874"/>
      <c r="B3874"/>
      <c r="C3874"/>
      <c r="D3874"/>
      <c r="E3874"/>
      <c r="F3874"/>
      <c r="G3874"/>
      <c r="H3874"/>
      <c r="I3874"/>
      <c r="J3874"/>
      <c r="K3874" s="13" t="s">
        <v>292</v>
      </c>
      <c r="L3874" s="13" t="s">
        <v>435</v>
      </c>
      <c r="M3874" s="13" t="s">
        <v>364</v>
      </c>
      <c r="N3874" s="15">
        <v>1</v>
      </c>
      <c r="O3874" s="16">
        <v>0</v>
      </c>
      <c r="P3874" s="17">
        <v>0</v>
      </c>
      <c r="Q3874" s="17">
        <v>0</v>
      </c>
      <c r="R3874" s="13"/>
      <c r="S3874" s="13"/>
      <c r="T3874" s="13"/>
      <c r="U3874" s="13"/>
      <c r="V3874" s="13"/>
      <c r="W3874" s="13"/>
    </row>
    <row r="3875" spans="1:23" x14ac:dyDescent="0.2">
      <c r="A3875"/>
      <c r="B3875"/>
      <c r="C3875"/>
      <c r="D3875"/>
      <c r="E3875"/>
      <c r="F3875"/>
      <c r="G3875"/>
      <c r="H3875"/>
      <c r="I3875"/>
      <c r="J3875"/>
      <c r="K3875" s="13" t="s">
        <v>292</v>
      </c>
      <c r="L3875" s="13" t="s">
        <v>635</v>
      </c>
      <c r="M3875" s="13" t="s">
        <v>507</v>
      </c>
      <c r="N3875" s="15">
        <v>0</v>
      </c>
      <c r="O3875" s="16">
        <v>0</v>
      </c>
      <c r="P3875" s="17">
        <v>6.269249999991036</v>
      </c>
      <c r="Q3875" s="17">
        <v>0</v>
      </c>
      <c r="R3875" s="13"/>
      <c r="S3875" s="13"/>
      <c r="T3875" s="13"/>
      <c r="U3875" s="13"/>
      <c r="V3875" s="13"/>
      <c r="W3875" s="13"/>
    </row>
    <row r="3876" spans="1:23" x14ac:dyDescent="0.2">
      <c r="A3876"/>
      <c r="B3876"/>
      <c r="C3876"/>
      <c r="D3876"/>
      <c r="E3876"/>
      <c r="F3876"/>
      <c r="G3876"/>
      <c r="H3876"/>
      <c r="I3876"/>
      <c r="J3876"/>
      <c r="K3876" s="13" t="s">
        <v>292</v>
      </c>
      <c r="L3876" s="13" t="s">
        <v>389</v>
      </c>
      <c r="M3876" s="13" t="s">
        <v>388</v>
      </c>
      <c r="N3876" s="15">
        <v>0</v>
      </c>
      <c r="O3876" s="16">
        <v>0</v>
      </c>
      <c r="P3876" s="17">
        <v>373.69637278068711</v>
      </c>
      <c r="Q3876" s="17">
        <v>0</v>
      </c>
      <c r="R3876" s="13"/>
      <c r="S3876" s="13"/>
      <c r="T3876" s="13"/>
      <c r="U3876" s="13"/>
      <c r="V3876" s="13"/>
      <c r="W3876" s="13"/>
    </row>
    <row r="3877" spans="1:23" x14ac:dyDescent="0.2">
      <c r="A3877"/>
      <c r="B3877"/>
      <c r="C3877"/>
      <c r="D3877"/>
      <c r="E3877"/>
      <c r="F3877"/>
      <c r="G3877"/>
      <c r="H3877"/>
      <c r="I3877"/>
      <c r="J3877"/>
      <c r="K3877" s="13" t="s">
        <v>292</v>
      </c>
      <c r="L3877" s="13" t="s">
        <v>391</v>
      </c>
      <c r="M3877" s="13" t="s">
        <v>358</v>
      </c>
      <c r="N3877" s="15">
        <v>0</v>
      </c>
      <c r="O3877" s="16">
        <v>0</v>
      </c>
      <c r="P3877" s="17">
        <v>1498.7793272248666</v>
      </c>
      <c r="Q3877" s="17">
        <v>0</v>
      </c>
      <c r="R3877" s="13"/>
      <c r="S3877" s="13"/>
      <c r="T3877" s="13"/>
      <c r="U3877" s="13"/>
      <c r="V3877" s="13"/>
      <c r="W3877" s="13"/>
    </row>
    <row r="3878" spans="1:23" x14ac:dyDescent="0.2">
      <c r="A3878"/>
      <c r="B3878"/>
      <c r="C3878"/>
      <c r="D3878"/>
      <c r="E3878"/>
      <c r="F3878"/>
      <c r="G3878"/>
      <c r="H3878"/>
      <c r="I3878"/>
      <c r="J3878"/>
      <c r="K3878" s="13" t="s">
        <v>292</v>
      </c>
      <c r="L3878" s="13" t="s">
        <v>512</v>
      </c>
      <c r="M3878" s="13" t="s">
        <v>466</v>
      </c>
      <c r="N3878" s="15">
        <v>0</v>
      </c>
      <c r="O3878" s="16">
        <v>0</v>
      </c>
      <c r="P3878" s="17">
        <v>208.56999998069196</v>
      </c>
      <c r="Q3878" s="17">
        <v>0</v>
      </c>
      <c r="R3878" s="13"/>
      <c r="S3878" s="13"/>
      <c r="T3878" s="13"/>
      <c r="U3878" s="13"/>
      <c r="V3878" s="13"/>
      <c r="W3878" s="13"/>
    </row>
    <row r="3879" spans="1:23" x14ac:dyDescent="0.2">
      <c r="A3879"/>
      <c r="B3879"/>
      <c r="C3879"/>
      <c r="D3879"/>
      <c r="E3879"/>
      <c r="F3879"/>
      <c r="G3879"/>
      <c r="H3879"/>
      <c r="I3879"/>
      <c r="J3879"/>
      <c r="K3879" s="13" t="s">
        <v>292</v>
      </c>
      <c r="L3879" s="13" t="s">
        <v>440</v>
      </c>
      <c r="M3879" s="13" t="s">
        <v>441</v>
      </c>
      <c r="N3879" s="15">
        <v>7</v>
      </c>
      <c r="O3879" s="16">
        <v>0</v>
      </c>
      <c r="P3879" s="17">
        <v>0</v>
      </c>
      <c r="Q3879" s="17">
        <v>0</v>
      </c>
      <c r="R3879" s="13"/>
      <c r="S3879" s="13"/>
      <c r="T3879" s="13"/>
      <c r="U3879" s="13"/>
      <c r="V3879" s="13"/>
      <c r="W3879" s="13"/>
    </row>
    <row r="3880" spans="1:23" x14ac:dyDescent="0.2">
      <c r="A3880"/>
      <c r="B3880"/>
      <c r="C3880"/>
      <c r="D3880"/>
      <c r="E3880"/>
      <c r="F3880"/>
      <c r="G3880"/>
      <c r="H3880"/>
      <c r="I3880"/>
      <c r="J3880"/>
      <c r="K3880" s="13" t="s">
        <v>292</v>
      </c>
      <c r="L3880" s="13" t="s">
        <v>394</v>
      </c>
      <c r="M3880" s="13" t="s">
        <v>359</v>
      </c>
      <c r="N3880" s="15">
        <v>0</v>
      </c>
      <c r="O3880" s="16">
        <v>0</v>
      </c>
      <c r="P3880" s="17">
        <v>1.8316500010583781</v>
      </c>
      <c r="Q3880" s="17">
        <v>0</v>
      </c>
      <c r="R3880" s="13"/>
      <c r="S3880" s="13"/>
      <c r="T3880" s="13"/>
      <c r="U3880" s="13"/>
      <c r="V3880" s="13"/>
      <c r="W3880" s="13"/>
    </row>
    <row r="3881" spans="1:23" x14ac:dyDescent="0.2">
      <c r="A3881"/>
      <c r="B3881"/>
      <c r="C3881"/>
      <c r="D3881"/>
      <c r="E3881"/>
      <c r="F3881"/>
      <c r="G3881"/>
      <c r="H3881"/>
      <c r="I3881"/>
      <c r="J3881"/>
      <c r="K3881" s="13" t="s">
        <v>292</v>
      </c>
      <c r="L3881" s="13" t="s">
        <v>397</v>
      </c>
      <c r="M3881" s="13" t="s">
        <v>398</v>
      </c>
      <c r="N3881" s="15">
        <v>0</v>
      </c>
      <c r="O3881" s="16">
        <v>0</v>
      </c>
      <c r="P3881" s="17">
        <v>27.685800005541694</v>
      </c>
      <c r="Q3881" s="17">
        <v>0</v>
      </c>
      <c r="R3881" s="13"/>
      <c r="S3881" s="13"/>
      <c r="T3881" s="13"/>
      <c r="U3881" s="13"/>
      <c r="V3881" s="13"/>
      <c r="W3881" s="13"/>
    </row>
    <row r="3882" spans="1:23" x14ac:dyDescent="0.2">
      <c r="A3882"/>
      <c r="B3882"/>
      <c r="C3882"/>
      <c r="D3882"/>
      <c r="E3882"/>
      <c r="F3882"/>
      <c r="G3882"/>
      <c r="H3882"/>
      <c r="I3882"/>
      <c r="J3882"/>
      <c r="K3882" s="13" t="s">
        <v>292</v>
      </c>
      <c r="L3882" s="13" t="s">
        <v>399</v>
      </c>
      <c r="M3882" s="13" t="s">
        <v>400</v>
      </c>
      <c r="N3882" s="15">
        <v>0</v>
      </c>
      <c r="O3882" s="16">
        <v>0</v>
      </c>
      <c r="P3882" s="17">
        <v>54.100850007426544</v>
      </c>
      <c r="Q3882" s="17">
        <v>0</v>
      </c>
      <c r="R3882" s="13"/>
      <c r="S3882" s="13"/>
      <c r="T3882" s="13"/>
      <c r="U3882" s="13"/>
      <c r="V3882" s="13"/>
      <c r="W3882" s="13"/>
    </row>
    <row r="3883" spans="1:23" x14ac:dyDescent="0.2">
      <c r="A3883"/>
      <c r="B3883"/>
      <c r="C3883"/>
      <c r="D3883"/>
      <c r="E3883"/>
      <c r="F3883"/>
      <c r="G3883"/>
      <c r="H3883"/>
      <c r="I3883"/>
      <c r="J3883"/>
      <c r="K3883" s="13" t="s">
        <v>292</v>
      </c>
      <c r="L3883" s="13" t="s">
        <v>401</v>
      </c>
      <c r="M3883" s="13" t="s">
        <v>360</v>
      </c>
      <c r="N3883" s="15">
        <v>0</v>
      </c>
      <c r="O3883" s="16">
        <v>0</v>
      </c>
      <c r="P3883" s="17">
        <v>693.97590003257937</v>
      </c>
      <c r="Q3883" s="17">
        <v>0</v>
      </c>
      <c r="R3883" s="13"/>
      <c r="S3883" s="13"/>
      <c r="T3883" s="13"/>
      <c r="U3883" s="13"/>
      <c r="V3883" s="13"/>
      <c r="W3883" s="13"/>
    </row>
    <row r="3884" spans="1:23" x14ac:dyDescent="0.2">
      <c r="A3884"/>
      <c r="B3884"/>
      <c r="C3884"/>
      <c r="D3884"/>
      <c r="E3884"/>
      <c r="F3884"/>
      <c r="G3884"/>
      <c r="H3884"/>
      <c r="I3884"/>
      <c r="J3884"/>
      <c r="K3884" s="13" t="s">
        <v>292</v>
      </c>
      <c r="L3884" s="13" t="s">
        <v>402</v>
      </c>
      <c r="M3884" s="13" t="s">
        <v>403</v>
      </c>
      <c r="N3884" s="15">
        <v>0</v>
      </c>
      <c r="O3884" s="16">
        <v>0</v>
      </c>
      <c r="P3884" s="17">
        <v>3912.3603893915879</v>
      </c>
      <c r="Q3884" s="17">
        <v>0</v>
      </c>
      <c r="R3884" s="13"/>
      <c r="S3884" s="13"/>
      <c r="T3884" s="13"/>
      <c r="U3884" s="13"/>
      <c r="V3884" s="13"/>
      <c r="W3884" s="13"/>
    </row>
    <row r="3885" spans="1:23" x14ac:dyDescent="0.2">
      <c r="A3885"/>
      <c r="B3885"/>
      <c r="C3885"/>
      <c r="D3885"/>
      <c r="E3885"/>
      <c r="F3885"/>
      <c r="G3885"/>
      <c r="H3885"/>
      <c r="I3885"/>
      <c r="J3885"/>
      <c r="K3885" s="13" t="s">
        <v>292</v>
      </c>
      <c r="L3885" s="13" t="s">
        <v>448</v>
      </c>
      <c r="M3885" s="13" t="s">
        <v>366</v>
      </c>
      <c r="N3885" s="15">
        <v>0</v>
      </c>
      <c r="O3885" s="16">
        <v>0</v>
      </c>
      <c r="P3885" s="17">
        <v>144.69049999947117</v>
      </c>
      <c r="Q3885" s="17">
        <v>0</v>
      </c>
      <c r="R3885" s="13"/>
      <c r="S3885" s="13"/>
      <c r="T3885" s="13"/>
      <c r="U3885" s="13"/>
      <c r="V3885" s="13"/>
      <c r="W3885" s="13"/>
    </row>
    <row r="3886" spans="1:23" x14ac:dyDescent="0.2">
      <c r="A3886"/>
      <c r="B3886"/>
      <c r="C3886"/>
      <c r="D3886"/>
      <c r="E3886"/>
      <c r="F3886"/>
      <c r="G3886"/>
      <c r="H3886"/>
      <c r="I3886"/>
      <c r="J3886"/>
      <c r="K3886" s="13" t="s">
        <v>292</v>
      </c>
      <c r="L3886" s="13" t="s">
        <v>456</v>
      </c>
      <c r="M3886" s="13" t="s">
        <v>457</v>
      </c>
      <c r="N3886" s="15">
        <v>0</v>
      </c>
      <c r="O3886" s="16">
        <v>0</v>
      </c>
      <c r="P3886" s="17">
        <v>903.32896370397009</v>
      </c>
      <c r="Q3886" s="17">
        <v>0</v>
      </c>
      <c r="R3886" s="13"/>
      <c r="S3886" s="13"/>
      <c r="T3886" s="13"/>
      <c r="U3886" s="13"/>
      <c r="V3886" s="13"/>
      <c r="W3886" s="13"/>
    </row>
    <row r="3887" spans="1:23" x14ac:dyDescent="0.2">
      <c r="A3887"/>
      <c r="B3887"/>
      <c r="C3887"/>
      <c r="D3887"/>
      <c r="E3887"/>
      <c r="F3887"/>
      <c r="G3887"/>
      <c r="H3887"/>
      <c r="I3887"/>
      <c r="J3887"/>
      <c r="K3887" s="13" t="s">
        <v>292</v>
      </c>
      <c r="L3887" s="13" t="s">
        <v>404</v>
      </c>
      <c r="M3887" s="13" t="s">
        <v>405</v>
      </c>
      <c r="N3887" s="15">
        <v>0</v>
      </c>
      <c r="O3887" s="16">
        <v>0</v>
      </c>
      <c r="P3887" s="17">
        <v>8.4987999902648603</v>
      </c>
      <c r="Q3887" s="17">
        <v>8.4987999902648603</v>
      </c>
      <c r="R3887" s="13"/>
      <c r="S3887" s="13"/>
      <c r="T3887" s="13"/>
      <c r="U3887" s="13"/>
      <c r="V3887" s="13"/>
      <c r="W3887" s="13"/>
    </row>
    <row r="3888" spans="1:23" x14ac:dyDescent="0.2">
      <c r="A3888"/>
      <c r="B3888"/>
      <c r="C3888"/>
      <c r="D3888"/>
      <c r="E3888"/>
      <c r="F3888"/>
      <c r="G3888"/>
      <c r="H3888"/>
      <c r="I3888"/>
      <c r="J3888"/>
      <c r="K3888" s="13" t="s">
        <v>292</v>
      </c>
      <c r="L3888" s="13" t="s">
        <v>406</v>
      </c>
      <c r="M3888" s="13" t="s">
        <v>361</v>
      </c>
      <c r="N3888" s="15">
        <v>0</v>
      </c>
      <c r="O3888" s="16">
        <v>0</v>
      </c>
      <c r="P3888" s="17">
        <v>4.905725316621429</v>
      </c>
      <c r="Q3888" s="17">
        <v>21.708027864666601</v>
      </c>
      <c r="R3888" s="13"/>
      <c r="S3888" s="13"/>
      <c r="T3888" s="13"/>
      <c r="U3888" s="13"/>
      <c r="V3888" s="13"/>
      <c r="W3888" s="13"/>
    </row>
    <row r="3889" spans="1:23" x14ac:dyDescent="0.2">
      <c r="A3889"/>
      <c r="B3889"/>
      <c r="C3889"/>
      <c r="D3889"/>
      <c r="E3889"/>
      <c r="F3889"/>
      <c r="G3889"/>
      <c r="H3889"/>
      <c r="I3889"/>
      <c r="J3889"/>
      <c r="K3889" s="13" t="s">
        <v>292</v>
      </c>
      <c r="L3889" s="13" t="s">
        <v>381</v>
      </c>
      <c r="M3889" s="13" t="s">
        <v>382</v>
      </c>
      <c r="N3889" s="15">
        <v>26</v>
      </c>
      <c r="O3889" s="16">
        <v>0</v>
      </c>
      <c r="P3889" s="17">
        <v>0</v>
      </c>
      <c r="Q3889" s="17">
        <v>0</v>
      </c>
      <c r="R3889" s="13"/>
      <c r="S3889" s="13"/>
      <c r="T3889" s="13"/>
      <c r="U3889" s="13"/>
      <c r="V3889" s="13"/>
      <c r="W3889" s="13"/>
    </row>
    <row r="3890" spans="1:23" x14ac:dyDescent="0.2">
      <c r="A3890"/>
      <c r="B3890"/>
      <c r="C3890"/>
      <c r="D3890"/>
      <c r="E3890"/>
      <c r="F3890"/>
      <c r="G3890"/>
      <c r="H3890"/>
      <c r="I3890"/>
      <c r="J3890"/>
      <c r="K3890" s="13" t="s">
        <v>292</v>
      </c>
      <c r="L3890" s="13" t="s">
        <v>409</v>
      </c>
      <c r="M3890" s="13" t="s">
        <v>410</v>
      </c>
      <c r="N3890" s="15">
        <v>1</v>
      </c>
      <c r="O3890" s="16">
        <v>0</v>
      </c>
      <c r="P3890" s="17">
        <v>0</v>
      </c>
      <c r="Q3890" s="17">
        <v>0</v>
      </c>
      <c r="R3890" s="13"/>
      <c r="S3890" s="13"/>
      <c r="T3890" s="13"/>
      <c r="U3890" s="13"/>
      <c r="V3890" s="13"/>
      <c r="W3890" s="13"/>
    </row>
    <row r="3891" spans="1:23" x14ac:dyDescent="0.2">
      <c r="A3891"/>
      <c r="B3891"/>
      <c r="C3891"/>
      <c r="D3891"/>
      <c r="E3891"/>
      <c r="F3891"/>
      <c r="G3891"/>
      <c r="H3891"/>
      <c r="I3891"/>
      <c r="J3891"/>
      <c r="K3891" s="13" t="s">
        <v>292</v>
      </c>
      <c r="L3891" s="13" t="s">
        <v>411</v>
      </c>
      <c r="M3891" s="13" t="s">
        <v>362</v>
      </c>
      <c r="N3891" s="15">
        <v>0</v>
      </c>
      <c r="O3891" s="16">
        <v>0</v>
      </c>
      <c r="P3891" s="17">
        <v>24.59469999608789</v>
      </c>
      <c r="Q3891" s="17">
        <v>0</v>
      </c>
      <c r="R3891" s="13"/>
      <c r="S3891" s="13"/>
      <c r="T3891" s="13"/>
      <c r="U3891" s="13"/>
      <c r="V3891" s="13"/>
      <c r="W3891" s="13"/>
    </row>
    <row r="3892" spans="1:23" x14ac:dyDescent="0.2">
      <c r="A3892"/>
      <c r="B3892"/>
      <c r="C3892"/>
      <c r="D3892"/>
      <c r="E3892"/>
      <c r="F3892"/>
      <c r="G3892"/>
      <c r="H3892"/>
      <c r="I3892"/>
      <c r="J3892"/>
      <c r="K3892" s="13" t="s">
        <v>292</v>
      </c>
      <c r="L3892" s="13" t="s">
        <v>411</v>
      </c>
      <c r="M3892" s="13" t="s">
        <v>362</v>
      </c>
      <c r="N3892" s="15">
        <v>0</v>
      </c>
      <c r="O3892" s="16">
        <v>50.697109869789109</v>
      </c>
      <c r="P3892" s="17">
        <v>0</v>
      </c>
      <c r="Q3892" s="17">
        <v>0</v>
      </c>
      <c r="R3892" s="13"/>
      <c r="S3892" s="13"/>
      <c r="T3892" s="13"/>
      <c r="U3892" s="13"/>
      <c r="V3892" s="13"/>
      <c r="W3892" s="13"/>
    </row>
    <row r="3893" spans="1:23" x14ac:dyDescent="0.2">
      <c r="A3893"/>
      <c r="B3893"/>
      <c r="C3893"/>
      <c r="D3893"/>
      <c r="E3893"/>
      <c r="F3893"/>
      <c r="G3893"/>
      <c r="H3893"/>
      <c r="I3893"/>
      <c r="J3893"/>
      <c r="K3893" s="13" t="s">
        <v>292</v>
      </c>
      <c r="L3893" s="13" t="s">
        <v>411</v>
      </c>
      <c r="M3893" s="13" t="s">
        <v>362</v>
      </c>
      <c r="N3893" s="15">
        <v>1</v>
      </c>
      <c r="O3893" s="16">
        <v>0</v>
      </c>
      <c r="P3893" s="17">
        <v>0</v>
      </c>
      <c r="Q3893" s="17">
        <v>0</v>
      </c>
      <c r="R3893" s="13"/>
      <c r="S3893" s="13"/>
      <c r="T3893" s="13"/>
      <c r="U3893" s="13"/>
      <c r="V3893" s="13"/>
      <c r="W3893" s="13"/>
    </row>
    <row r="3894" spans="1:23" x14ac:dyDescent="0.2">
      <c r="A3894"/>
      <c r="B3894"/>
      <c r="C3894"/>
      <c r="D3894"/>
      <c r="E3894"/>
      <c r="F3894"/>
      <c r="G3894"/>
      <c r="H3894"/>
      <c r="I3894"/>
      <c r="J3894"/>
      <c r="K3894" s="13" t="s">
        <v>292</v>
      </c>
      <c r="L3894" s="13" t="s">
        <v>413</v>
      </c>
      <c r="M3894" s="13" t="s">
        <v>428</v>
      </c>
      <c r="N3894" s="15">
        <v>1</v>
      </c>
      <c r="O3894" s="16">
        <v>0</v>
      </c>
      <c r="P3894" s="17">
        <v>0</v>
      </c>
      <c r="Q3894" s="17">
        <v>0</v>
      </c>
      <c r="R3894" s="13"/>
      <c r="S3894" s="13"/>
      <c r="T3894" s="13"/>
      <c r="U3894" s="13"/>
      <c r="V3894" s="13"/>
      <c r="W3894" s="13"/>
    </row>
    <row r="3895" spans="1:23" x14ac:dyDescent="0.2">
      <c r="A3895"/>
      <c r="B3895"/>
      <c r="C3895"/>
      <c r="D3895"/>
      <c r="E3895"/>
      <c r="F3895"/>
      <c r="G3895"/>
      <c r="H3895"/>
      <c r="I3895"/>
      <c r="J3895"/>
      <c r="K3895" s="13" t="s">
        <v>292</v>
      </c>
      <c r="L3895" s="13" t="s">
        <v>606</v>
      </c>
      <c r="M3895" s="13" t="s">
        <v>430</v>
      </c>
      <c r="N3895" s="15">
        <v>9</v>
      </c>
      <c r="O3895" s="16">
        <v>0</v>
      </c>
      <c r="P3895" s="17">
        <v>0</v>
      </c>
      <c r="Q3895" s="17">
        <v>0</v>
      </c>
      <c r="R3895" s="13"/>
      <c r="S3895" s="13"/>
      <c r="T3895" s="13"/>
      <c r="U3895" s="13"/>
      <c r="V3895" s="13"/>
      <c r="W3895" s="13"/>
    </row>
    <row r="3896" spans="1:23" x14ac:dyDescent="0.2">
      <c r="A3896"/>
      <c r="B3896"/>
      <c r="C3896"/>
      <c r="D3896"/>
      <c r="E3896"/>
      <c r="F3896"/>
      <c r="G3896"/>
      <c r="H3896"/>
      <c r="I3896"/>
      <c r="J3896"/>
      <c r="K3896" s="13" t="s">
        <v>292</v>
      </c>
      <c r="L3896" s="13" t="s">
        <v>608</v>
      </c>
      <c r="M3896" s="13" t="s">
        <v>432</v>
      </c>
      <c r="N3896" s="15">
        <v>23</v>
      </c>
      <c r="O3896" s="16">
        <v>0</v>
      </c>
      <c r="P3896" s="17">
        <v>0</v>
      </c>
      <c r="Q3896" s="17">
        <v>0</v>
      </c>
      <c r="R3896" s="13"/>
      <c r="S3896" s="13"/>
      <c r="T3896" s="13"/>
      <c r="U3896" s="13"/>
      <c r="V3896" s="13"/>
      <c r="W3896" s="13"/>
    </row>
    <row r="3897" spans="1:23" x14ac:dyDescent="0.2">
      <c r="A3897"/>
      <c r="B3897"/>
      <c r="C3897"/>
      <c r="D3897"/>
      <c r="E3897"/>
      <c r="F3897"/>
      <c r="G3897"/>
      <c r="H3897"/>
      <c r="I3897"/>
      <c r="J3897"/>
      <c r="K3897" s="13" t="s">
        <v>292</v>
      </c>
      <c r="L3897" s="13" t="s">
        <v>615</v>
      </c>
      <c r="M3897" s="13" t="s">
        <v>449</v>
      </c>
      <c r="N3897" s="15">
        <v>1</v>
      </c>
      <c r="O3897" s="16">
        <v>0</v>
      </c>
      <c r="P3897" s="17">
        <v>0</v>
      </c>
      <c r="Q3897" s="17">
        <v>0</v>
      </c>
      <c r="R3897" s="13"/>
      <c r="S3897" s="13"/>
      <c r="T3897" s="13"/>
      <c r="U3897" s="13"/>
      <c r="V3897" s="13"/>
      <c r="W3897" s="13"/>
    </row>
    <row r="3898" spans="1:23" x14ac:dyDescent="0.2">
      <c r="A3898"/>
      <c r="B3898"/>
      <c r="C3898"/>
      <c r="D3898"/>
      <c r="E3898"/>
      <c r="F3898"/>
      <c r="G3898"/>
      <c r="H3898"/>
      <c r="I3898"/>
      <c r="J3898"/>
      <c r="K3898" s="13" t="s">
        <v>292</v>
      </c>
      <c r="L3898" s="13" t="s">
        <v>415</v>
      </c>
      <c r="M3898" s="13" t="s">
        <v>412</v>
      </c>
      <c r="N3898" s="15">
        <v>0</v>
      </c>
      <c r="O3898" s="16">
        <v>0</v>
      </c>
      <c r="P3898" s="17">
        <v>3.9456999994687045</v>
      </c>
      <c r="Q3898" s="17">
        <v>0</v>
      </c>
      <c r="R3898" s="13"/>
      <c r="S3898" s="13"/>
      <c r="T3898" s="13"/>
      <c r="U3898" s="13"/>
      <c r="V3898" s="13"/>
      <c r="W3898" s="13"/>
    </row>
    <row r="3899" spans="1:23" x14ac:dyDescent="0.2">
      <c r="A3899"/>
      <c r="B3899"/>
      <c r="C3899"/>
      <c r="D3899"/>
      <c r="E3899"/>
      <c r="F3899"/>
      <c r="G3899"/>
      <c r="H3899"/>
      <c r="I3899"/>
      <c r="J3899"/>
      <c r="K3899" s="13" t="s">
        <v>292</v>
      </c>
      <c r="L3899" s="13" t="s">
        <v>421</v>
      </c>
      <c r="M3899" s="13" t="s">
        <v>443</v>
      </c>
      <c r="N3899" s="15">
        <v>3</v>
      </c>
      <c r="O3899" s="16">
        <v>0</v>
      </c>
      <c r="P3899" s="17">
        <v>0</v>
      </c>
      <c r="Q3899" s="17">
        <v>0</v>
      </c>
      <c r="R3899" s="13"/>
      <c r="S3899" s="13"/>
      <c r="T3899" s="13"/>
      <c r="U3899" s="13"/>
      <c r="V3899" s="13"/>
      <c r="W3899" s="13"/>
    </row>
    <row r="3900" spans="1:23" x14ac:dyDescent="0.2">
      <c r="A3900"/>
      <c r="B3900"/>
      <c r="C3900"/>
      <c r="D3900"/>
      <c r="E3900"/>
      <c r="F3900"/>
      <c r="G3900"/>
      <c r="H3900"/>
      <c r="I3900"/>
      <c r="J3900"/>
      <c r="K3900" s="13" t="s">
        <v>292</v>
      </c>
      <c r="L3900" s="13" t="s">
        <v>383</v>
      </c>
      <c r="M3900" s="13" t="s">
        <v>420</v>
      </c>
      <c r="N3900" s="15">
        <v>9</v>
      </c>
      <c r="O3900" s="16">
        <v>0</v>
      </c>
      <c r="P3900" s="17">
        <v>0</v>
      </c>
      <c r="Q3900" s="17">
        <v>0</v>
      </c>
      <c r="R3900" s="13"/>
      <c r="S3900" s="13"/>
      <c r="T3900" s="13"/>
      <c r="U3900" s="13"/>
      <c r="V3900" s="13"/>
      <c r="W3900" s="13"/>
    </row>
    <row r="3901" spans="1:23" x14ac:dyDescent="0.2">
      <c r="A3901"/>
      <c r="B3901"/>
      <c r="C3901"/>
      <c r="D3901"/>
      <c r="E3901"/>
      <c r="F3901"/>
      <c r="G3901"/>
      <c r="H3901"/>
      <c r="I3901"/>
      <c r="J3901"/>
      <c r="K3901" s="13" t="s">
        <v>292</v>
      </c>
      <c r="L3901" s="13" t="s">
        <v>528</v>
      </c>
      <c r="M3901" s="13" t="s">
        <v>384</v>
      </c>
      <c r="N3901" s="15">
        <v>0</v>
      </c>
      <c r="O3901" s="16">
        <v>270.19388731370873</v>
      </c>
      <c r="P3901" s="17">
        <v>0</v>
      </c>
      <c r="Q3901" s="17">
        <v>0</v>
      </c>
      <c r="R3901" s="13"/>
      <c r="S3901" s="13"/>
      <c r="T3901" s="13"/>
      <c r="U3901" s="13"/>
      <c r="V3901" s="13"/>
      <c r="W3901" s="13"/>
    </row>
    <row r="3902" spans="1:23" x14ac:dyDescent="0.2">
      <c r="A3902"/>
      <c r="B3902"/>
      <c r="C3902"/>
      <c r="D3902"/>
      <c r="E3902"/>
      <c r="F3902"/>
      <c r="G3902"/>
      <c r="H3902"/>
      <c r="I3902"/>
      <c r="J3902"/>
      <c r="K3902" s="13" t="s">
        <v>292</v>
      </c>
      <c r="L3902" s="13" t="s">
        <v>613</v>
      </c>
      <c r="M3902" s="13" t="s">
        <v>444</v>
      </c>
      <c r="N3902" s="15">
        <v>0</v>
      </c>
      <c r="O3902" s="16">
        <v>34.698496025150433</v>
      </c>
      <c r="P3902" s="17">
        <v>0</v>
      </c>
      <c r="Q3902" s="17">
        <v>0</v>
      </c>
      <c r="R3902" s="13"/>
      <c r="S3902" s="13"/>
      <c r="T3902" s="13"/>
      <c r="U3902" s="13"/>
      <c r="V3902" s="13"/>
      <c r="W3902" s="13"/>
    </row>
    <row r="3903" spans="1:23" x14ac:dyDescent="0.2">
      <c r="A3903"/>
      <c r="B3903"/>
      <c r="C3903"/>
      <c r="D3903"/>
      <c r="E3903"/>
      <c r="F3903"/>
      <c r="G3903"/>
      <c r="H3903"/>
      <c r="I3903"/>
      <c r="J3903"/>
      <c r="K3903" s="13" t="s">
        <v>292</v>
      </c>
      <c r="L3903" s="13" t="s">
        <v>611</v>
      </c>
      <c r="M3903" s="13" t="s">
        <v>423</v>
      </c>
      <c r="N3903" s="15">
        <v>0</v>
      </c>
      <c r="O3903" s="16">
        <v>18.269674366707441</v>
      </c>
      <c r="P3903" s="17">
        <v>0</v>
      </c>
      <c r="Q3903" s="17">
        <v>0</v>
      </c>
      <c r="R3903" s="13"/>
      <c r="S3903" s="13"/>
      <c r="T3903" s="13"/>
      <c r="U3903" s="13"/>
      <c r="V3903" s="13"/>
      <c r="W3903" s="13"/>
    </row>
    <row r="3904" spans="1:23" x14ac:dyDescent="0.2">
      <c r="A3904"/>
      <c r="B3904"/>
      <c r="C3904"/>
      <c r="D3904"/>
      <c r="E3904"/>
      <c r="F3904"/>
      <c r="G3904"/>
      <c r="H3904"/>
      <c r="I3904"/>
      <c r="J3904"/>
      <c r="K3904" s="13" t="s">
        <v>292</v>
      </c>
      <c r="L3904" s="13" t="s">
        <v>446</v>
      </c>
      <c r="M3904" s="13" t="s">
        <v>371</v>
      </c>
      <c r="N3904" s="15">
        <v>11</v>
      </c>
      <c r="O3904" s="16">
        <v>0</v>
      </c>
      <c r="P3904" s="17">
        <v>0</v>
      </c>
      <c r="Q3904" s="17">
        <v>0</v>
      </c>
      <c r="R3904" s="13"/>
      <c r="S3904" s="13"/>
      <c r="T3904" s="13"/>
      <c r="U3904" s="13"/>
      <c r="V3904" s="13"/>
      <c r="W3904" s="13"/>
    </row>
    <row r="3905" spans="1:23" x14ac:dyDescent="0.2">
      <c r="A3905"/>
      <c r="B3905"/>
      <c r="C3905"/>
      <c r="D3905"/>
      <c r="E3905"/>
      <c r="F3905"/>
      <c r="G3905"/>
      <c r="H3905"/>
      <c r="I3905"/>
      <c r="J3905"/>
      <c r="K3905" s="13" t="s">
        <v>292</v>
      </c>
      <c r="L3905" s="13" t="s">
        <v>424</v>
      </c>
      <c r="M3905" s="13" t="s">
        <v>468</v>
      </c>
      <c r="N3905" s="15">
        <v>0</v>
      </c>
      <c r="O3905" s="16">
        <v>0</v>
      </c>
      <c r="P3905" s="17">
        <v>51.947500003561736</v>
      </c>
      <c r="Q3905" s="17">
        <v>0</v>
      </c>
      <c r="R3905" s="13"/>
      <c r="S3905" s="13"/>
      <c r="T3905" s="13"/>
      <c r="U3905" s="13"/>
      <c r="V3905" s="13"/>
      <c r="W3905" s="13"/>
    </row>
    <row r="3906" spans="1:23" x14ac:dyDescent="0.2">
      <c r="A3906"/>
      <c r="B3906"/>
      <c r="C3906"/>
      <c r="D3906"/>
      <c r="E3906"/>
      <c r="F3906"/>
      <c r="G3906"/>
      <c r="H3906"/>
      <c r="I3906"/>
      <c r="J3906"/>
      <c r="K3906" s="13" t="s">
        <v>292</v>
      </c>
      <c r="L3906" s="13" t="s">
        <v>484</v>
      </c>
      <c r="M3906" s="13" t="s">
        <v>529</v>
      </c>
      <c r="N3906" s="15">
        <v>0</v>
      </c>
      <c r="O3906" s="16">
        <v>118.6553133283669</v>
      </c>
      <c r="P3906" s="17">
        <v>0</v>
      </c>
      <c r="Q3906" s="17">
        <v>0</v>
      </c>
      <c r="R3906" s="13"/>
      <c r="S3906" s="13"/>
      <c r="T3906" s="13"/>
      <c r="U3906" s="13"/>
      <c r="V3906" s="13"/>
      <c r="W3906" s="13"/>
    </row>
    <row r="3907" spans="1:23" x14ac:dyDescent="0.2">
      <c r="A3907"/>
      <c r="B3907"/>
      <c r="C3907"/>
      <c r="D3907"/>
      <c r="E3907"/>
      <c r="F3907"/>
      <c r="G3907"/>
      <c r="H3907"/>
      <c r="I3907"/>
      <c r="J3907"/>
      <c r="K3907" s="13" t="s">
        <v>292</v>
      </c>
      <c r="L3907" s="13" t="s">
        <v>614</v>
      </c>
      <c r="M3907" s="13" t="s">
        <v>447</v>
      </c>
      <c r="N3907" s="15">
        <v>1</v>
      </c>
      <c r="O3907" s="16">
        <v>0</v>
      </c>
      <c r="P3907" s="17">
        <v>0</v>
      </c>
      <c r="Q3907" s="17">
        <v>0</v>
      </c>
      <c r="R3907" s="13"/>
      <c r="S3907" s="13"/>
      <c r="T3907" s="13"/>
      <c r="U3907" s="13"/>
      <c r="V3907" s="13"/>
      <c r="W3907" s="13"/>
    </row>
    <row r="3908" spans="1:23" x14ac:dyDescent="0.2">
      <c r="A3908"/>
      <c r="B3908"/>
      <c r="C3908"/>
      <c r="D3908"/>
      <c r="E3908"/>
      <c r="F3908"/>
      <c r="G3908"/>
      <c r="H3908"/>
      <c r="I3908"/>
      <c r="J3908"/>
      <c r="K3908" s="13" t="s">
        <v>294</v>
      </c>
      <c r="L3908" s="13" t="s">
        <v>435</v>
      </c>
      <c r="M3908" s="13" t="s">
        <v>364</v>
      </c>
      <c r="N3908" s="15">
        <v>0</v>
      </c>
      <c r="O3908" s="16">
        <v>0</v>
      </c>
      <c r="P3908" s="17">
        <v>46.967650009665078</v>
      </c>
      <c r="Q3908" s="17">
        <v>0</v>
      </c>
      <c r="R3908" s="13"/>
      <c r="S3908" s="13"/>
      <c r="T3908" s="13"/>
      <c r="U3908" s="13"/>
      <c r="V3908" s="13"/>
      <c r="W3908" s="13"/>
    </row>
    <row r="3909" spans="1:23" x14ac:dyDescent="0.2">
      <c r="A3909"/>
      <c r="B3909"/>
      <c r="C3909"/>
      <c r="D3909"/>
      <c r="E3909"/>
      <c r="F3909"/>
      <c r="G3909"/>
      <c r="H3909"/>
      <c r="I3909"/>
      <c r="J3909"/>
      <c r="K3909" s="13" t="s">
        <v>294</v>
      </c>
      <c r="L3909" s="13" t="s">
        <v>635</v>
      </c>
      <c r="M3909" s="13" t="s">
        <v>507</v>
      </c>
      <c r="N3909" s="15">
        <v>0</v>
      </c>
      <c r="O3909" s="16">
        <v>0</v>
      </c>
      <c r="P3909" s="17">
        <v>15.992899996059505</v>
      </c>
      <c r="Q3909" s="17">
        <v>0</v>
      </c>
      <c r="R3909" s="13"/>
      <c r="S3909" s="13"/>
      <c r="T3909" s="13"/>
      <c r="U3909" s="13"/>
      <c r="V3909" s="13"/>
      <c r="W3909" s="13"/>
    </row>
    <row r="3910" spans="1:23" x14ac:dyDescent="0.2">
      <c r="A3910"/>
      <c r="B3910"/>
      <c r="C3910"/>
      <c r="D3910"/>
      <c r="E3910"/>
      <c r="F3910"/>
      <c r="G3910"/>
      <c r="H3910"/>
      <c r="I3910"/>
      <c r="J3910"/>
      <c r="K3910" s="13" t="s">
        <v>294</v>
      </c>
      <c r="L3910" s="13" t="s">
        <v>387</v>
      </c>
      <c r="M3910" s="13" t="s">
        <v>386</v>
      </c>
      <c r="N3910" s="15">
        <v>0</v>
      </c>
      <c r="O3910" s="16">
        <v>0</v>
      </c>
      <c r="P3910" s="17">
        <v>326.43325000200451</v>
      </c>
      <c r="Q3910" s="17">
        <v>0</v>
      </c>
      <c r="R3910" s="13"/>
      <c r="S3910" s="13"/>
      <c r="T3910" s="13"/>
      <c r="U3910" s="13"/>
      <c r="V3910" s="13"/>
      <c r="W3910" s="13"/>
    </row>
    <row r="3911" spans="1:23" x14ac:dyDescent="0.2">
      <c r="A3911"/>
      <c r="B3911"/>
      <c r="C3911"/>
      <c r="D3911"/>
      <c r="E3911"/>
      <c r="F3911"/>
      <c r="G3911"/>
      <c r="H3911"/>
      <c r="I3911"/>
      <c r="J3911"/>
      <c r="K3911" s="13" t="s">
        <v>294</v>
      </c>
      <c r="L3911" s="13" t="s">
        <v>389</v>
      </c>
      <c r="M3911" s="13" t="s">
        <v>388</v>
      </c>
      <c r="N3911" s="15">
        <v>0</v>
      </c>
      <c r="O3911" s="16">
        <v>0</v>
      </c>
      <c r="P3911" s="17">
        <v>337.86459208107135</v>
      </c>
      <c r="Q3911" s="17">
        <v>0</v>
      </c>
      <c r="R3911" s="13"/>
      <c r="S3911" s="13"/>
      <c r="T3911" s="13"/>
      <c r="U3911" s="13"/>
      <c r="V3911" s="13"/>
      <c r="W3911" s="13"/>
    </row>
    <row r="3912" spans="1:23" x14ac:dyDescent="0.2">
      <c r="A3912"/>
      <c r="B3912"/>
      <c r="C3912"/>
      <c r="D3912"/>
      <c r="E3912"/>
      <c r="F3912"/>
      <c r="G3912"/>
      <c r="H3912"/>
      <c r="I3912"/>
      <c r="J3912"/>
      <c r="K3912" s="13" t="s">
        <v>294</v>
      </c>
      <c r="L3912" s="13" t="s">
        <v>391</v>
      </c>
      <c r="M3912" s="13" t="s">
        <v>358</v>
      </c>
      <c r="N3912" s="15">
        <v>0</v>
      </c>
      <c r="O3912" s="16">
        <v>0</v>
      </c>
      <c r="P3912" s="17">
        <v>49.446549998491243</v>
      </c>
      <c r="Q3912" s="17">
        <v>0</v>
      </c>
      <c r="R3912" s="13"/>
      <c r="S3912" s="13"/>
      <c r="T3912" s="13"/>
      <c r="U3912" s="13"/>
      <c r="V3912" s="13"/>
      <c r="W3912" s="13"/>
    </row>
    <row r="3913" spans="1:23" x14ac:dyDescent="0.2">
      <c r="A3913"/>
      <c r="B3913"/>
      <c r="C3913"/>
      <c r="D3913"/>
      <c r="E3913"/>
      <c r="F3913"/>
      <c r="G3913"/>
      <c r="H3913"/>
      <c r="I3913"/>
      <c r="J3913"/>
      <c r="K3913" s="13" t="s">
        <v>294</v>
      </c>
      <c r="L3913" s="13" t="s">
        <v>486</v>
      </c>
      <c r="M3913" s="13" t="s">
        <v>439</v>
      </c>
      <c r="N3913" s="15">
        <v>0</v>
      </c>
      <c r="O3913" s="16">
        <v>0</v>
      </c>
      <c r="P3913" s="17">
        <v>63.270700002659062</v>
      </c>
      <c r="Q3913" s="17">
        <v>0</v>
      </c>
      <c r="R3913" s="13"/>
      <c r="S3913" s="13"/>
      <c r="T3913" s="13"/>
      <c r="U3913" s="13"/>
      <c r="V3913" s="13"/>
      <c r="W3913" s="13"/>
    </row>
    <row r="3914" spans="1:23" x14ac:dyDescent="0.2">
      <c r="A3914"/>
      <c r="B3914"/>
      <c r="C3914"/>
      <c r="D3914"/>
      <c r="E3914"/>
      <c r="F3914"/>
      <c r="G3914"/>
      <c r="H3914"/>
      <c r="I3914"/>
      <c r="J3914"/>
      <c r="K3914" s="13" t="s">
        <v>294</v>
      </c>
      <c r="L3914" s="13" t="s">
        <v>621</v>
      </c>
      <c r="M3914" s="13" t="s">
        <v>520</v>
      </c>
      <c r="N3914" s="15">
        <v>0</v>
      </c>
      <c r="O3914" s="16">
        <v>0</v>
      </c>
      <c r="P3914" s="17">
        <v>342.54405001428637</v>
      </c>
      <c r="Q3914" s="17">
        <v>0</v>
      </c>
      <c r="R3914" s="13"/>
      <c r="S3914" s="13"/>
      <c r="T3914" s="13"/>
      <c r="U3914" s="13"/>
      <c r="V3914" s="13"/>
      <c r="W3914" s="13"/>
    </row>
    <row r="3915" spans="1:23" x14ac:dyDescent="0.2">
      <c r="A3915"/>
      <c r="B3915"/>
      <c r="C3915"/>
      <c r="D3915"/>
      <c r="E3915"/>
      <c r="F3915"/>
      <c r="G3915"/>
      <c r="H3915"/>
      <c r="I3915"/>
      <c r="J3915"/>
      <c r="K3915" s="13" t="s">
        <v>294</v>
      </c>
      <c r="L3915" s="13" t="s">
        <v>512</v>
      </c>
      <c r="M3915" s="13" t="s">
        <v>466</v>
      </c>
      <c r="N3915" s="15">
        <v>0</v>
      </c>
      <c r="O3915" s="16">
        <v>0</v>
      </c>
      <c r="P3915" s="17">
        <v>351.70310000098306</v>
      </c>
      <c r="Q3915" s="17">
        <v>0</v>
      </c>
      <c r="R3915" s="13"/>
      <c r="S3915" s="13"/>
      <c r="T3915" s="13"/>
      <c r="U3915" s="13"/>
      <c r="V3915" s="13"/>
      <c r="W3915" s="13"/>
    </row>
    <row r="3916" spans="1:23" x14ac:dyDescent="0.2">
      <c r="A3916"/>
      <c r="B3916"/>
      <c r="C3916"/>
      <c r="D3916"/>
      <c r="E3916"/>
      <c r="F3916"/>
      <c r="G3916"/>
      <c r="H3916"/>
      <c r="I3916"/>
      <c r="J3916"/>
      <c r="K3916" s="13" t="s">
        <v>294</v>
      </c>
      <c r="L3916" s="13" t="s">
        <v>532</v>
      </c>
      <c r="M3916" s="13" t="s">
        <v>620</v>
      </c>
      <c r="N3916" s="15">
        <v>0</v>
      </c>
      <c r="O3916" s="16">
        <v>0</v>
      </c>
      <c r="P3916" s="17">
        <v>18.567249998008254</v>
      </c>
      <c r="Q3916" s="17">
        <v>0</v>
      </c>
      <c r="R3916" s="13"/>
      <c r="S3916" s="13"/>
      <c r="T3916" s="13"/>
      <c r="U3916" s="13"/>
      <c r="V3916" s="13"/>
      <c r="W3916" s="13"/>
    </row>
    <row r="3917" spans="1:23" x14ac:dyDescent="0.2">
      <c r="A3917"/>
      <c r="B3917"/>
      <c r="C3917"/>
      <c r="D3917"/>
      <c r="E3917"/>
      <c r="F3917"/>
      <c r="G3917"/>
      <c r="H3917"/>
      <c r="I3917"/>
      <c r="J3917"/>
      <c r="K3917" s="13" t="s">
        <v>294</v>
      </c>
      <c r="L3917" s="13" t="s">
        <v>394</v>
      </c>
      <c r="M3917" s="13" t="s">
        <v>359</v>
      </c>
      <c r="N3917" s="15">
        <v>0</v>
      </c>
      <c r="O3917" s="16">
        <v>0</v>
      </c>
      <c r="P3917" s="17">
        <v>23.819700001494791</v>
      </c>
      <c r="Q3917" s="17">
        <v>0</v>
      </c>
      <c r="R3917" s="13"/>
      <c r="S3917" s="13"/>
      <c r="T3917" s="13"/>
      <c r="U3917" s="13"/>
      <c r="V3917" s="13"/>
      <c r="W3917" s="13"/>
    </row>
    <row r="3918" spans="1:23" x14ac:dyDescent="0.2">
      <c r="A3918"/>
      <c r="B3918"/>
      <c r="C3918"/>
      <c r="D3918"/>
      <c r="E3918"/>
      <c r="F3918"/>
      <c r="G3918"/>
      <c r="H3918"/>
      <c r="I3918"/>
      <c r="J3918"/>
      <c r="K3918" s="13" t="s">
        <v>294</v>
      </c>
      <c r="L3918" s="13" t="s">
        <v>395</v>
      </c>
      <c r="M3918" s="13" t="s">
        <v>602</v>
      </c>
      <c r="N3918" s="15">
        <v>4</v>
      </c>
      <c r="O3918" s="16">
        <v>0</v>
      </c>
      <c r="P3918" s="17">
        <v>0</v>
      </c>
      <c r="Q3918" s="17">
        <v>0</v>
      </c>
      <c r="R3918" s="13"/>
      <c r="S3918" s="13"/>
      <c r="T3918" s="13"/>
      <c r="U3918" s="13"/>
      <c r="V3918" s="13"/>
      <c r="W3918" s="13"/>
    </row>
    <row r="3919" spans="1:23" x14ac:dyDescent="0.2">
      <c r="A3919"/>
      <c r="B3919"/>
      <c r="C3919"/>
      <c r="D3919"/>
      <c r="E3919"/>
      <c r="F3919"/>
      <c r="G3919"/>
      <c r="H3919"/>
      <c r="I3919"/>
      <c r="J3919"/>
      <c r="K3919" s="13" t="s">
        <v>294</v>
      </c>
      <c r="L3919" s="13" t="s">
        <v>401</v>
      </c>
      <c r="M3919" s="13" t="s">
        <v>360</v>
      </c>
      <c r="N3919" s="15">
        <v>0</v>
      </c>
      <c r="O3919" s="16">
        <v>0</v>
      </c>
      <c r="P3919" s="17">
        <v>411.86458675258979</v>
      </c>
      <c r="Q3919" s="17">
        <v>0</v>
      </c>
      <c r="R3919" s="13"/>
      <c r="S3919" s="13"/>
      <c r="T3919" s="13"/>
      <c r="U3919" s="13"/>
      <c r="V3919" s="13"/>
      <c r="W3919" s="13"/>
    </row>
    <row r="3920" spans="1:23" x14ac:dyDescent="0.2">
      <c r="A3920"/>
      <c r="B3920"/>
      <c r="C3920"/>
      <c r="D3920"/>
      <c r="E3920"/>
      <c r="F3920"/>
      <c r="G3920"/>
      <c r="H3920"/>
      <c r="I3920"/>
      <c r="J3920"/>
      <c r="K3920" s="13" t="s">
        <v>294</v>
      </c>
      <c r="L3920" s="13" t="s">
        <v>402</v>
      </c>
      <c r="M3920" s="13" t="s">
        <v>403</v>
      </c>
      <c r="N3920" s="15">
        <v>0</v>
      </c>
      <c r="O3920" s="16">
        <v>0</v>
      </c>
      <c r="P3920" s="17">
        <v>3389.1753500190716</v>
      </c>
      <c r="Q3920" s="17">
        <v>0</v>
      </c>
      <c r="R3920" s="13"/>
      <c r="S3920" s="13"/>
      <c r="T3920" s="13"/>
      <c r="U3920" s="13"/>
      <c r="V3920" s="13"/>
      <c r="W3920" s="13"/>
    </row>
    <row r="3921" spans="1:23" x14ac:dyDescent="0.2">
      <c r="A3921"/>
      <c r="B3921"/>
      <c r="C3921"/>
      <c r="D3921"/>
      <c r="E3921"/>
      <c r="F3921"/>
      <c r="G3921"/>
      <c r="H3921"/>
      <c r="I3921"/>
      <c r="J3921"/>
      <c r="K3921" s="13" t="s">
        <v>294</v>
      </c>
      <c r="L3921" s="13" t="s">
        <v>448</v>
      </c>
      <c r="M3921" s="13" t="s">
        <v>366</v>
      </c>
      <c r="N3921" s="15">
        <v>0</v>
      </c>
      <c r="O3921" s="16">
        <v>0</v>
      </c>
      <c r="P3921" s="17">
        <v>906.69060000569743</v>
      </c>
      <c r="Q3921" s="17">
        <v>0</v>
      </c>
      <c r="R3921" s="13"/>
      <c r="S3921" s="13"/>
      <c r="T3921" s="13"/>
      <c r="U3921" s="13"/>
      <c r="V3921" s="13"/>
      <c r="W3921" s="13"/>
    </row>
    <row r="3922" spans="1:23" x14ac:dyDescent="0.2">
      <c r="A3922"/>
      <c r="B3922"/>
      <c r="C3922"/>
      <c r="D3922"/>
      <c r="E3922"/>
      <c r="F3922"/>
      <c r="G3922"/>
      <c r="H3922"/>
      <c r="I3922"/>
      <c r="J3922"/>
      <c r="K3922" s="13" t="s">
        <v>294</v>
      </c>
      <c r="L3922" s="13" t="s">
        <v>456</v>
      </c>
      <c r="M3922" s="13" t="s">
        <v>457</v>
      </c>
      <c r="N3922" s="15">
        <v>0</v>
      </c>
      <c r="O3922" s="16">
        <v>0</v>
      </c>
      <c r="P3922" s="17">
        <v>6.8550001642833092E-2</v>
      </c>
      <c r="Q3922" s="17">
        <v>0</v>
      </c>
      <c r="R3922" s="13"/>
      <c r="S3922" s="13"/>
      <c r="T3922" s="13"/>
      <c r="U3922" s="13"/>
      <c r="V3922" s="13"/>
      <c r="W3922" s="13"/>
    </row>
    <row r="3923" spans="1:23" x14ac:dyDescent="0.2">
      <c r="A3923"/>
      <c r="B3923"/>
      <c r="C3923"/>
      <c r="D3923"/>
      <c r="E3923"/>
      <c r="F3923"/>
      <c r="G3923"/>
      <c r="H3923"/>
      <c r="I3923"/>
      <c r="J3923"/>
      <c r="K3923" s="13" t="s">
        <v>294</v>
      </c>
      <c r="L3923" s="13" t="s">
        <v>381</v>
      </c>
      <c r="M3923" s="13" t="s">
        <v>382</v>
      </c>
      <c r="N3923" s="15">
        <v>96</v>
      </c>
      <c r="O3923" s="16">
        <v>0</v>
      </c>
      <c r="P3923" s="17">
        <v>0</v>
      </c>
      <c r="Q3923" s="17">
        <v>0</v>
      </c>
      <c r="R3923" s="13"/>
      <c r="S3923" s="13"/>
      <c r="T3923" s="13"/>
      <c r="U3923" s="13"/>
      <c r="V3923" s="13"/>
      <c r="W3923" s="13"/>
    </row>
    <row r="3924" spans="1:23" x14ac:dyDescent="0.2">
      <c r="A3924"/>
      <c r="B3924"/>
      <c r="C3924"/>
      <c r="D3924"/>
      <c r="E3924"/>
      <c r="F3924"/>
      <c r="G3924"/>
      <c r="H3924"/>
      <c r="I3924"/>
      <c r="J3924"/>
      <c r="K3924" s="13" t="s">
        <v>294</v>
      </c>
      <c r="L3924" s="13" t="s">
        <v>411</v>
      </c>
      <c r="M3924" s="13" t="s">
        <v>362</v>
      </c>
      <c r="N3924" s="15">
        <v>0</v>
      </c>
      <c r="O3924" s="16">
        <v>0</v>
      </c>
      <c r="P3924" s="17">
        <v>98.146199995207667</v>
      </c>
      <c r="Q3924" s="17">
        <v>0</v>
      </c>
      <c r="R3924" s="13"/>
      <c r="S3924" s="13"/>
      <c r="T3924" s="13"/>
      <c r="U3924" s="13"/>
      <c r="V3924" s="13"/>
      <c r="W3924" s="13"/>
    </row>
    <row r="3925" spans="1:23" x14ac:dyDescent="0.2">
      <c r="A3925"/>
      <c r="B3925"/>
      <c r="C3925"/>
      <c r="D3925"/>
      <c r="E3925"/>
      <c r="F3925"/>
      <c r="G3925"/>
      <c r="H3925"/>
      <c r="I3925"/>
      <c r="J3925"/>
      <c r="K3925" s="13" t="s">
        <v>294</v>
      </c>
      <c r="L3925" s="13" t="s">
        <v>411</v>
      </c>
      <c r="M3925" s="13" t="s">
        <v>362</v>
      </c>
      <c r="N3925" s="15">
        <v>0</v>
      </c>
      <c r="O3925" s="16">
        <v>74.825830241954009</v>
      </c>
      <c r="P3925" s="17">
        <v>0</v>
      </c>
      <c r="Q3925" s="17">
        <v>0</v>
      </c>
      <c r="R3925" s="13"/>
      <c r="S3925" s="13"/>
      <c r="T3925" s="13"/>
      <c r="U3925" s="13"/>
      <c r="V3925" s="13"/>
      <c r="W3925" s="13"/>
    </row>
    <row r="3926" spans="1:23" x14ac:dyDescent="0.2">
      <c r="A3926"/>
      <c r="B3926"/>
      <c r="C3926"/>
      <c r="D3926"/>
      <c r="E3926"/>
      <c r="F3926"/>
      <c r="G3926"/>
      <c r="H3926"/>
      <c r="I3926"/>
      <c r="J3926"/>
      <c r="K3926" s="13" t="s">
        <v>294</v>
      </c>
      <c r="L3926" s="13" t="s">
        <v>411</v>
      </c>
      <c r="M3926" s="13" t="s">
        <v>362</v>
      </c>
      <c r="N3926" s="15">
        <v>2</v>
      </c>
      <c r="O3926" s="16">
        <v>0</v>
      </c>
      <c r="P3926" s="17">
        <v>0</v>
      </c>
      <c r="Q3926" s="17">
        <v>0</v>
      </c>
      <c r="R3926" s="13"/>
      <c r="S3926" s="13"/>
      <c r="T3926" s="13"/>
      <c r="U3926" s="13"/>
      <c r="V3926" s="13"/>
      <c r="W3926" s="13"/>
    </row>
    <row r="3927" spans="1:23" x14ac:dyDescent="0.2">
      <c r="A3927"/>
      <c r="B3927"/>
      <c r="C3927"/>
      <c r="D3927"/>
      <c r="E3927"/>
      <c r="F3927"/>
      <c r="G3927"/>
      <c r="H3927"/>
      <c r="I3927"/>
      <c r="J3927"/>
      <c r="K3927" s="13" t="s">
        <v>294</v>
      </c>
      <c r="L3927" s="13" t="s">
        <v>606</v>
      </c>
      <c r="M3927" s="13" t="s">
        <v>430</v>
      </c>
      <c r="N3927" s="15">
        <v>2</v>
      </c>
      <c r="O3927" s="16">
        <v>0</v>
      </c>
      <c r="P3927" s="17">
        <v>0</v>
      </c>
      <c r="Q3927" s="17">
        <v>0</v>
      </c>
      <c r="R3927" s="13"/>
      <c r="S3927" s="13"/>
      <c r="T3927" s="13"/>
      <c r="U3927" s="13"/>
      <c r="V3927" s="13"/>
      <c r="W3927" s="13"/>
    </row>
    <row r="3928" spans="1:23" x14ac:dyDescent="0.2">
      <c r="A3928"/>
      <c r="B3928"/>
      <c r="C3928"/>
      <c r="D3928"/>
      <c r="E3928"/>
      <c r="F3928"/>
      <c r="G3928"/>
      <c r="H3928"/>
      <c r="I3928"/>
      <c r="J3928"/>
      <c r="K3928" s="13" t="s">
        <v>294</v>
      </c>
      <c r="L3928" s="13" t="s">
        <v>623</v>
      </c>
      <c r="M3928" s="13" t="s">
        <v>530</v>
      </c>
      <c r="N3928" s="15">
        <v>0</v>
      </c>
      <c r="O3928" s="16">
        <v>112.48496745184026</v>
      </c>
      <c r="P3928" s="17">
        <v>0</v>
      </c>
      <c r="Q3928" s="17">
        <v>0</v>
      </c>
      <c r="R3928" s="13"/>
      <c r="S3928" s="13"/>
      <c r="T3928" s="13"/>
      <c r="U3928" s="13"/>
      <c r="V3928" s="13"/>
      <c r="W3928" s="13"/>
    </row>
    <row r="3929" spans="1:23" x14ac:dyDescent="0.2">
      <c r="A3929"/>
      <c r="B3929"/>
      <c r="C3929"/>
      <c r="D3929"/>
      <c r="E3929"/>
      <c r="F3929"/>
      <c r="G3929"/>
      <c r="H3929"/>
      <c r="I3929"/>
      <c r="J3929"/>
      <c r="K3929" s="13" t="s">
        <v>294</v>
      </c>
      <c r="L3929" s="13" t="s">
        <v>608</v>
      </c>
      <c r="M3929" s="13" t="s">
        <v>432</v>
      </c>
      <c r="N3929" s="15">
        <v>41</v>
      </c>
      <c r="O3929" s="16">
        <v>0</v>
      </c>
      <c r="P3929" s="17">
        <v>0</v>
      </c>
      <c r="Q3929" s="17">
        <v>0</v>
      </c>
      <c r="R3929" s="13"/>
      <c r="S3929" s="13"/>
      <c r="T3929" s="13"/>
      <c r="U3929" s="13"/>
      <c r="V3929" s="13"/>
      <c r="W3929" s="13"/>
    </row>
    <row r="3930" spans="1:23" x14ac:dyDescent="0.2">
      <c r="A3930"/>
      <c r="B3930"/>
      <c r="C3930"/>
      <c r="D3930"/>
      <c r="E3930"/>
      <c r="F3930"/>
      <c r="G3930"/>
      <c r="H3930"/>
      <c r="I3930"/>
      <c r="J3930"/>
      <c r="K3930" s="13" t="s">
        <v>294</v>
      </c>
      <c r="L3930" s="13" t="s">
        <v>615</v>
      </c>
      <c r="M3930" s="13" t="s">
        <v>449</v>
      </c>
      <c r="N3930" s="15">
        <v>1</v>
      </c>
      <c r="O3930" s="16">
        <v>0</v>
      </c>
      <c r="P3930" s="17">
        <v>0</v>
      </c>
      <c r="Q3930" s="17">
        <v>0</v>
      </c>
      <c r="R3930" s="13"/>
      <c r="S3930" s="13"/>
      <c r="T3930" s="13"/>
      <c r="U3930" s="13"/>
      <c r="V3930" s="13"/>
      <c r="W3930" s="13"/>
    </row>
    <row r="3931" spans="1:23" x14ac:dyDescent="0.2">
      <c r="A3931"/>
      <c r="B3931"/>
      <c r="C3931"/>
      <c r="D3931"/>
      <c r="E3931"/>
      <c r="F3931"/>
      <c r="G3931"/>
      <c r="H3931"/>
      <c r="I3931"/>
      <c r="J3931"/>
      <c r="K3931" s="13" t="s">
        <v>294</v>
      </c>
      <c r="L3931" s="13" t="s">
        <v>421</v>
      </c>
      <c r="M3931" s="13" t="s">
        <v>443</v>
      </c>
      <c r="N3931" s="15">
        <v>1</v>
      </c>
      <c r="O3931" s="16">
        <v>0</v>
      </c>
      <c r="P3931" s="17">
        <v>0</v>
      </c>
      <c r="Q3931" s="17">
        <v>0</v>
      </c>
      <c r="R3931" s="13"/>
      <c r="S3931" s="13"/>
      <c r="T3931" s="13"/>
      <c r="U3931" s="13"/>
      <c r="V3931" s="13"/>
      <c r="W3931" s="13"/>
    </row>
    <row r="3932" spans="1:23" x14ac:dyDescent="0.2">
      <c r="A3932"/>
      <c r="B3932"/>
      <c r="C3932"/>
      <c r="D3932"/>
      <c r="E3932"/>
      <c r="F3932"/>
      <c r="G3932"/>
      <c r="H3932"/>
      <c r="I3932"/>
      <c r="J3932"/>
      <c r="K3932" s="13" t="s">
        <v>294</v>
      </c>
      <c r="L3932" s="13" t="s">
        <v>383</v>
      </c>
      <c r="M3932" s="13" t="s">
        <v>420</v>
      </c>
      <c r="N3932" s="15">
        <v>12</v>
      </c>
      <c r="O3932" s="16">
        <v>0</v>
      </c>
      <c r="P3932" s="17">
        <v>0</v>
      </c>
      <c r="Q3932" s="17">
        <v>0</v>
      </c>
      <c r="R3932" s="13"/>
      <c r="S3932" s="13"/>
      <c r="T3932" s="13"/>
      <c r="U3932" s="13"/>
      <c r="V3932" s="13"/>
      <c r="W3932" s="13"/>
    </row>
    <row r="3933" spans="1:23" x14ac:dyDescent="0.2">
      <c r="A3933"/>
      <c r="B3933"/>
      <c r="C3933"/>
      <c r="D3933"/>
      <c r="E3933"/>
      <c r="F3933"/>
      <c r="G3933"/>
      <c r="H3933"/>
      <c r="I3933"/>
      <c r="J3933"/>
      <c r="K3933" s="13" t="s">
        <v>294</v>
      </c>
      <c r="L3933" s="13" t="s">
        <v>528</v>
      </c>
      <c r="M3933" s="13" t="s">
        <v>384</v>
      </c>
      <c r="N3933" s="15">
        <v>0</v>
      </c>
      <c r="O3933" s="16">
        <v>449.76176085071222</v>
      </c>
      <c r="P3933" s="17">
        <v>0</v>
      </c>
      <c r="Q3933" s="17">
        <v>0</v>
      </c>
      <c r="R3933" s="13"/>
      <c r="S3933" s="13"/>
      <c r="T3933" s="13"/>
      <c r="U3933" s="13"/>
      <c r="V3933" s="13"/>
      <c r="W3933" s="13"/>
    </row>
    <row r="3934" spans="1:23" x14ac:dyDescent="0.2">
      <c r="A3934"/>
      <c r="B3934"/>
      <c r="C3934"/>
      <c r="D3934"/>
      <c r="E3934"/>
      <c r="F3934"/>
      <c r="G3934"/>
      <c r="H3934"/>
      <c r="I3934"/>
      <c r="J3934"/>
      <c r="K3934" s="13" t="s">
        <v>294</v>
      </c>
      <c r="L3934" s="13" t="s">
        <v>613</v>
      </c>
      <c r="M3934" s="13" t="s">
        <v>444</v>
      </c>
      <c r="N3934" s="15">
        <v>0</v>
      </c>
      <c r="O3934" s="16">
        <v>87.299134886246406</v>
      </c>
      <c r="P3934" s="17">
        <v>0</v>
      </c>
      <c r="Q3934" s="17">
        <v>0</v>
      </c>
      <c r="R3934" s="13"/>
      <c r="S3934" s="13"/>
      <c r="T3934" s="13"/>
      <c r="U3934" s="13"/>
      <c r="V3934" s="13"/>
      <c r="W3934" s="13"/>
    </row>
    <row r="3935" spans="1:23" x14ac:dyDescent="0.2">
      <c r="A3935"/>
      <c r="B3935"/>
      <c r="C3935"/>
      <c r="D3935"/>
      <c r="E3935"/>
      <c r="F3935"/>
      <c r="G3935"/>
      <c r="H3935"/>
      <c r="I3935"/>
      <c r="J3935"/>
      <c r="K3935" s="13" t="s">
        <v>294</v>
      </c>
      <c r="L3935" s="13" t="s">
        <v>446</v>
      </c>
      <c r="M3935" s="13" t="s">
        <v>371</v>
      </c>
      <c r="N3935" s="15">
        <v>17</v>
      </c>
      <c r="O3935" s="16">
        <v>0</v>
      </c>
      <c r="P3935" s="17">
        <v>0</v>
      </c>
      <c r="Q3935" s="17">
        <v>0</v>
      </c>
      <c r="R3935" s="13"/>
      <c r="S3935" s="13"/>
      <c r="T3935" s="13"/>
      <c r="U3935" s="13"/>
      <c r="V3935" s="13"/>
      <c r="W3935" s="13"/>
    </row>
    <row r="3936" spans="1:23" x14ac:dyDescent="0.2">
      <c r="A3936"/>
      <c r="B3936"/>
      <c r="C3936"/>
      <c r="D3936"/>
      <c r="E3936"/>
      <c r="F3936"/>
      <c r="G3936"/>
      <c r="H3936"/>
      <c r="I3936"/>
      <c r="J3936"/>
      <c r="K3936" s="13" t="s">
        <v>294</v>
      </c>
      <c r="L3936" s="13" t="s">
        <v>424</v>
      </c>
      <c r="M3936" s="13" t="s">
        <v>468</v>
      </c>
      <c r="N3936" s="15">
        <v>0</v>
      </c>
      <c r="O3936" s="16">
        <v>0</v>
      </c>
      <c r="P3936" s="17">
        <v>61.498299992306443</v>
      </c>
      <c r="Q3936" s="17">
        <v>0</v>
      </c>
      <c r="R3936" s="13"/>
      <c r="S3936" s="13"/>
      <c r="T3936" s="13"/>
      <c r="U3936" s="13"/>
      <c r="V3936" s="13"/>
      <c r="W3936" s="13"/>
    </row>
    <row r="3937" spans="1:23" x14ac:dyDescent="0.2">
      <c r="A3937"/>
      <c r="B3937"/>
      <c r="C3937"/>
      <c r="D3937"/>
      <c r="E3937"/>
      <c r="F3937"/>
      <c r="G3937"/>
      <c r="H3937"/>
      <c r="I3937"/>
      <c r="J3937"/>
      <c r="K3937" s="13" t="s">
        <v>294</v>
      </c>
      <c r="L3937" s="13" t="s">
        <v>614</v>
      </c>
      <c r="M3937" s="13" t="s">
        <v>447</v>
      </c>
      <c r="N3937" s="15">
        <v>1</v>
      </c>
      <c r="O3937" s="16">
        <v>0</v>
      </c>
      <c r="P3937" s="17">
        <v>0</v>
      </c>
      <c r="Q3937" s="17">
        <v>0</v>
      </c>
      <c r="R3937" s="13"/>
      <c r="S3937" s="13"/>
      <c r="T3937" s="13"/>
      <c r="U3937" s="13"/>
      <c r="V3937" s="13"/>
      <c r="W3937" s="13"/>
    </row>
    <row r="3938" spans="1:23" x14ac:dyDescent="0.2">
      <c r="A3938"/>
      <c r="B3938"/>
      <c r="C3938"/>
      <c r="D3938"/>
      <c r="E3938"/>
      <c r="F3938"/>
      <c r="G3938"/>
      <c r="H3938"/>
      <c r="I3938"/>
      <c r="J3938"/>
      <c r="K3938" s="13" t="s">
        <v>296</v>
      </c>
      <c r="L3938" s="13" t="s">
        <v>635</v>
      </c>
      <c r="M3938" s="13" t="s">
        <v>507</v>
      </c>
      <c r="N3938" s="15">
        <v>0</v>
      </c>
      <c r="O3938" s="16">
        <v>0</v>
      </c>
      <c r="P3938" s="17">
        <v>0.42959999964069573</v>
      </c>
      <c r="Q3938" s="17">
        <v>0</v>
      </c>
      <c r="R3938" s="13"/>
      <c r="S3938" s="13"/>
      <c r="T3938" s="13"/>
      <c r="U3938" s="13"/>
      <c r="V3938" s="13"/>
      <c r="W3938" s="13"/>
    </row>
    <row r="3939" spans="1:23" x14ac:dyDescent="0.2">
      <c r="A3939"/>
      <c r="B3939"/>
      <c r="C3939"/>
      <c r="D3939"/>
      <c r="E3939"/>
      <c r="F3939"/>
      <c r="G3939"/>
      <c r="H3939"/>
      <c r="I3939"/>
      <c r="J3939"/>
      <c r="K3939" s="13" t="s">
        <v>296</v>
      </c>
      <c r="L3939" s="13" t="s">
        <v>387</v>
      </c>
      <c r="M3939" s="13" t="s">
        <v>386</v>
      </c>
      <c r="N3939" s="15">
        <v>0</v>
      </c>
      <c r="O3939" s="16">
        <v>0</v>
      </c>
      <c r="P3939" s="17">
        <v>456.90255000159061</v>
      </c>
      <c r="Q3939" s="17">
        <v>0</v>
      </c>
      <c r="R3939" s="13"/>
      <c r="S3939" s="13"/>
      <c r="T3939" s="13"/>
      <c r="U3939" s="13"/>
      <c r="V3939" s="13"/>
      <c r="W3939" s="13"/>
    </row>
    <row r="3940" spans="1:23" x14ac:dyDescent="0.2">
      <c r="A3940"/>
      <c r="B3940"/>
      <c r="C3940"/>
      <c r="D3940"/>
      <c r="E3940"/>
      <c r="F3940"/>
      <c r="G3940"/>
      <c r="H3940"/>
      <c r="I3940"/>
      <c r="J3940"/>
      <c r="K3940" s="13" t="s">
        <v>296</v>
      </c>
      <c r="L3940" s="13" t="s">
        <v>389</v>
      </c>
      <c r="M3940" s="13" t="s">
        <v>388</v>
      </c>
      <c r="N3940" s="15">
        <v>0</v>
      </c>
      <c r="O3940" s="16">
        <v>0</v>
      </c>
      <c r="P3940" s="17">
        <v>37.541799996468981</v>
      </c>
      <c r="Q3940" s="17">
        <v>0</v>
      </c>
      <c r="R3940" s="13"/>
      <c r="S3940" s="13"/>
      <c r="T3940" s="13"/>
      <c r="U3940" s="13"/>
      <c r="V3940" s="13"/>
      <c r="W3940" s="13"/>
    </row>
    <row r="3941" spans="1:23" x14ac:dyDescent="0.2">
      <c r="A3941"/>
      <c r="B3941"/>
      <c r="C3941"/>
      <c r="D3941"/>
      <c r="E3941"/>
      <c r="F3941"/>
      <c r="G3941"/>
      <c r="H3941"/>
      <c r="I3941"/>
      <c r="J3941"/>
      <c r="K3941" s="13" t="s">
        <v>296</v>
      </c>
      <c r="L3941" s="13" t="s">
        <v>542</v>
      </c>
      <c r="M3941" s="13" t="s">
        <v>390</v>
      </c>
      <c r="N3941" s="15">
        <v>0</v>
      </c>
      <c r="O3941" s="16">
        <v>0</v>
      </c>
      <c r="P3941" s="17">
        <v>1.654449998198612</v>
      </c>
      <c r="Q3941" s="17">
        <v>0</v>
      </c>
      <c r="R3941" s="13"/>
      <c r="S3941" s="13"/>
      <c r="T3941" s="13"/>
      <c r="U3941" s="13"/>
      <c r="V3941" s="13"/>
      <c r="W3941" s="13"/>
    </row>
    <row r="3942" spans="1:23" x14ac:dyDescent="0.2">
      <c r="A3942"/>
      <c r="B3942"/>
      <c r="C3942"/>
      <c r="D3942"/>
      <c r="E3942"/>
      <c r="F3942"/>
      <c r="G3942"/>
      <c r="H3942"/>
      <c r="I3942"/>
      <c r="J3942"/>
      <c r="K3942" s="13" t="s">
        <v>296</v>
      </c>
      <c r="L3942" s="13" t="s">
        <v>391</v>
      </c>
      <c r="M3942" s="13" t="s">
        <v>358</v>
      </c>
      <c r="N3942" s="15">
        <v>0</v>
      </c>
      <c r="O3942" s="16">
        <v>0</v>
      </c>
      <c r="P3942" s="17">
        <v>10.908649999332754</v>
      </c>
      <c r="Q3942" s="17">
        <v>0</v>
      </c>
      <c r="R3942" s="13"/>
      <c r="S3942" s="13"/>
      <c r="T3942" s="13"/>
      <c r="U3942" s="13"/>
      <c r="V3942" s="13"/>
      <c r="W3942" s="13"/>
    </row>
    <row r="3943" spans="1:23" x14ac:dyDescent="0.2">
      <c r="A3943"/>
      <c r="B3943"/>
      <c r="C3943"/>
      <c r="D3943"/>
      <c r="E3943"/>
      <c r="F3943"/>
      <c r="G3943"/>
      <c r="H3943"/>
      <c r="I3943"/>
      <c r="J3943"/>
      <c r="K3943" s="13" t="s">
        <v>296</v>
      </c>
      <c r="L3943" s="13" t="s">
        <v>486</v>
      </c>
      <c r="M3943" s="13" t="s">
        <v>439</v>
      </c>
      <c r="N3943" s="15">
        <v>0</v>
      </c>
      <c r="O3943" s="16">
        <v>0</v>
      </c>
      <c r="P3943" s="17">
        <v>106.6546000139848</v>
      </c>
      <c r="Q3943" s="17">
        <v>0</v>
      </c>
      <c r="R3943" s="13"/>
      <c r="S3943" s="13"/>
      <c r="T3943" s="13"/>
      <c r="U3943" s="13"/>
      <c r="V3943" s="13"/>
      <c r="W3943" s="13"/>
    </row>
    <row r="3944" spans="1:23" x14ac:dyDescent="0.2">
      <c r="A3944"/>
      <c r="B3944"/>
      <c r="C3944"/>
      <c r="D3944"/>
      <c r="E3944"/>
      <c r="F3944"/>
      <c r="G3944"/>
      <c r="H3944"/>
      <c r="I3944"/>
      <c r="J3944"/>
      <c r="K3944" s="13" t="s">
        <v>296</v>
      </c>
      <c r="L3944" s="13" t="s">
        <v>465</v>
      </c>
      <c r="M3944" s="13" t="s">
        <v>514</v>
      </c>
      <c r="N3944" s="15">
        <v>0</v>
      </c>
      <c r="O3944" s="16">
        <v>0</v>
      </c>
      <c r="P3944" s="17">
        <v>208.54659999805941</v>
      </c>
      <c r="Q3944" s="17">
        <v>0</v>
      </c>
      <c r="R3944" s="13"/>
      <c r="S3944" s="13"/>
      <c r="T3944" s="13"/>
      <c r="U3944" s="13"/>
      <c r="V3944" s="13"/>
      <c r="W3944" s="13"/>
    </row>
    <row r="3945" spans="1:23" x14ac:dyDescent="0.2">
      <c r="A3945"/>
      <c r="B3945"/>
      <c r="C3945"/>
      <c r="D3945"/>
      <c r="E3945"/>
      <c r="F3945"/>
      <c r="G3945"/>
      <c r="H3945"/>
      <c r="I3945"/>
      <c r="J3945"/>
      <c r="K3945" s="13" t="s">
        <v>296</v>
      </c>
      <c r="L3945" s="13" t="s">
        <v>440</v>
      </c>
      <c r="M3945" s="13" t="s">
        <v>441</v>
      </c>
      <c r="N3945" s="15">
        <v>10</v>
      </c>
      <c r="O3945" s="16">
        <v>0</v>
      </c>
      <c r="P3945" s="17">
        <v>0</v>
      </c>
      <c r="Q3945" s="17">
        <v>0</v>
      </c>
      <c r="R3945" s="13"/>
      <c r="S3945" s="13"/>
      <c r="T3945" s="13"/>
      <c r="U3945" s="13"/>
      <c r="V3945" s="13"/>
      <c r="W3945" s="13"/>
    </row>
    <row r="3946" spans="1:23" x14ac:dyDescent="0.2">
      <c r="A3946"/>
      <c r="B3946"/>
      <c r="C3946"/>
      <c r="D3946"/>
      <c r="E3946"/>
      <c r="F3946"/>
      <c r="G3946"/>
      <c r="H3946"/>
      <c r="I3946"/>
      <c r="J3946"/>
      <c r="K3946" s="13" t="s">
        <v>296</v>
      </c>
      <c r="L3946" s="13" t="s">
        <v>394</v>
      </c>
      <c r="M3946" s="13" t="s">
        <v>359</v>
      </c>
      <c r="N3946" s="15">
        <v>0</v>
      </c>
      <c r="O3946" s="16">
        <v>0</v>
      </c>
      <c r="P3946" s="17">
        <v>3.8331499996618597</v>
      </c>
      <c r="Q3946" s="17">
        <v>0</v>
      </c>
      <c r="R3946" s="13"/>
      <c r="S3946" s="13"/>
      <c r="T3946" s="13"/>
      <c r="U3946" s="13"/>
      <c r="V3946" s="13"/>
      <c r="W3946" s="13"/>
    </row>
    <row r="3947" spans="1:23" x14ac:dyDescent="0.2">
      <c r="A3947"/>
      <c r="B3947"/>
      <c r="C3947"/>
      <c r="D3947"/>
      <c r="E3947"/>
      <c r="F3947"/>
      <c r="G3947"/>
      <c r="H3947"/>
      <c r="I3947"/>
      <c r="J3947"/>
      <c r="K3947" s="13" t="s">
        <v>296</v>
      </c>
      <c r="L3947" s="13" t="s">
        <v>395</v>
      </c>
      <c r="M3947" s="13" t="s">
        <v>602</v>
      </c>
      <c r="N3947" s="15">
        <v>2</v>
      </c>
      <c r="O3947" s="16">
        <v>0</v>
      </c>
      <c r="P3947" s="17">
        <v>0</v>
      </c>
      <c r="Q3947" s="17">
        <v>0</v>
      </c>
      <c r="R3947" s="13"/>
      <c r="S3947" s="13"/>
      <c r="T3947" s="13"/>
      <c r="U3947" s="13"/>
      <c r="V3947" s="13"/>
      <c r="W3947" s="13"/>
    </row>
    <row r="3948" spans="1:23" x14ac:dyDescent="0.2">
      <c r="A3948"/>
      <c r="B3948"/>
      <c r="C3948"/>
      <c r="D3948"/>
      <c r="E3948"/>
      <c r="F3948"/>
      <c r="G3948"/>
      <c r="H3948"/>
      <c r="I3948"/>
      <c r="J3948"/>
      <c r="K3948" s="13" t="s">
        <v>296</v>
      </c>
      <c r="L3948" s="13" t="s">
        <v>399</v>
      </c>
      <c r="M3948" s="13" t="s">
        <v>400</v>
      </c>
      <c r="N3948" s="15">
        <v>0</v>
      </c>
      <c r="O3948" s="16">
        <v>0</v>
      </c>
      <c r="P3948" s="17">
        <v>2.9620499939164615</v>
      </c>
      <c r="Q3948" s="17">
        <v>0</v>
      </c>
      <c r="R3948" s="13"/>
      <c r="S3948" s="13"/>
      <c r="T3948" s="13"/>
      <c r="U3948" s="13"/>
      <c r="V3948" s="13"/>
      <c r="W3948" s="13"/>
    </row>
    <row r="3949" spans="1:23" x14ac:dyDescent="0.2">
      <c r="A3949"/>
      <c r="B3949"/>
      <c r="C3949"/>
      <c r="D3949"/>
      <c r="E3949"/>
      <c r="F3949"/>
      <c r="G3949"/>
      <c r="H3949"/>
      <c r="I3949"/>
      <c r="J3949"/>
      <c r="K3949" s="13" t="s">
        <v>296</v>
      </c>
      <c r="L3949" s="13" t="s">
        <v>401</v>
      </c>
      <c r="M3949" s="13" t="s">
        <v>360</v>
      </c>
      <c r="N3949" s="15">
        <v>0</v>
      </c>
      <c r="O3949" s="16">
        <v>0</v>
      </c>
      <c r="P3949" s="17">
        <v>80.2310000150718</v>
      </c>
      <c r="Q3949" s="17">
        <v>0</v>
      </c>
      <c r="R3949" s="13"/>
      <c r="S3949" s="13"/>
      <c r="T3949" s="13"/>
      <c r="U3949" s="13"/>
      <c r="V3949" s="13"/>
      <c r="W3949" s="13"/>
    </row>
    <row r="3950" spans="1:23" x14ac:dyDescent="0.2">
      <c r="A3950"/>
      <c r="B3950"/>
      <c r="C3950"/>
      <c r="D3950"/>
      <c r="E3950"/>
      <c r="F3950"/>
      <c r="G3950"/>
      <c r="H3950"/>
      <c r="I3950"/>
      <c r="J3950"/>
      <c r="K3950" s="13" t="s">
        <v>296</v>
      </c>
      <c r="L3950" s="13" t="s">
        <v>402</v>
      </c>
      <c r="M3950" s="13" t="s">
        <v>403</v>
      </c>
      <c r="N3950" s="15">
        <v>0</v>
      </c>
      <c r="O3950" s="16">
        <v>0</v>
      </c>
      <c r="P3950" s="17">
        <v>1176.0081907799636</v>
      </c>
      <c r="Q3950" s="17">
        <v>0</v>
      </c>
      <c r="R3950" s="13"/>
      <c r="S3950" s="13"/>
      <c r="T3950" s="13"/>
      <c r="U3950" s="13"/>
      <c r="V3950" s="13"/>
      <c r="W3950" s="13"/>
    </row>
    <row r="3951" spans="1:23" x14ac:dyDescent="0.2">
      <c r="A3951"/>
      <c r="B3951"/>
      <c r="C3951"/>
      <c r="D3951"/>
      <c r="E3951"/>
      <c r="F3951"/>
      <c r="G3951"/>
      <c r="H3951"/>
      <c r="I3951"/>
      <c r="J3951"/>
      <c r="K3951" s="13" t="s">
        <v>296</v>
      </c>
      <c r="L3951" s="13" t="s">
        <v>448</v>
      </c>
      <c r="M3951" s="13" t="s">
        <v>366</v>
      </c>
      <c r="N3951" s="15">
        <v>0</v>
      </c>
      <c r="O3951" s="16">
        <v>0</v>
      </c>
      <c r="P3951" s="17">
        <v>53.592299998102654</v>
      </c>
      <c r="Q3951" s="17">
        <v>0</v>
      </c>
      <c r="R3951" s="13"/>
      <c r="S3951" s="13"/>
      <c r="T3951" s="13"/>
      <c r="U3951" s="13"/>
      <c r="V3951" s="13"/>
      <c r="W3951" s="13"/>
    </row>
    <row r="3952" spans="1:23" x14ac:dyDescent="0.2">
      <c r="A3952"/>
      <c r="B3952"/>
      <c r="C3952"/>
      <c r="D3952"/>
      <c r="E3952"/>
      <c r="F3952"/>
      <c r="G3952"/>
      <c r="H3952"/>
      <c r="I3952"/>
      <c r="J3952"/>
      <c r="K3952" s="13" t="s">
        <v>296</v>
      </c>
      <c r="L3952" s="13" t="s">
        <v>404</v>
      </c>
      <c r="M3952" s="13" t="s">
        <v>405</v>
      </c>
      <c r="N3952" s="15">
        <v>0</v>
      </c>
      <c r="O3952" s="16">
        <v>0</v>
      </c>
      <c r="P3952" s="17">
        <v>58.127249989175802</v>
      </c>
      <c r="Q3952" s="17">
        <v>315.5468429470298</v>
      </c>
      <c r="R3952" s="13"/>
      <c r="S3952" s="13"/>
      <c r="T3952" s="13"/>
      <c r="U3952" s="13"/>
      <c r="V3952" s="13"/>
      <c r="W3952" s="13"/>
    </row>
    <row r="3953" spans="1:23" x14ac:dyDescent="0.2">
      <c r="A3953"/>
      <c r="B3953"/>
      <c r="C3953"/>
      <c r="D3953"/>
      <c r="E3953"/>
      <c r="F3953"/>
      <c r="G3953"/>
      <c r="H3953"/>
      <c r="I3953"/>
      <c r="J3953"/>
      <c r="K3953" s="13" t="s">
        <v>296</v>
      </c>
      <c r="L3953" s="13" t="s">
        <v>406</v>
      </c>
      <c r="M3953" s="13" t="s">
        <v>361</v>
      </c>
      <c r="N3953" s="15">
        <v>0</v>
      </c>
      <c r="O3953" s="16">
        <v>0</v>
      </c>
      <c r="P3953" s="17">
        <v>5.8160999993373173</v>
      </c>
      <c r="Q3953" s="17">
        <v>24.765876514561718</v>
      </c>
      <c r="R3953" s="13"/>
      <c r="S3953" s="13"/>
      <c r="T3953" s="13"/>
      <c r="U3953" s="13"/>
      <c r="V3953" s="13"/>
      <c r="W3953" s="13"/>
    </row>
    <row r="3954" spans="1:23" x14ac:dyDescent="0.2">
      <c r="A3954"/>
      <c r="B3954"/>
      <c r="C3954"/>
      <c r="D3954"/>
      <c r="E3954"/>
      <c r="F3954"/>
      <c r="G3954"/>
      <c r="H3954"/>
      <c r="I3954"/>
      <c r="J3954"/>
      <c r="K3954" s="13" t="s">
        <v>296</v>
      </c>
      <c r="L3954" s="13" t="s">
        <v>381</v>
      </c>
      <c r="M3954" s="13" t="s">
        <v>382</v>
      </c>
      <c r="N3954" s="15">
        <v>22</v>
      </c>
      <c r="O3954" s="16">
        <v>0</v>
      </c>
      <c r="P3954" s="17">
        <v>0</v>
      </c>
      <c r="Q3954" s="17">
        <v>0</v>
      </c>
      <c r="R3954" s="13"/>
      <c r="S3954" s="13"/>
      <c r="T3954" s="13"/>
      <c r="U3954" s="13"/>
      <c r="V3954" s="13"/>
      <c r="W3954" s="13"/>
    </row>
    <row r="3955" spans="1:23" x14ac:dyDescent="0.2">
      <c r="A3955"/>
      <c r="B3955"/>
      <c r="C3955"/>
      <c r="D3955"/>
      <c r="E3955"/>
      <c r="F3955"/>
      <c r="G3955"/>
      <c r="H3955"/>
      <c r="I3955"/>
      <c r="J3955"/>
      <c r="K3955" s="13" t="s">
        <v>296</v>
      </c>
      <c r="L3955" s="13" t="s">
        <v>505</v>
      </c>
      <c r="M3955" s="13" t="s">
        <v>506</v>
      </c>
      <c r="N3955" s="15">
        <v>1</v>
      </c>
      <c r="O3955" s="16">
        <v>0</v>
      </c>
      <c r="P3955" s="17">
        <v>0</v>
      </c>
      <c r="Q3955" s="17">
        <v>0</v>
      </c>
      <c r="R3955" s="13"/>
      <c r="S3955" s="13"/>
      <c r="T3955" s="13"/>
      <c r="U3955" s="13"/>
      <c r="V3955" s="13"/>
      <c r="W3955" s="13"/>
    </row>
    <row r="3956" spans="1:23" x14ac:dyDescent="0.2">
      <c r="A3956"/>
      <c r="B3956"/>
      <c r="C3956"/>
      <c r="D3956"/>
      <c r="E3956"/>
      <c r="F3956"/>
      <c r="G3956"/>
      <c r="H3956"/>
      <c r="I3956"/>
      <c r="J3956"/>
      <c r="K3956" s="13" t="s">
        <v>296</v>
      </c>
      <c r="L3956" s="13" t="s">
        <v>409</v>
      </c>
      <c r="M3956" s="13" t="s">
        <v>410</v>
      </c>
      <c r="N3956" s="15">
        <v>6</v>
      </c>
      <c r="O3956" s="16">
        <v>0</v>
      </c>
      <c r="P3956" s="17">
        <v>0</v>
      </c>
      <c r="Q3956" s="17">
        <v>0</v>
      </c>
      <c r="R3956" s="13"/>
      <c r="S3956" s="13"/>
      <c r="T3956" s="13"/>
      <c r="U3956" s="13"/>
      <c r="V3956" s="13"/>
      <c r="W3956" s="13"/>
    </row>
    <row r="3957" spans="1:23" x14ac:dyDescent="0.2">
      <c r="A3957"/>
      <c r="B3957"/>
      <c r="C3957"/>
      <c r="D3957"/>
      <c r="E3957"/>
      <c r="F3957"/>
      <c r="G3957"/>
      <c r="H3957"/>
      <c r="I3957"/>
      <c r="J3957"/>
      <c r="K3957" s="13" t="s">
        <v>296</v>
      </c>
      <c r="L3957" s="13" t="s">
        <v>411</v>
      </c>
      <c r="M3957" s="13" t="s">
        <v>362</v>
      </c>
      <c r="N3957" s="15">
        <v>0</v>
      </c>
      <c r="O3957" s="16">
        <v>0</v>
      </c>
      <c r="P3957" s="17">
        <v>83.591250004724699</v>
      </c>
      <c r="Q3957" s="17">
        <v>0</v>
      </c>
      <c r="R3957" s="13"/>
      <c r="S3957" s="13"/>
      <c r="T3957" s="13"/>
      <c r="U3957" s="13"/>
      <c r="V3957" s="13"/>
      <c r="W3957" s="13"/>
    </row>
    <row r="3958" spans="1:23" x14ac:dyDescent="0.2">
      <c r="A3958"/>
      <c r="B3958"/>
      <c r="C3958"/>
      <c r="D3958"/>
      <c r="E3958"/>
      <c r="F3958"/>
      <c r="G3958"/>
      <c r="H3958"/>
      <c r="I3958"/>
      <c r="J3958"/>
      <c r="K3958" s="13" t="s">
        <v>296</v>
      </c>
      <c r="L3958" s="13" t="s">
        <v>411</v>
      </c>
      <c r="M3958" s="13" t="s">
        <v>362</v>
      </c>
      <c r="N3958" s="15">
        <v>0</v>
      </c>
      <c r="O3958" s="16">
        <v>78.703739846594743</v>
      </c>
      <c r="P3958" s="17">
        <v>0</v>
      </c>
      <c r="Q3958" s="17">
        <v>0</v>
      </c>
      <c r="R3958" s="13"/>
      <c r="S3958" s="13"/>
      <c r="T3958" s="13"/>
      <c r="U3958" s="13"/>
      <c r="V3958" s="13"/>
      <c r="W3958" s="13"/>
    </row>
    <row r="3959" spans="1:23" x14ac:dyDescent="0.2">
      <c r="A3959"/>
      <c r="B3959"/>
      <c r="C3959"/>
      <c r="D3959"/>
      <c r="E3959"/>
      <c r="F3959"/>
      <c r="G3959"/>
      <c r="H3959"/>
      <c r="I3959"/>
      <c r="J3959"/>
      <c r="K3959" s="13" t="s">
        <v>296</v>
      </c>
      <c r="L3959" s="13" t="s">
        <v>411</v>
      </c>
      <c r="M3959" s="13" t="s">
        <v>362</v>
      </c>
      <c r="N3959" s="15">
        <v>1</v>
      </c>
      <c r="O3959" s="16">
        <v>0</v>
      </c>
      <c r="P3959" s="17">
        <v>0</v>
      </c>
      <c r="Q3959" s="17">
        <v>0</v>
      </c>
      <c r="R3959" s="13"/>
      <c r="S3959" s="13"/>
      <c r="T3959" s="13"/>
      <c r="U3959" s="13"/>
      <c r="V3959" s="13"/>
      <c r="W3959" s="13"/>
    </row>
    <row r="3960" spans="1:23" x14ac:dyDescent="0.2">
      <c r="A3960"/>
      <c r="B3960"/>
      <c r="C3960"/>
      <c r="D3960"/>
      <c r="E3960"/>
      <c r="F3960"/>
      <c r="G3960"/>
      <c r="H3960"/>
      <c r="I3960"/>
      <c r="J3960"/>
      <c r="K3960" s="13" t="s">
        <v>296</v>
      </c>
      <c r="L3960" s="13" t="s">
        <v>606</v>
      </c>
      <c r="M3960" s="13" t="s">
        <v>430</v>
      </c>
      <c r="N3960" s="15">
        <v>1</v>
      </c>
      <c r="O3960" s="16">
        <v>0</v>
      </c>
      <c r="P3960" s="17">
        <v>0</v>
      </c>
      <c r="Q3960" s="17">
        <v>0</v>
      </c>
      <c r="R3960" s="13"/>
      <c r="S3960" s="13"/>
      <c r="T3960" s="13"/>
      <c r="U3960" s="13"/>
      <c r="V3960" s="13"/>
      <c r="W3960" s="13"/>
    </row>
    <row r="3961" spans="1:23" x14ac:dyDescent="0.2">
      <c r="A3961"/>
      <c r="B3961"/>
      <c r="C3961"/>
      <c r="D3961"/>
      <c r="E3961"/>
      <c r="F3961"/>
      <c r="G3961"/>
      <c r="H3961"/>
      <c r="I3961"/>
      <c r="J3961"/>
      <c r="K3961" s="13" t="s">
        <v>296</v>
      </c>
      <c r="L3961" s="13" t="s">
        <v>623</v>
      </c>
      <c r="M3961" s="13" t="s">
        <v>530</v>
      </c>
      <c r="N3961" s="15">
        <v>0</v>
      </c>
      <c r="O3961" s="16">
        <v>45.740069441501596</v>
      </c>
      <c r="P3961" s="17">
        <v>0</v>
      </c>
      <c r="Q3961" s="17">
        <v>0</v>
      </c>
      <c r="R3961" s="13"/>
      <c r="S3961" s="13"/>
      <c r="T3961" s="13"/>
      <c r="U3961" s="13"/>
      <c r="V3961" s="13"/>
      <c r="W3961" s="13"/>
    </row>
    <row r="3962" spans="1:23" x14ac:dyDescent="0.2">
      <c r="A3962"/>
      <c r="B3962"/>
      <c r="C3962"/>
      <c r="D3962"/>
      <c r="E3962"/>
      <c r="F3962"/>
      <c r="G3962"/>
      <c r="H3962"/>
      <c r="I3962"/>
      <c r="J3962"/>
      <c r="K3962" s="13" t="s">
        <v>296</v>
      </c>
      <c r="L3962" s="13" t="s">
        <v>607</v>
      </c>
      <c r="M3962" s="13" t="s">
        <v>431</v>
      </c>
      <c r="N3962" s="15">
        <v>2</v>
      </c>
      <c r="O3962" s="16">
        <v>0</v>
      </c>
      <c r="P3962" s="17">
        <v>0</v>
      </c>
      <c r="Q3962" s="17">
        <v>0</v>
      </c>
      <c r="R3962" s="13"/>
      <c r="S3962" s="13"/>
      <c r="T3962" s="13"/>
      <c r="U3962" s="13"/>
      <c r="V3962" s="13"/>
      <c r="W3962" s="13"/>
    </row>
    <row r="3963" spans="1:23" x14ac:dyDescent="0.2">
      <c r="A3963"/>
      <c r="B3963"/>
      <c r="C3963"/>
      <c r="D3963"/>
      <c r="E3963"/>
      <c r="F3963"/>
      <c r="G3963"/>
      <c r="H3963"/>
      <c r="I3963"/>
      <c r="J3963"/>
      <c r="K3963" s="13" t="s">
        <v>296</v>
      </c>
      <c r="L3963" s="13" t="s">
        <v>608</v>
      </c>
      <c r="M3963" s="13" t="s">
        <v>432</v>
      </c>
      <c r="N3963" s="15">
        <v>5</v>
      </c>
      <c r="O3963" s="16">
        <v>0</v>
      </c>
      <c r="P3963" s="17">
        <v>0</v>
      </c>
      <c r="Q3963" s="17">
        <v>0</v>
      </c>
      <c r="R3963" s="13"/>
      <c r="S3963" s="13"/>
      <c r="T3963" s="13"/>
      <c r="U3963" s="13"/>
      <c r="V3963" s="13"/>
      <c r="W3963" s="13"/>
    </row>
    <row r="3964" spans="1:23" x14ac:dyDescent="0.2">
      <c r="A3964"/>
      <c r="B3964"/>
      <c r="C3964"/>
      <c r="D3964"/>
      <c r="E3964"/>
      <c r="F3964"/>
      <c r="G3964"/>
      <c r="H3964"/>
      <c r="I3964"/>
      <c r="J3964"/>
      <c r="K3964" s="13" t="s">
        <v>296</v>
      </c>
      <c r="L3964" s="13" t="s">
        <v>615</v>
      </c>
      <c r="M3964" s="13" t="s">
        <v>449</v>
      </c>
      <c r="N3964" s="15">
        <v>1</v>
      </c>
      <c r="O3964" s="16">
        <v>0</v>
      </c>
      <c r="P3964" s="17">
        <v>0</v>
      </c>
      <c r="Q3964" s="17">
        <v>0</v>
      </c>
      <c r="R3964" s="13"/>
      <c r="S3964" s="13"/>
      <c r="T3964" s="13"/>
      <c r="U3964" s="13"/>
      <c r="V3964" s="13"/>
      <c r="W3964" s="13"/>
    </row>
    <row r="3965" spans="1:23" x14ac:dyDescent="0.2">
      <c r="A3965"/>
      <c r="B3965"/>
      <c r="C3965"/>
      <c r="D3965"/>
      <c r="E3965"/>
      <c r="F3965"/>
      <c r="G3965"/>
      <c r="H3965"/>
      <c r="I3965"/>
      <c r="J3965"/>
      <c r="K3965" s="13" t="s">
        <v>296</v>
      </c>
      <c r="L3965" s="13" t="s">
        <v>523</v>
      </c>
      <c r="M3965" s="13" t="s">
        <v>476</v>
      </c>
      <c r="N3965" s="15">
        <v>0</v>
      </c>
      <c r="O3965" s="16">
        <v>0</v>
      </c>
      <c r="P3965" s="17">
        <v>3.268299997420562</v>
      </c>
      <c r="Q3965" s="17">
        <v>0</v>
      </c>
      <c r="R3965" s="13"/>
      <c r="S3965" s="13"/>
      <c r="T3965" s="13"/>
      <c r="U3965" s="13"/>
      <c r="V3965" s="13"/>
      <c r="W3965" s="13"/>
    </row>
    <row r="3966" spans="1:23" x14ac:dyDescent="0.2">
      <c r="A3966"/>
      <c r="B3966"/>
      <c r="C3966"/>
      <c r="D3966"/>
      <c r="E3966"/>
      <c r="F3966"/>
      <c r="G3966"/>
      <c r="H3966"/>
      <c r="I3966"/>
      <c r="J3966"/>
      <c r="K3966" s="13" t="s">
        <v>296</v>
      </c>
      <c r="L3966" s="13" t="s">
        <v>609</v>
      </c>
      <c r="M3966" s="13" t="s">
        <v>416</v>
      </c>
      <c r="N3966" s="15">
        <v>0</v>
      </c>
      <c r="O3966" s="16">
        <v>16.243807236036226</v>
      </c>
      <c r="P3966" s="17">
        <v>0</v>
      </c>
      <c r="Q3966" s="17">
        <v>0</v>
      </c>
      <c r="R3966" s="13"/>
      <c r="S3966" s="13"/>
      <c r="T3966" s="13"/>
      <c r="U3966" s="13"/>
      <c r="V3966" s="13"/>
      <c r="W3966" s="13"/>
    </row>
    <row r="3967" spans="1:23" x14ac:dyDescent="0.2">
      <c r="A3967"/>
      <c r="B3967"/>
      <c r="C3967"/>
      <c r="D3967"/>
      <c r="E3967"/>
      <c r="F3967"/>
      <c r="G3967"/>
      <c r="H3967"/>
      <c r="I3967"/>
      <c r="J3967"/>
      <c r="K3967" s="13" t="s">
        <v>296</v>
      </c>
      <c r="L3967" s="13" t="s">
        <v>383</v>
      </c>
      <c r="M3967" s="13" t="s">
        <v>420</v>
      </c>
      <c r="N3967" s="15">
        <v>9</v>
      </c>
      <c r="O3967" s="16">
        <v>0</v>
      </c>
      <c r="P3967" s="17">
        <v>0</v>
      </c>
      <c r="Q3967" s="17">
        <v>0</v>
      </c>
      <c r="R3967" s="13"/>
      <c r="S3967" s="13"/>
      <c r="T3967" s="13"/>
      <c r="U3967" s="13"/>
      <c r="V3967" s="13"/>
      <c r="W3967" s="13"/>
    </row>
    <row r="3968" spans="1:23" x14ac:dyDescent="0.2">
      <c r="A3968"/>
      <c r="B3968"/>
      <c r="C3968"/>
      <c r="D3968"/>
      <c r="E3968"/>
      <c r="F3968"/>
      <c r="G3968"/>
      <c r="H3968"/>
      <c r="I3968"/>
      <c r="J3968"/>
      <c r="K3968" s="13" t="s">
        <v>296</v>
      </c>
      <c r="L3968" s="13" t="s">
        <v>528</v>
      </c>
      <c r="M3968" s="13" t="s">
        <v>384</v>
      </c>
      <c r="N3968" s="15">
        <v>0</v>
      </c>
      <c r="O3968" s="16">
        <v>140.57804427383854</v>
      </c>
      <c r="P3968" s="17">
        <v>0</v>
      </c>
      <c r="Q3968" s="17">
        <v>0</v>
      </c>
      <c r="R3968" s="13"/>
      <c r="S3968" s="13"/>
      <c r="T3968" s="13"/>
      <c r="U3968" s="13"/>
      <c r="V3968" s="13"/>
      <c r="W3968" s="13"/>
    </row>
    <row r="3969" spans="1:23" x14ac:dyDescent="0.2">
      <c r="A3969"/>
      <c r="B3969"/>
      <c r="C3969"/>
      <c r="D3969"/>
      <c r="E3969"/>
      <c r="F3969"/>
      <c r="G3969"/>
      <c r="H3969"/>
      <c r="I3969"/>
      <c r="J3969"/>
      <c r="K3969" s="13" t="s">
        <v>296</v>
      </c>
      <c r="L3969" s="13" t="s">
        <v>613</v>
      </c>
      <c r="M3969" s="13" t="s">
        <v>444</v>
      </c>
      <c r="N3969" s="15">
        <v>0</v>
      </c>
      <c r="O3969" s="16">
        <v>46.48261803325132</v>
      </c>
      <c r="P3969" s="17">
        <v>0</v>
      </c>
      <c r="Q3969" s="17">
        <v>0</v>
      </c>
      <c r="R3969" s="13"/>
      <c r="S3969" s="13"/>
      <c r="T3969" s="13"/>
      <c r="U3969" s="13"/>
      <c r="V3969" s="13"/>
      <c r="W3969" s="13"/>
    </row>
    <row r="3970" spans="1:23" x14ac:dyDescent="0.2">
      <c r="A3970"/>
      <c r="B3970"/>
      <c r="C3970"/>
      <c r="D3970"/>
      <c r="E3970"/>
      <c r="F3970"/>
      <c r="G3970"/>
      <c r="H3970"/>
      <c r="I3970"/>
      <c r="J3970"/>
      <c r="K3970" s="13" t="s">
        <v>296</v>
      </c>
      <c r="L3970" s="13" t="s">
        <v>446</v>
      </c>
      <c r="M3970" s="13" t="s">
        <v>371</v>
      </c>
      <c r="N3970" s="15">
        <v>12</v>
      </c>
      <c r="O3970" s="16">
        <v>0</v>
      </c>
      <c r="P3970" s="17">
        <v>0</v>
      </c>
      <c r="Q3970" s="17">
        <v>0</v>
      </c>
      <c r="R3970" s="13"/>
      <c r="S3970" s="13"/>
      <c r="T3970" s="13"/>
      <c r="U3970" s="13"/>
      <c r="V3970" s="13"/>
      <c r="W3970" s="13"/>
    </row>
    <row r="3971" spans="1:23" x14ac:dyDescent="0.2">
      <c r="A3971"/>
      <c r="B3971"/>
      <c r="C3971"/>
      <c r="D3971"/>
      <c r="E3971"/>
      <c r="F3971"/>
      <c r="G3971"/>
      <c r="H3971"/>
      <c r="I3971"/>
      <c r="J3971"/>
      <c r="K3971" s="13" t="s">
        <v>296</v>
      </c>
      <c r="L3971" s="13" t="s">
        <v>424</v>
      </c>
      <c r="M3971" s="13" t="s">
        <v>468</v>
      </c>
      <c r="N3971" s="15">
        <v>0</v>
      </c>
      <c r="O3971" s="16">
        <v>0</v>
      </c>
      <c r="P3971" s="17">
        <v>70.809649992751915</v>
      </c>
      <c r="Q3971" s="17">
        <v>0</v>
      </c>
      <c r="R3971" s="13"/>
      <c r="S3971" s="13"/>
      <c r="T3971" s="13"/>
      <c r="U3971" s="13"/>
      <c r="V3971" s="13"/>
      <c r="W3971" s="13"/>
    </row>
    <row r="3972" spans="1:23" x14ac:dyDescent="0.2">
      <c r="A3972"/>
      <c r="B3972"/>
      <c r="C3972"/>
      <c r="D3972"/>
      <c r="E3972"/>
      <c r="F3972"/>
      <c r="G3972"/>
      <c r="H3972"/>
      <c r="I3972"/>
      <c r="J3972"/>
      <c r="K3972" s="13" t="s">
        <v>296</v>
      </c>
      <c r="L3972" s="13" t="s">
        <v>484</v>
      </c>
      <c r="M3972" s="13" t="s">
        <v>529</v>
      </c>
      <c r="N3972" s="15">
        <v>0</v>
      </c>
      <c r="O3972" s="16">
        <v>81.87937897087815</v>
      </c>
      <c r="P3972" s="17">
        <v>0</v>
      </c>
      <c r="Q3972" s="17">
        <v>0</v>
      </c>
      <c r="R3972" s="13"/>
      <c r="S3972" s="13"/>
      <c r="T3972" s="13"/>
      <c r="U3972" s="13"/>
      <c r="V3972" s="13"/>
      <c r="W3972" s="13"/>
    </row>
    <row r="3973" spans="1:23" x14ac:dyDescent="0.2">
      <c r="A3973"/>
      <c r="B3973"/>
      <c r="C3973"/>
      <c r="D3973"/>
      <c r="E3973"/>
      <c r="F3973"/>
      <c r="G3973"/>
      <c r="H3973"/>
      <c r="I3973"/>
      <c r="J3973"/>
      <c r="K3973" s="13" t="s">
        <v>298</v>
      </c>
      <c r="L3973" s="13" t="s">
        <v>435</v>
      </c>
      <c r="M3973" s="13" t="s">
        <v>364</v>
      </c>
      <c r="N3973" s="15">
        <v>0</v>
      </c>
      <c r="O3973" s="16">
        <v>0</v>
      </c>
      <c r="P3973" s="17">
        <v>12.122149997682683</v>
      </c>
      <c r="Q3973" s="17">
        <v>0</v>
      </c>
      <c r="R3973" s="13"/>
      <c r="S3973" s="13"/>
      <c r="T3973" s="13"/>
      <c r="U3973" s="13"/>
      <c r="V3973" s="13"/>
      <c r="W3973" s="13"/>
    </row>
    <row r="3974" spans="1:23" x14ac:dyDescent="0.2">
      <c r="A3974"/>
      <c r="B3974"/>
      <c r="C3974"/>
      <c r="D3974"/>
      <c r="E3974"/>
      <c r="F3974"/>
      <c r="G3974"/>
      <c r="H3974"/>
      <c r="I3974"/>
      <c r="J3974"/>
      <c r="K3974" s="13" t="s">
        <v>298</v>
      </c>
      <c r="L3974" s="13" t="s">
        <v>387</v>
      </c>
      <c r="M3974" s="13" t="s">
        <v>386</v>
      </c>
      <c r="N3974" s="15">
        <v>0</v>
      </c>
      <c r="O3974" s="16">
        <v>0</v>
      </c>
      <c r="P3974" s="17">
        <v>413.06405001753711</v>
      </c>
      <c r="Q3974" s="17">
        <v>0</v>
      </c>
      <c r="R3974" s="13"/>
      <c r="S3974" s="13"/>
      <c r="T3974" s="13"/>
      <c r="U3974" s="13"/>
      <c r="V3974" s="13"/>
      <c r="W3974" s="13"/>
    </row>
    <row r="3975" spans="1:23" x14ac:dyDescent="0.2">
      <c r="A3975"/>
      <c r="B3975"/>
      <c r="C3975"/>
      <c r="D3975"/>
      <c r="E3975"/>
      <c r="F3975"/>
      <c r="G3975"/>
      <c r="H3975"/>
      <c r="I3975"/>
      <c r="J3975"/>
      <c r="K3975" s="13" t="s">
        <v>298</v>
      </c>
      <c r="L3975" s="13" t="s">
        <v>389</v>
      </c>
      <c r="M3975" s="13" t="s">
        <v>388</v>
      </c>
      <c r="N3975" s="15">
        <v>0</v>
      </c>
      <c r="O3975" s="16">
        <v>0</v>
      </c>
      <c r="P3975" s="17">
        <v>523.94125551796526</v>
      </c>
      <c r="Q3975" s="17">
        <v>0</v>
      </c>
      <c r="R3975" s="13"/>
      <c r="S3975" s="13"/>
      <c r="T3975" s="13"/>
      <c r="U3975" s="13"/>
      <c r="V3975" s="13"/>
      <c r="W3975" s="13"/>
    </row>
    <row r="3976" spans="1:23" x14ac:dyDescent="0.2">
      <c r="A3976"/>
      <c r="B3976"/>
      <c r="C3976"/>
      <c r="D3976"/>
      <c r="E3976"/>
      <c r="F3976"/>
      <c r="G3976"/>
      <c r="H3976"/>
      <c r="I3976"/>
      <c r="J3976"/>
      <c r="K3976" s="13" t="s">
        <v>298</v>
      </c>
      <c r="L3976" s="13" t="s">
        <v>391</v>
      </c>
      <c r="M3976" s="13" t="s">
        <v>358</v>
      </c>
      <c r="N3976" s="15">
        <v>0</v>
      </c>
      <c r="O3976" s="16">
        <v>0</v>
      </c>
      <c r="P3976" s="17">
        <v>144.72249999623222</v>
      </c>
      <c r="Q3976" s="17">
        <v>0</v>
      </c>
      <c r="R3976" s="13"/>
      <c r="S3976" s="13"/>
      <c r="T3976" s="13"/>
      <c r="U3976" s="13"/>
      <c r="V3976" s="13"/>
      <c r="W3976" s="13"/>
    </row>
    <row r="3977" spans="1:23" x14ac:dyDescent="0.2">
      <c r="A3977"/>
      <c r="B3977"/>
      <c r="C3977"/>
      <c r="D3977"/>
      <c r="E3977"/>
      <c r="F3977"/>
      <c r="G3977"/>
      <c r="H3977"/>
      <c r="I3977"/>
      <c r="J3977"/>
      <c r="K3977" s="13" t="s">
        <v>298</v>
      </c>
      <c r="L3977" s="13" t="s">
        <v>486</v>
      </c>
      <c r="M3977" s="13" t="s">
        <v>439</v>
      </c>
      <c r="N3977" s="15">
        <v>0</v>
      </c>
      <c r="O3977" s="16">
        <v>0</v>
      </c>
      <c r="P3977" s="17">
        <v>71.245699998537958</v>
      </c>
      <c r="Q3977" s="17">
        <v>0</v>
      </c>
      <c r="R3977" s="13"/>
      <c r="S3977" s="13"/>
      <c r="T3977" s="13"/>
      <c r="U3977" s="13"/>
      <c r="V3977" s="13"/>
      <c r="W3977" s="13"/>
    </row>
    <row r="3978" spans="1:23" x14ac:dyDescent="0.2">
      <c r="A3978"/>
      <c r="B3978"/>
      <c r="C3978"/>
      <c r="D3978"/>
      <c r="E3978"/>
      <c r="F3978"/>
      <c r="G3978"/>
      <c r="H3978"/>
      <c r="I3978"/>
      <c r="J3978"/>
      <c r="K3978" s="13" t="s">
        <v>298</v>
      </c>
      <c r="L3978" s="13" t="s">
        <v>512</v>
      </c>
      <c r="M3978" s="13" t="s">
        <v>466</v>
      </c>
      <c r="N3978" s="15">
        <v>0</v>
      </c>
      <c r="O3978" s="16">
        <v>0</v>
      </c>
      <c r="P3978" s="17">
        <v>407.37604999342392</v>
      </c>
      <c r="Q3978" s="17">
        <v>0</v>
      </c>
      <c r="R3978" s="13"/>
      <c r="S3978" s="13"/>
      <c r="T3978" s="13"/>
      <c r="U3978" s="13"/>
      <c r="V3978" s="13"/>
      <c r="W3978" s="13"/>
    </row>
    <row r="3979" spans="1:23" x14ac:dyDescent="0.2">
      <c r="A3979"/>
      <c r="B3979"/>
      <c r="C3979"/>
      <c r="D3979"/>
      <c r="E3979"/>
      <c r="F3979"/>
      <c r="G3979"/>
      <c r="H3979"/>
      <c r="I3979"/>
      <c r="J3979"/>
      <c r="K3979" s="13" t="s">
        <v>298</v>
      </c>
      <c r="L3979" s="13" t="s">
        <v>532</v>
      </c>
      <c r="M3979" s="13" t="s">
        <v>620</v>
      </c>
      <c r="N3979" s="15">
        <v>0</v>
      </c>
      <c r="O3979" s="16">
        <v>0</v>
      </c>
      <c r="P3979" s="17">
        <v>82.066000000540285</v>
      </c>
      <c r="Q3979" s="17">
        <v>0</v>
      </c>
      <c r="R3979" s="13"/>
      <c r="S3979" s="13"/>
      <c r="T3979" s="13"/>
      <c r="U3979" s="13"/>
      <c r="V3979" s="13"/>
      <c r="W3979" s="13"/>
    </row>
    <row r="3980" spans="1:23" x14ac:dyDescent="0.2">
      <c r="A3980"/>
      <c r="B3980"/>
      <c r="C3980"/>
      <c r="D3980"/>
      <c r="E3980"/>
      <c r="F3980"/>
      <c r="G3980"/>
      <c r="H3980"/>
      <c r="I3980"/>
      <c r="J3980"/>
      <c r="K3980" s="13" t="s">
        <v>298</v>
      </c>
      <c r="L3980" s="13" t="s">
        <v>440</v>
      </c>
      <c r="M3980" s="13" t="s">
        <v>441</v>
      </c>
      <c r="N3980" s="15">
        <v>5</v>
      </c>
      <c r="O3980" s="16">
        <v>0</v>
      </c>
      <c r="P3980" s="17">
        <v>0</v>
      </c>
      <c r="Q3980" s="17">
        <v>0</v>
      </c>
      <c r="R3980" s="13"/>
      <c r="S3980" s="13"/>
      <c r="T3980" s="13"/>
      <c r="U3980" s="13"/>
      <c r="V3980" s="13"/>
      <c r="W3980" s="13"/>
    </row>
    <row r="3981" spans="1:23" x14ac:dyDescent="0.2">
      <c r="A3981"/>
      <c r="B3981"/>
      <c r="C3981"/>
      <c r="D3981"/>
      <c r="E3981"/>
      <c r="F3981"/>
      <c r="G3981"/>
      <c r="H3981"/>
      <c r="I3981"/>
      <c r="J3981"/>
      <c r="K3981" s="13" t="s">
        <v>298</v>
      </c>
      <c r="L3981" s="13" t="s">
        <v>395</v>
      </c>
      <c r="M3981" s="13" t="s">
        <v>602</v>
      </c>
      <c r="N3981" s="15">
        <v>4</v>
      </c>
      <c r="O3981" s="16">
        <v>0</v>
      </c>
      <c r="P3981" s="17">
        <v>0</v>
      </c>
      <c r="Q3981" s="17">
        <v>0</v>
      </c>
      <c r="R3981" s="13"/>
      <c r="S3981" s="13"/>
      <c r="T3981" s="13"/>
      <c r="U3981" s="13"/>
      <c r="V3981" s="13"/>
      <c r="W3981" s="13"/>
    </row>
    <row r="3982" spans="1:23" x14ac:dyDescent="0.2">
      <c r="A3982"/>
      <c r="B3982"/>
      <c r="C3982"/>
      <c r="D3982"/>
      <c r="E3982"/>
      <c r="F3982"/>
      <c r="G3982"/>
      <c r="H3982"/>
      <c r="I3982"/>
      <c r="J3982"/>
      <c r="K3982" s="13" t="s">
        <v>298</v>
      </c>
      <c r="L3982" s="13" t="s">
        <v>397</v>
      </c>
      <c r="M3982" s="13" t="s">
        <v>398</v>
      </c>
      <c r="N3982" s="15">
        <v>0</v>
      </c>
      <c r="O3982" s="16">
        <v>0</v>
      </c>
      <c r="P3982" s="17">
        <v>15.126250001540171</v>
      </c>
      <c r="Q3982" s="17">
        <v>0</v>
      </c>
      <c r="R3982" s="13"/>
      <c r="S3982" s="13"/>
      <c r="T3982" s="13"/>
      <c r="U3982" s="13"/>
      <c r="V3982" s="13"/>
      <c r="W3982" s="13"/>
    </row>
    <row r="3983" spans="1:23" x14ac:dyDescent="0.2">
      <c r="A3983"/>
      <c r="B3983"/>
      <c r="C3983"/>
      <c r="D3983"/>
      <c r="E3983"/>
      <c r="F3983"/>
      <c r="G3983"/>
      <c r="H3983"/>
      <c r="I3983"/>
      <c r="J3983"/>
      <c r="K3983" s="13" t="s">
        <v>298</v>
      </c>
      <c r="L3983" s="13" t="s">
        <v>399</v>
      </c>
      <c r="M3983" s="13" t="s">
        <v>400</v>
      </c>
      <c r="N3983" s="15">
        <v>0</v>
      </c>
      <c r="O3983" s="16">
        <v>0</v>
      </c>
      <c r="P3983" s="17">
        <v>98.208850001156179</v>
      </c>
      <c r="Q3983" s="17">
        <v>0</v>
      </c>
      <c r="R3983" s="13"/>
      <c r="S3983" s="13"/>
      <c r="T3983" s="13"/>
      <c r="U3983" s="13"/>
      <c r="V3983" s="13"/>
      <c r="W3983" s="13"/>
    </row>
    <row r="3984" spans="1:23" x14ac:dyDescent="0.2">
      <c r="A3984"/>
      <c r="B3984"/>
      <c r="C3984"/>
      <c r="D3984"/>
      <c r="E3984"/>
      <c r="F3984"/>
      <c r="G3984"/>
      <c r="H3984"/>
      <c r="I3984"/>
      <c r="J3984"/>
      <c r="K3984" s="13" t="s">
        <v>298</v>
      </c>
      <c r="L3984" s="13" t="s">
        <v>401</v>
      </c>
      <c r="M3984" s="13" t="s">
        <v>360</v>
      </c>
      <c r="N3984" s="15">
        <v>0</v>
      </c>
      <c r="O3984" s="16">
        <v>0</v>
      </c>
      <c r="P3984" s="17">
        <v>833.25159446129555</v>
      </c>
      <c r="Q3984" s="17">
        <v>0</v>
      </c>
      <c r="R3984" s="13"/>
      <c r="S3984" s="13"/>
      <c r="T3984" s="13"/>
      <c r="U3984" s="13"/>
      <c r="V3984" s="13"/>
      <c r="W3984" s="13"/>
    </row>
    <row r="3985" spans="1:23" x14ac:dyDescent="0.2">
      <c r="A3985"/>
      <c r="B3985"/>
      <c r="C3985"/>
      <c r="D3985"/>
      <c r="E3985"/>
      <c r="F3985"/>
      <c r="G3985"/>
      <c r="H3985"/>
      <c r="I3985"/>
      <c r="J3985"/>
      <c r="K3985" s="13" t="s">
        <v>298</v>
      </c>
      <c r="L3985" s="13" t="s">
        <v>511</v>
      </c>
      <c r="M3985" s="13" t="s">
        <v>377</v>
      </c>
      <c r="N3985" s="15">
        <v>0</v>
      </c>
      <c r="O3985" s="16">
        <v>0</v>
      </c>
      <c r="P3985" s="17">
        <v>30.999550001156912</v>
      </c>
      <c r="Q3985" s="17">
        <v>0</v>
      </c>
      <c r="R3985" s="13"/>
      <c r="S3985" s="13"/>
      <c r="T3985" s="13"/>
      <c r="U3985" s="13"/>
      <c r="V3985" s="13"/>
      <c r="W3985" s="13"/>
    </row>
    <row r="3986" spans="1:23" x14ac:dyDescent="0.2">
      <c r="A3986"/>
      <c r="B3986"/>
      <c r="C3986"/>
      <c r="D3986"/>
      <c r="E3986"/>
      <c r="F3986"/>
      <c r="G3986"/>
      <c r="H3986"/>
      <c r="I3986"/>
      <c r="J3986"/>
      <c r="K3986" s="13" t="s">
        <v>298</v>
      </c>
      <c r="L3986" s="13" t="s">
        <v>402</v>
      </c>
      <c r="M3986" s="13" t="s">
        <v>403</v>
      </c>
      <c r="N3986" s="15">
        <v>0</v>
      </c>
      <c r="O3986" s="16">
        <v>0</v>
      </c>
      <c r="P3986" s="17">
        <v>1926.5402999681921</v>
      </c>
      <c r="Q3986" s="17">
        <v>0</v>
      </c>
      <c r="R3986" s="13"/>
      <c r="S3986" s="13"/>
      <c r="T3986" s="13"/>
      <c r="U3986" s="13"/>
      <c r="V3986" s="13"/>
      <c r="W3986" s="13"/>
    </row>
    <row r="3987" spans="1:23" x14ac:dyDescent="0.2">
      <c r="A3987"/>
      <c r="B3987"/>
      <c r="C3987"/>
      <c r="D3987"/>
      <c r="E3987"/>
      <c r="F3987"/>
      <c r="G3987"/>
      <c r="H3987"/>
      <c r="I3987"/>
      <c r="J3987"/>
      <c r="K3987" s="13" t="s">
        <v>298</v>
      </c>
      <c r="L3987" s="13" t="s">
        <v>404</v>
      </c>
      <c r="M3987" s="13" t="s">
        <v>405</v>
      </c>
      <c r="N3987" s="15">
        <v>0</v>
      </c>
      <c r="O3987" s="16">
        <v>0</v>
      </c>
      <c r="P3987" s="17">
        <v>28.412449992379344</v>
      </c>
      <c r="Q3987" s="17">
        <v>157.59112375416558</v>
      </c>
      <c r="R3987" s="13"/>
      <c r="S3987" s="13"/>
      <c r="T3987" s="13"/>
      <c r="U3987" s="13"/>
      <c r="V3987" s="13"/>
      <c r="W3987" s="13"/>
    </row>
    <row r="3988" spans="1:23" x14ac:dyDescent="0.2">
      <c r="A3988"/>
      <c r="B3988"/>
      <c r="C3988"/>
      <c r="D3988"/>
      <c r="E3988"/>
      <c r="F3988"/>
      <c r="G3988"/>
      <c r="H3988"/>
      <c r="I3988"/>
      <c r="J3988"/>
      <c r="K3988" s="13" t="s">
        <v>298</v>
      </c>
      <c r="L3988" s="13" t="s">
        <v>381</v>
      </c>
      <c r="M3988" s="13" t="s">
        <v>382</v>
      </c>
      <c r="N3988" s="15">
        <v>21</v>
      </c>
      <c r="O3988" s="16">
        <v>0</v>
      </c>
      <c r="P3988" s="17">
        <v>0</v>
      </c>
      <c r="Q3988" s="17">
        <v>0</v>
      </c>
      <c r="R3988" s="13"/>
      <c r="S3988" s="13"/>
      <c r="T3988" s="13"/>
      <c r="U3988" s="13"/>
      <c r="V3988" s="13"/>
      <c r="W3988" s="13"/>
    </row>
    <row r="3989" spans="1:23" x14ac:dyDescent="0.2">
      <c r="A3989"/>
      <c r="B3989"/>
      <c r="C3989"/>
      <c r="D3989"/>
      <c r="E3989"/>
      <c r="F3989"/>
      <c r="G3989"/>
      <c r="H3989"/>
      <c r="I3989"/>
      <c r="J3989"/>
      <c r="K3989" s="13" t="s">
        <v>298</v>
      </c>
      <c r="L3989" s="13" t="s">
        <v>411</v>
      </c>
      <c r="M3989" s="13" t="s">
        <v>362</v>
      </c>
      <c r="N3989" s="15">
        <v>0</v>
      </c>
      <c r="O3989" s="16">
        <v>80.550985783721103</v>
      </c>
      <c r="P3989" s="17">
        <v>0</v>
      </c>
      <c r="Q3989" s="17">
        <v>0</v>
      </c>
      <c r="R3989" s="13"/>
      <c r="S3989" s="13"/>
      <c r="T3989" s="13"/>
      <c r="U3989" s="13"/>
      <c r="V3989" s="13"/>
      <c r="W3989" s="13"/>
    </row>
    <row r="3990" spans="1:23" x14ac:dyDescent="0.2">
      <c r="A3990"/>
      <c r="B3990"/>
      <c r="C3990"/>
      <c r="D3990"/>
      <c r="E3990"/>
      <c r="F3990"/>
      <c r="G3990"/>
      <c r="H3990"/>
      <c r="I3990"/>
      <c r="J3990"/>
      <c r="K3990" s="13" t="s">
        <v>298</v>
      </c>
      <c r="L3990" s="13" t="s">
        <v>411</v>
      </c>
      <c r="M3990" s="13" t="s">
        <v>362</v>
      </c>
      <c r="N3990" s="15">
        <v>1</v>
      </c>
      <c r="O3990" s="16">
        <v>0</v>
      </c>
      <c r="P3990" s="17">
        <v>0</v>
      </c>
      <c r="Q3990" s="17">
        <v>0</v>
      </c>
      <c r="R3990" s="13"/>
      <c r="S3990" s="13"/>
      <c r="T3990" s="13"/>
      <c r="U3990" s="13"/>
      <c r="V3990" s="13"/>
      <c r="W3990" s="13"/>
    </row>
    <row r="3991" spans="1:23" x14ac:dyDescent="0.2">
      <c r="A3991"/>
      <c r="B3991"/>
      <c r="C3991"/>
      <c r="D3991"/>
      <c r="E3991"/>
      <c r="F3991"/>
      <c r="G3991"/>
      <c r="H3991"/>
      <c r="I3991"/>
      <c r="J3991"/>
      <c r="K3991" s="13" t="s">
        <v>298</v>
      </c>
      <c r="L3991" s="13" t="s">
        <v>603</v>
      </c>
      <c r="M3991" s="13" t="s">
        <v>385</v>
      </c>
      <c r="N3991" s="15">
        <v>3</v>
      </c>
      <c r="O3991" s="16">
        <v>0</v>
      </c>
      <c r="P3991" s="17">
        <v>0</v>
      </c>
      <c r="Q3991" s="17">
        <v>0</v>
      </c>
      <c r="R3991" s="13"/>
      <c r="S3991" s="13"/>
      <c r="T3991" s="13"/>
      <c r="U3991" s="13"/>
      <c r="V3991" s="13"/>
      <c r="W3991" s="13"/>
    </row>
    <row r="3992" spans="1:23" x14ac:dyDescent="0.2">
      <c r="A3992"/>
      <c r="B3992"/>
      <c r="C3992"/>
      <c r="D3992"/>
      <c r="E3992"/>
      <c r="F3992"/>
      <c r="G3992"/>
      <c r="H3992"/>
      <c r="I3992"/>
      <c r="J3992"/>
      <c r="K3992" s="13" t="s">
        <v>298</v>
      </c>
      <c r="L3992" s="13" t="s">
        <v>606</v>
      </c>
      <c r="M3992" s="13" t="s">
        <v>430</v>
      </c>
      <c r="N3992" s="15">
        <v>3</v>
      </c>
      <c r="O3992" s="16">
        <v>0</v>
      </c>
      <c r="P3992" s="17">
        <v>0</v>
      </c>
      <c r="Q3992" s="17">
        <v>0</v>
      </c>
      <c r="R3992" s="13"/>
      <c r="S3992" s="13"/>
      <c r="T3992" s="13"/>
      <c r="U3992" s="13"/>
      <c r="V3992" s="13"/>
      <c r="W3992" s="13"/>
    </row>
    <row r="3993" spans="1:23" x14ac:dyDescent="0.2">
      <c r="A3993"/>
      <c r="B3993"/>
      <c r="C3993"/>
      <c r="D3993"/>
      <c r="E3993"/>
      <c r="F3993"/>
      <c r="G3993"/>
      <c r="H3993"/>
      <c r="I3993"/>
      <c r="J3993"/>
      <c r="K3993" s="13" t="s">
        <v>298</v>
      </c>
      <c r="L3993" s="13" t="s">
        <v>607</v>
      </c>
      <c r="M3993" s="13" t="s">
        <v>431</v>
      </c>
      <c r="N3993" s="15">
        <v>2</v>
      </c>
      <c r="O3993" s="16">
        <v>0</v>
      </c>
      <c r="P3993" s="17">
        <v>0</v>
      </c>
      <c r="Q3993" s="17">
        <v>0</v>
      </c>
      <c r="R3993" s="13"/>
      <c r="S3993" s="13"/>
      <c r="T3993" s="13"/>
      <c r="U3993" s="13"/>
      <c r="V3993" s="13"/>
      <c r="W3993" s="13"/>
    </row>
    <row r="3994" spans="1:23" x14ac:dyDescent="0.2">
      <c r="A3994"/>
      <c r="B3994"/>
      <c r="C3994"/>
      <c r="D3994"/>
      <c r="E3994"/>
      <c r="F3994"/>
      <c r="G3994"/>
      <c r="H3994"/>
      <c r="I3994"/>
      <c r="J3994"/>
      <c r="K3994" s="13" t="s">
        <v>298</v>
      </c>
      <c r="L3994" s="13" t="s">
        <v>608</v>
      </c>
      <c r="M3994" s="13" t="s">
        <v>432</v>
      </c>
      <c r="N3994" s="15">
        <v>2</v>
      </c>
      <c r="O3994" s="16">
        <v>0</v>
      </c>
      <c r="P3994" s="17">
        <v>0</v>
      </c>
      <c r="Q3994" s="17">
        <v>0</v>
      </c>
      <c r="R3994" s="13"/>
      <c r="S3994" s="13"/>
      <c r="T3994" s="13"/>
      <c r="U3994" s="13"/>
      <c r="V3994" s="13"/>
      <c r="W3994" s="13"/>
    </row>
    <row r="3995" spans="1:23" x14ac:dyDescent="0.2">
      <c r="A3995"/>
      <c r="B3995"/>
      <c r="C3995"/>
      <c r="D3995"/>
      <c r="E3995"/>
      <c r="F3995"/>
      <c r="G3995"/>
      <c r="H3995"/>
      <c r="I3995"/>
      <c r="J3995"/>
      <c r="K3995" s="13" t="s">
        <v>298</v>
      </c>
      <c r="L3995" s="13" t="s">
        <v>415</v>
      </c>
      <c r="M3995" s="13" t="s">
        <v>412</v>
      </c>
      <c r="N3995" s="15">
        <v>0</v>
      </c>
      <c r="O3995" s="16">
        <v>0</v>
      </c>
      <c r="P3995" s="17">
        <v>28.159099964205268</v>
      </c>
      <c r="Q3995" s="17">
        <v>0</v>
      </c>
      <c r="R3995" s="13"/>
      <c r="S3995" s="13"/>
      <c r="T3995" s="13"/>
      <c r="U3995" s="13"/>
      <c r="V3995" s="13"/>
      <c r="W3995" s="13"/>
    </row>
    <row r="3996" spans="1:23" x14ac:dyDescent="0.2">
      <c r="A3996"/>
      <c r="B3996"/>
      <c r="C3996"/>
      <c r="D3996"/>
      <c r="E3996"/>
      <c r="F3996"/>
      <c r="G3996"/>
      <c r="H3996"/>
      <c r="I3996"/>
      <c r="J3996"/>
      <c r="K3996" s="13" t="s">
        <v>298</v>
      </c>
      <c r="L3996" s="13" t="s">
        <v>523</v>
      </c>
      <c r="M3996" s="13" t="s">
        <v>476</v>
      </c>
      <c r="N3996" s="15">
        <v>0</v>
      </c>
      <c r="O3996" s="16">
        <v>0</v>
      </c>
      <c r="P3996" s="17">
        <v>21.398650001397971</v>
      </c>
      <c r="Q3996" s="17">
        <v>0</v>
      </c>
      <c r="R3996" s="13"/>
      <c r="S3996" s="13"/>
      <c r="T3996" s="13"/>
      <c r="U3996" s="13"/>
      <c r="V3996" s="13"/>
      <c r="W3996" s="13"/>
    </row>
    <row r="3997" spans="1:23" x14ac:dyDescent="0.2">
      <c r="A3997"/>
      <c r="B3997"/>
      <c r="C3997"/>
      <c r="D3997"/>
      <c r="E3997"/>
      <c r="F3997"/>
      <c r="G3997"/>
      <c r="H3997"/>
      <c r="I3997"/>
      <c r="J3997"/>
      <c r="K3997" s="13" t="s">
        <v>298</v>
      </c>
      <c r="L3997" s="13" t="s">
        <v>609</v>
      </c>
      <c r="M3997" s="13" t="s">
        <v>416</v>
      </c>
      <c r="N3997" s="15">
        <v>0</v>
      </c>
      <c r="O3997" s="16">
        <v>39.91390944336824</v>
      </c>
      <c r="P3997" s="17">
        <v>0</v>
      </c>
      <c r="Q3997" s="17">
        <v>0</v>
      </c>
      <c r="R3997" s="13"/>
      <c r="S3997" s="13"/>
      <c r="T3997" s="13"/>
      <c r="U3997" s="13"/>
      <c r="V3997" s="13"/>
      <c r="W3997" s="13"/>
    </row>
    <row r="3998" spans="1:23" x14ac:dyDescent="0.2">
      <c r="A3998"/>
      <c r="B3998"/>
      <c r="C3998"/>
      <c r="D3998"/>
      <c r="E3998"/>
      <c r="F3998"/>
      <c r="G3998"/>
      <c r="H3998"/>
      <c r="I3998"/>
      <c r="J3998"/>
      <c r="K3998" s="13" t="s">
        <v>298</v>
      </c>
      <c r="L3998" s="13" t="s">
        <v>383</v>
      </c>
      <c r="M3998" s="13" t="s">
        <v>420</v>
      </c>
      <c r="N3998" s="15">
        <v>10</v>
      </c>
      <c r="O3998" s="16">
        <v>0</v>
      </c>
      <c r="P3998" s="17">
        <v>0</v>
      </c>
      <c r="Q3998" s="17">
        <v>0</v>
      </c>
      <c r="R3998" s="13"/>
      <c r="S3998" s="13"/>
      <c r="T3998" s="13"/>
      <c r="U3998" s="13"/>
      <c r="V3998" s="13"/>
      <c r="W3998" s="13"/>
    </row>
    <row r="3999" spans="1:23" x14ac:dyDescent="0.2">
      <c r="A3999"/>
      <c r="B3999"/>
      <c r="C3999"/>
      <c r="D3999"/>
      <c r="E3999"/>
      <c r="F3999"/>
      <c r="G3999"/>
      <c r="H3999"/>
      <c r="I3999"/>
      <c r="J3999"/>
      <c r="K3999" s="13" t="s">
        <v>298</v>
      </c>
      <c r="L3999" s="13" t="s">
        <v>528</v>
      </c>
      <c r="M3999" s="13" t="s">
        <v>384</v>
      </c>
      <c r="N3999" s="15">
        <v>0</v>
      </c>
      <c r="O3999" s="16">
        <v>298.66981594123581</v>
      </c>
      <c r="P3999" s="17">
        <v>0</v>
      </c>
      <c r="Q3999" s="17">
        <v>0</v>
      </c>
      <c r="R3999" s="13"/>
      <c r="S3999" s="13"/>
      <c r="T3999" s="13"/>
      <c r="U3999" s="13"/>
      <c r="V3999" s="13"/>
      <c r="W3999" s="13"/>
    </row>
    <row r="4000" spans="1:23" x14ac:dyDescent="0.2">
      <c r="A4000"/>
      <c r="B4000"/>
      <c r="C4000"/>
      <c r="D4000"/>
      <c r="E4000"/>
      <c r="F4000"/>
      <c r="G4000"/>
      <c r="H4000"/>
      <c r="I4000"/>
      <c r="J4000"/>
      <c r="K4000" s="13" t="s">
        <v>298</v>
      </c>
      <c r="L4000" s="13" t="s">
        <v>613</v>
      </c>
      <c r="M4000" s="13" t="s">
        <v>444</v>
      </c>
      <c r="N4000" s="15">
        <v>0</v>
      </c>
      <c r="O4000" s="16">
        <v>136.41219131413146</v>
      </c>
      <c r="P4000" s="17">
        <v>0</v>
      </c>
      <c r="Q4000" s="17">
        <v>0</v>
      </c>
      <c r="R4000" s="13"/>
      <c r="S4000" s="13"/>
      <c r="T4000" s="13"/>
      <c r="U4000" s="13"/>
      <c r="V4000" s="13"/>
      <c r="W4000" s="13"/>
    </row>
    <row r="4001" spans="1:23" x14ac:dyDescent="0.2">
      <c r="A4001"/>
      <c r="B4001"/>
      <c r="C4001"/>
      <c r="D4001"/>
      <c r="E4001"/>
      <c r="F4001"/>
      <c r="G4001"/>
      <c r="H4001"/>
      <c r="I4001"/>
      <c r="J4001"/>
      <c r="K4001" s="13" t="s">
        <v>298</v>
      </c>
      <c r="L4001" s="13" t="s">
        <v>446</v>
      </c>
      <c r="M4001" s="13" t="s">
        <v>371</v>
      </c>
      <c r="N4001" s="15">
        <v>32</v>
      </c>
      <c r="O4001" s="16">
        <v>0</v>
      </c>
      <c r="P4001" s="17">
        <v>0</v>
      </c>
      <c r="Q4001" s="17">
        <v>0</v>
      </c>
      <c r="R4001" s="13"/>
      <c r="S4001" s="13"/>
      <c r="T4001" s="13"/>
      <c r="U4001" s="13"/>
      <c r="V4001" s="13"/>
      <c r="W4001" s="13"/>
    </row>
    <row r="4002" spans="1:23" x14ac:dyDescent="0.2">
      <c r="A4002"/>
      <c r="B4002"/>
      <c r="C4002"/>
      <c r="D4002"/>
      <c r="E4002"/>
      <c r="F4002"/>
      <c r="G4002"/>
      <c r="H4002"/>
      <c r="I4002"/>
      <c r="J4002"/>
      <c r="K4002" s="13" t="s">
        <v>298</v>
      </c>
      <c r="L4002" s="13" t="s">
        <v>424</v>
      </c>
      <c r="M4002" s="13" t="s">
        <v>468</v>
      </c>
      <c r="N4002" s="15">
        <v>0</v>
      </c>
      <c r="O4002" s="16">
        <v>0</v>
      </c>
      <c r="P4002" s="17">
        <v>30.781399997304099</v>
      </c>
      <c r="Q4002" s="17">
        <v>0</v>
      </c>
      <c r="R4002" s="13"/>
      <c r="S4002" s="13"/>
      <c r="T4002" s="13"/>
      <c r="U4002" s="13"/>
      <c r="V4002" s="13"/>
      <c r="W4002" s="13"/>
    </row>
    <row r="4003" spans="1:23" x14ac:dyDescent="0.2">
      <c r="A4003"/>
      <c r="B4003"/>
      <c r="C4003"/>
      <c r="D4003"/>
      <c r="E4003"/>
      <c r="F4003"/>
      <c r="G4003"/>
      <c r="H4003"/>
      <c r="I4003"/>
      <c r="J4003"/>
      <c r="K4003" s="13" t="s">
        <v>298</v>
      </c>
      <c r="L4003" s="13" t="s">
        <v>484</v>
      </c>
      <c r="M4003" s="13" t="s">
        <v>529</v>
      </c>
      <c r="N4003" s="15">
        <v>0</v>
      </c>
      <c r="O4003" s="16">
        <v>173.13611099577611</v>
      </c>
      <c r="P4003" s="17">
        <v>0</v>
      </c>
      <c r="Q4003" s="17">
        <v>0</v>
      </c>
      <c r="R4003" s="13"/>
      <c r="S4003" s="13"/>
      <c r="T4003" s="13"/>
      <c r="U4003" s="13"/>
      <c r="V4003" s="13"/>
      <c r="W4003" s="13"/>
    </row>
    <row r="4004" spans="1:23" x14ac:dyDescent="0.2">
      <c r="A4004"/>
      <c r="B4004"/>
      <c r="C4004"/>
      <c r="D4004"/>
      <c r="E4004"/>
      <c r="F4004"/>
      <c r="G4004"/>
      <c r="H4004"/>
      <c r="I4004"/>
      <c r="J4004"/>
      <c r="K4004" s="13" t="s">
        <v>591</v>
      </c>
      <c r="L4004" s="13" t="s">
        <v>435</v>
      </c>
      <c r="M4004" s="13" t="s">
        <v>364</v>
      </c>
      <c r="N4004" s="15">
        <v>0</v>
      </c>
      <c r="O4004" s="16">
        <v>0</v>
      </c>
      <c r="P4004" s="17">
        <v>315.88274999099394</v>
      </c>
      <c r="Q4004" s="17">
        <v>0</v>
      </c>
      <c r="R4004" s="13"/>
      <c r="S4004" s="13"/>
      <c r="T4004" s="13"/>
      <c r="U4004" s="13"/>
      <c r="V4004" s="13"/>
      <c r="W4004" s="13"/>
    </row>
    <row r="4005" spans="1:23" x14ac:dyDescent="0.2">
      <c r="A4005"/>
      <c r="B4005"/>
      <c r="C4005"/>
      <c r="D4005"/>
      <c r="E4005"/>
      <c r="F4005"/>
      <c r="G4005"/>
      <c r="H4005"/>
      <c r="I4005"/>
      <c r="J4005"/>
      <c r="K4005" s="13" t="s">
        <v>591</v>
      </c>
      <c r="L4005" s="13" t="s">
        <v>387</v>
      </c>
      <c r="M4005" s="13" t="s">
        <v>386</v>
      </c>
      <c r="N4005" s="15">
        <v>0</v>
      </c>
      <c r="O4005" s="16">
        <v>0</v>
      </c>
      <c r="P4005" s="17">
        <v>0.16725000402342993</v>
      </c>
      <c r="Q4005" s="17">
        <v>0</v>
      </c>
      <c r="R4005" s="13"/>
      <c r="S4005" s="13"/>
      <c r="T4005" s="13"/>
      <c r="U4005" s="13"/>
      <c r="V4005" s="13"/>
      <c r="W4005" s="13"/>
    </row>
    <row r="4006" spans="1:23" x14ac:dyDescent="0.2">
      <c r="A4006"/>
      <c r="B4006"/>
      <c r="C4006"/>
      <c r="D4006"/>
      <c r="E4006"/>
      <c r="F4006"/>
      <c r="G4006"/>
      <c r="H4006"/>
      <c r="I4006"/>
      <c r="J4006"/>
      <c r="K4006" s="13" t="s">
        <v>591</v>
      </c>
      <c r="L4006" s="13" t="s">
        <v>389</v>
      </c>
      <c r="M4006" s="13" t="s">
        <v>388</v>
      </c>
      <c r="N4006" s="15">
        <v>0</v>
      </c>
      <c r="O4006" s="16">
        <v>0</v>
      </c>
      <c r="P4006" s="17">
        <v>65.090699996712573</v>
      </c>
      <c r="Q4006" s="17">
        <v>0</v>
      </c>
      <c r="R4006" s="13"/>
      <c r="S4006" s="13"/>
      <c r="T4006" s="13"/>
      <c r="U4006" s="13"/>
      <c r="V4006" s="13"/>
      <c r="W4006" s="13"/>
    </row>
    <row r="4007" spans="1:23" x14ac:dyDescent="0.2">
      <c r="A4007"/>
      <c r="B4007"/>
      <c r="C4007"/>
      <c r="D4007"/>
      <c r="E4007"/>
      <c r="F4007"/>
      <c r="G4007"/>
      <c r="H4007"/>
      <c r="I4007"/>
      <c r="J4007"/>
      <c r="K4007" s="13" t="s">
        <v>591</v>
      </c>
      <c r="L4007" s="13" t="s">
        <v>542</v>
      </c>
      <c r="M4007" s="13" t="s">
        <v>390</v>
      </c>
      <c r="N4007" s="15">
        <v>0</v>
      </c>
      <c r="O4007" s="16">
        <v>0</v>
      </c>
      <c r="P4007" s="17">
        <v>625.12959996682491</v>
      </c>
      <c r="Q4007" s="17">
        <v>0</v>
      </c>
      <c r="R4007" s="13"/>
      <c r="S4007" s="13"/>
      <c r="T4007" s="13"/>
      <c r="U4007" s="13"/>
      <c r="V4007" s="13"/>
      <c r="W4007" s="13"/>
    </row>
    <row r="4008" spans="1:23" x14ac:dyDescent="0.2">
      <c r="A4008"/>
      <c r="B4008"/>
      <c r="C4008"/>
      <c r="D4008"/>
      <c r="E4008"/>
      <c r="F4008"/>
      <c r="G4008"/>
      <c r="H4008"/>
      <c r="I4008"/>
      <c r="J4008"/>
      <c r="K4008" s="13" t="s">
        <v>591</v>
      </c>
      <c r="L4008" s="13" t="s">
        <v>486</v>
      </c>
      <c r="M4008" s="13" t="s">
        <v>439</v>
      </c>
      <c r="N4008" s="15">
        <v>0</v>
      </c>
      <c r="O4008" s="16">
        <v>0</v>
      </c>
      <c r="P4008" s="17">
        <v>10.452599999827891</v>
      </c>
      <c r="Q4008" s="17">
        <v>0</v>
      </c>
      <c r="R4008" s="13"/>
      <c r="S4008" s="13"/>
      <c r="T4008" s="13"/>
      <c r="U4008" s="13"/>
      <c r="V4008" s="13"/>
      <c r="W4008" s="13"/>
    </row>
    <row r="4009" spans="1:23" x14ac:dyDescent="0.2">
      <c r="A4009"/>
      <c r="B4009"/>
      <c r="C4009"/>
      <c r="D4009"/>
      <c r="E4009"/>
      <c r="F4009"/>
      <c r="G4009"/>
      <c r="H4009"/>
      <c r="I4009"/>
      <c r="J4009"/>
      <c r="K4009" s="13" t="s">
        <v>591</v>
      </c>
      <c r="L4009" s="13" t="s">
        <v>538</v>
      </c>
      <c r="M4009" s="13" t="s">
        <v>539</v>
      </c>
      <c r="N4009" s="15">
        <v>40</v>
      </c>
      <c r="O4009" s="16">
        <v>0</v>
      </c>
      <c r="P4009" s="17">
        <v>0</v>
      </c>
      <c r="Q4009" s="17">
        <v>0</v>
      </c>
      <c r="R4009" s="13"/>
      <c r="S4009" s="13"/>
      <c r="T4009" s="13"/>
      <c r="U4009" s="13"/>
      <c r="V4009" s="13"/>
      <c r="W4009" s="13"/>
    </row>
    <row r="4010" spans="1:23" x14ac:dyDescent="0.2">
      <c r="A4010"/>
      <c r="B4010"/>
      <c r="C4010"/>
      <c r="D4010"/>
      <c r="E4010"/>
      <c r="F4010"/>
      <c r="G4010"/>
      <c r="H4010"/>
      <c r="I4010"/>
      <c r="J4010"/>
      <c r="K4010" s="13" t="s">
        <v>591</v>
      </c>
      <c r="L4010" s="13" t="s">
        <v>440</v>
      </c>
      <c r="M4010" s="13" t="s">
        <v>441</v>
      </c>
      <c r="N4010" s="15">
        <v>5</v>
      </c>
      <c r="O4010" s="16">
        <v>0</v>
      </c>
      <c r="P4010" s="17">
        <v>0</v>
      </c>
      <c r="Q4010" s="17">
        <v>0</v>
      </c>
      <c r="R4010" s="13"/>
      <c r="S4010" s="13"/>
      <c r="T4010" s="13"/>
      <c r="U4010" s="13"/>
      <c r="V4010" s="13"/>
      <c r="W4010" s="13"/>
    </row>
    <row r="4011" spans="1:23" x14ac:dyDescent="0.2">
      <c r="A4011"/>
      <c r="B4011"/>
      <c r="C4011"/>
      <c r="D4011"/>
      <c r="E4011"/>
      <c r="F4011"/>
      <c r="G4011"/>
      <c r="H4011"/>
      <c r="I4011"/>
      <c r="J4011"/>
      <c r="K4011" s="13" t="s">
        <v>591</v>
      </c>
      <c r="L4011" s="13" t="s">
        <v>394</v>
      </c>
      <c r="M4011" s="13" t="s">
        <v>359</v>
      </c>
      <c r="N4011" s="15">
        <v>0</v>
      </c>
      <c r="O4011" s="16">
        <v>0</v>
      </c>
      <c r="P4011" s="17">
        <v>53.158949989010765</v>
      </c>
      <c r="Q4011" s="17">
        <v>0</v>
      </c>
      <c r="R4011" s="13"/>
      <c r="S4011" s="13"/>
      <c r="T4011" s="13"/>
      <c r="U4011" s="13"/>
      <c r="V4011" s="13"/>
      <c r="W4011" s="13"/>
    </row>
    <row r="4012" spans="1:23" x14ac:dyDescent="0.2">
      <c r="A4012"/>
      <c r="B4012"/>
      <c r="C4012"/>
      <c r="D4012"/>
      <c r="E4012"/>
      <c r="F4012"/>
      <c r="G4012"/>
      <c r="H4012"/>
      <c r="I4012"/>
      <c r="J4012"/>
      <c r="K4012" s="13" t="s">
        <v>591</v>
      </c>
      <c r="L4012" s="13" t="s">
        <v>395</v>
      </c>
      <c r="M4012" s="13" t="s">
        <v>602</v>
      </c>
      <c r="N4012" s="15">
        <v>2</v>
      </c>
      <c r="O4012" s="16">
        <v>0</v>
      </c>
      <c r="P4012" s="17">
        <v>0</v>
      </c>
      <c r="Q4012" s="17">
        <v>0</v>
      </c>
      <c r="R4012" s="13"/>
      <c r="S4012" s="13"/>
      <c r="T4012" s="13"/>
      <c r="U4012" s="13"/>
      <c r="V4012" s="13"/>
      <c r="W4012" s="13"/>
    </row>
    <row r="4013" spans="1:23" x14ac:dyDescent="0.2">
      <c r="A4013"/>
      <c r="B4013"/>
      <c r="C4013"/>
      <c r="D4013"/>
      <c r="E4013"/>
      <c r="F4013"/>
      <c r="G4013"/>
      <c r="H4013"/>
      <c r="I4013"/>
      <c r="J4013"/>
      <c r="K4013" s="13" t="s">
        <v>591</v>
      </c>
      <c r="L4013" s="13" t="s">
        <v>397</v>
      </c>
      <c r="M4013" s="13" t="s">
        <v>398</v>
      </c>
      <c r="N4013" s="15">
        <v>0</v>
      </c>
      <c r="O4013" s="16">
        <v>0</v>
      </c>
      <c r="P4013" s="17">
        <v>163.19844999742551</v>
      </c>
      <c r="Q4013" s="17">
        <v>0</v>
      </c>
      <c r="R4013" s="13"/>
      <c r="S4013" s="13"/>
      <c r="T4013" s="13"/>
      <c r="U4013" s="13"/>
      <c r="V4013" s="13"/>
      <c r="W4013" s="13"/>
    </row>
    <row r="4014" spans="1:23" x14ac:dyDescent="0.2">
      <c r="A4014"/>
      <c r="B4014"/>
      <c r="C4014"/>
      <c r="D4014"/>
      <c r="E4014"/>
      <c r="F4014"/>
      <c r="G4014"/>
      <c r="H4014"/>
      <c r="I4014"/>
      <c r="J4014"/>
      <c r="K4014" s="13" t="s">
        <v>591</v>
      </c>
      <c r="L4014" s="13" t="s">
        <v>399</v>
      </c>
      <c r="M4014" s="13" t="s">
        <v>400</v>
      </c>
      <c r="N4014" s="15">
        <v>0</v>
      </c>
      <c r="O4014" s="16">
        <v>0</v>
      </c>
      <c r="P4014" s="17">
        <v>885.75675001928198</v>
      </c>
      <c r="Q4014" s="17">
        <v>0</v>
      </c>
      <c r="R4014" s="13"/>
      <c r="S4014" s="13"/>
      <c r="T4014" s="13"/>
      <c r="U4014" s="13"/>
      <c r="V4014" s="13"/>
      <c r="W4014" s="13"/>
    </row>
    <row r="4015" spans="1:23" x14ac:dyDescent="0.2">
      <c r="A4015"/>
      <c r="B4015"/>
      <c r="C4015"/>
      <c r="D4015"/>
      <c r="E4015"/>
      <c r="F4015"/>
      <c r="G4015"/>
      <c r="H4015"/>
      <c r="I4015"/>
      <c r="J4015"/>
      <c r="K4015" s="13" t="s">
        <v>591</v>
      </c>
      <c r="L4015" s="13" t="s">
        <v>401</v>
      </c>
      <c r="M4015" s="13" t="s">
        <v>360</v>
      </c>
      <c r="N4015" s="15">
        <v>0</v>
      </c>
      <c r="O4015" s="16">
        <v>0</v>
      </c>
      <c r="P4015" s="17">
        <v>27245.662305466631</v>
      </c>
      <c r="Q4015" s="17">
        <v>0</v>
      </c>
      <c r="R4015" s="13"/>
      <c r="S4015" s="13"/>
      <c r="T4015" s="13"/>
      <c r="U4015" s="13"/>
      <c r="V4015" s="13"/>
      <c r="W4015" s="13"/>
    </row>
    <row r="4016" spans="1:23" x14ac:dyDescent="0.2">
      <c r="A4016"/>
      <c r="B4016"/>
      <c r="C4016"/>
      <c r="D4016"/>
      <c r="E4016"/>
      <c r="F4016"/>
      <c r="G4016"/>
      <c r="H4016"/>
      <c r="I4016"/>
      <c r="J4016"/>
      <c r="K4016" s="13" t="s">
        <v>591</v>
      </c>
      <c r="L4016" s="13" t="s">
        <v>511</v>
      </c>
      <c r="M4016" s="13" t="s">
        <v>377</v>
      </c>
      <c r="N4016" s="15">
        <v>0</v>
      </c>
      <c r="O4016" s="16">
        <v>0</v>
      </c>
      <c r="P4016" s="17">
        <v>93.126795457108059</v>
      </c>
      <c r="Q4016" s="17">
        <v>0</v>
      </c>
      <c r="R4016" s="13"/>
      <c r="S4016" s="13"/>
      <c r="T4016" s="13"/>
      <c r="U4016" s="13"/>
      <c r="V4016" s="13"/>
      <c r="W4016" s="13"/>
    </row>
    <row r="4017" spans="1:23" x14ac:dyDescent="0.2">
      <c r="A4017"/>
      <c r="B4017"/>
      <c r="C4017"/>
      <c r="D4017"/>
      <c r="E4017"/>
      <c r="F4017"/>
      <c r="G4017"/>
      <c r="H4017"/>
      <c r="I4017"/>
      <c r="J4017"/>
      <c r="K4017" s="13" t="s">
        <v>591</v>
      </c>
      <c r="L4017" s="13" t="s">
        <v>402</v>
      </c>
      <c r="M4017" s="13" t="s">
        <v>403</v>
      </c>
      <c r="N4017" s="15">
        <v>0</v>
      </c>
      <c r="O4017" s="16">
        <v>0</v>
      </c>
      <c r="P4017" s="17">
        <v>25133.602811562694</v>
      </c>
      <c r="Q4017" s="17">
        <v>0</v>
      </c>
      <c r="R4017" s="13"/>
      <c r="S4017" s="13"/>
      <c r="T4017" s="13"/>
      <c r="U4017" s="13"/>
      <c r="V4017" s="13"/>
      <c r="W4017" s="13"/>
    </row>
    <row r="4018" spans="1:23" x14ac:dyDescent="0.2">
      <c r="A4018"/>
      <c r="B4018"/>
      <c r="C4018"/>
      <c r="D4018"/>
      <c r="E4018"/>
      <c r="F4018"/>
      <c r="G4018"/>
      <c r="H4018"/>
      <c r="I4018"/>
      <c r="J4018"/>
      <c r="K4018" s="13" t="s">
        <v>591</v>
      </c>
      <c r="L4018" s="13" t="s">
        <v>473</v>
      </c>
      <c r="M4018" s="13" t="s">
        <v>474</v>
      </c>
      <c r="N4018" s="15">
        <v>0</v>
      </c>
      <c r="O4018" s="16">
        <v>0</v>
      </c>
      <c r="P4018" s="17">
        <v>1413.3263499769009</v>
      </c>
      <c r="Q4018" s="17">
        <v>0</v>
      </c>
      <c r="R4018" s="13"/>
      <c r="S4018" s="13"/>
      <c r="T4018" s="13"/>
      <c r="U4018" s="13"/>
      <c r="V4018" s="13"/>
      <c r="W4018" s="13"/>
    </row>
    <row r="4019" spans="1:23" x14ac:dyDescent="0.2">
      <c r="A4019"/>
      <c r="B4019"/>
      <c r="C4019"/>
      <c r="D4019"/>
      <c r="E4019"/>
      <c r="F4019"/>
      <c r="G4019"/>
      <c r="H4019"/>
      <c r="I4019"/>
      <c r="J4019"/>
      <c r="K4019" s="13" t="s">
        <v>591</v>
      </c>
      <c r="L4019" s="13" t="s">
        <v>448</v>
      </c>
      <c r="M4019" s="13" t="s">
        <v>366</v>
      </c>
      <c r="N4019" s="15">
        <v>0</v>
      </c>
      <c r="O4019" s="16">
        <v>0</v>
      </c>
      <c r="P4019" s="17">
        <v>30175.161866771832</v>
      </c>
      <c r="Q4019" s="17">
        <v>0</v>
      </c>
      <c r="R4019" s="13"/>
      <c r="S4019" s="13"/>
      <c r="T4019" s="13"/>
      <c r="U4019" s="13"/>
      <c r="V4019" s="13"/>
      <c r="W4019" s="13"/>
    </row>
    <row r="4020" spans="1:23" x14ac:dyDescent="0.2">
      <c r="A4020"/>
      <c r="B4020"/>
      <c r="C4020"/>
      <c r="D4020"/>
      <c r="E4020"/>
      <c r="F4020"/>
      <c r="G4020"/>
      <c r="H4020"/>
      <c r="I4020"/>
      <c r="J4020"/>
      <c r="K4020" s="13" t="s">
        <v>591</v>
      </c>
      <c r="L4020" s="13" t="s">
        <v>462</v>
      </c>
      <c r="M4020" s="13" t="s">
        <v>370</v>
      </c>
      <c r="N4020" s="15">
        <v>0</v>
      </c>
      <c r="O4020" s="16">
        <v>0</v>
      </c>
      <c r="P4020" s="17">
        <v>6544.4398498918317</v>
      </c>
      <c r="Q4020" s="17">
        <v>0</v>
      </c>
      <c r="R4020" s="13"/>
      <c r="S4020" s="13"/>
      <c r="T4020" s="13"/>
      <c r="U4020" s="13"/>
      <c r="V4020" s="13"/>
      <c r="W4020" s="13"/>
    </row>
    <row r="4021" spans="1:23" x14ac:dyDescent="0.2">
      <c r="A4021"/>
      <c r="B4021"/>
      <c r="C4021"/>
      <c r="D4021"/>
      <c r="E4021"/>
      <c r="F4021"/>
      <c r="G4021"/>
      <c r="H4021"/>
      <c r="I4021"/>
      <c r="J4021"/>
      <c r="K4021" s="13" t="s">
        <v>591</v>
      </c>
      <c r="L4021" s="13" t="s">
        <v>404</v>
      </c>
      <c r="M4021" s="13" t="s">
        <v>405</v>
      </c>
      <c r="N4021" s="15">
        <v>0</v>
      </c>
      <c r="O4021" s="16">
        <v>0</v>
      </c>
      <c r="P4021" s="17">
        <v>135.97830503444808</v>
      </c>
      <c r="Q4021" s="17">
        <v>465.88046773080305</v>
      </c>
      <c r="R4021" s="13"/>
      <c r="S4021" s="13"/>
      <c r="T4021" s="13"/>
      <c r="U4021" s="13"/>
      <c r="V4021" s="13"/>
      <c r="W4021" s="13"/>
    </row>
    <row r="4022" spans="1:23" x14ac:dyDescent="0.2">
      <c r="A4022"/>
      <c r="B4022"/>
      <c r="C4022"/>
      <c r="D4022"/>
      <c r="E4022"/>
      <c r="F4022"/>
      <c r="G4022"/>
      <c r="H4022"/>
      <c r="I4022"/>
      <c r="J4022"/>
      <c r="K4022" s="13" t="s">
        <v>591</v>
      </c>
      <c r="L4022" s="13" t="s">
        <v>629</v>
      </c>
      <c r="M4022" s="13" t="s">
        <v>630</v>
      </c>
      <c r="N4022" s="15">
        <v>0</v>
      </c>
      <c r="O4022" s="16">
        <v>0</v>
      </c>
      <c r="P4022" s="17">
        <v>588.68495007585034</v>
      </c>
      <c r="Q4022" s="17">
        <v>1559.4629087265503</v>
      </c>
      <c r="R4022" s="13"/>
      <c r="S4022" s="13"/>
      <c r="T4022" s="13"/>
      <c r="U4022" s="13"/>
      <c r="V4022" s="13"/>
      <c r="W4022" s="13"/>
    </row>
    <row r="4023" spans="1:23" x14ac:dyDescent="0.2">
      <c r="A4023"/>
      <c r="B4023"/>
      <c r="C4023"/>
      <c r="D4023"/>
      <c r="E4023"/>
      <c r="F4023"/>
      <c r="G4023"/>
      <c r="H4023"/>
      <c r="I4023"/>
      <c r="J4023"/>
      <c r="K4023" s="13" t="s">
        <v>591</v>
      </c>
      <c r="L4023" s="13" t="s">
        <v>463</v>
      </c>
      <c r="M4023" s="13" t="s">
        <v>372</v>
      </c>
      <c r="N4023" s="15">
        <v>0</v>
      </c>
      <c r="O4023" s="16">
        <v>0</v>
      </c>
      <c r="P4023" s="17">
        <v>98714.432934071345</v>
      </c>
      <c r="Q4023" s="17">
        <v>0</v>
      </c>
      <c r="R4023" s="13"/>
      <c r="S4023" s="13"/>
      <c r="T4023" s="13"/>
      <c r="U4023" s="13"/>
      <c r="V4023" s="13"/>
      <c r="W4023" s="13"/>
    </row>
    <row r="4024" spans="1:23" x14ac:dyDescent="0.2">
      <c r="A4024"/>
      <c r="B4024"/>
      <c r="C4024"/>
      <c r="D4024"/>
      <c r="E4024"/>
      <c r="F4024"/>
      <c r="G4024"/>
      <c r="H4024"/>
      <c r="I4024"/>
      <c r="J4024"/>
      <c r="K4024" s="13" t="s">
        <v>591</v>
      </c>
      <c r="L4024" s="13" t="s">
        <v>381</v>
      </c>
      <c r="M4024" s="13" t="s">
        <v>382</v>
      </c>
      <c r="N4024" s="15">
        <v>33</v>
      </c>
      <c r="O4024" s="16">
        <v>0</v>
      </c>
      <c r="P4024" s="17">
        <v>0</v>
      </c>
      <c r="Q4024" s="17">
        <v>0</v>
      </c>
      <c r="R4024" s="13"/>
      <c r="S4024" s="13"/>
      <c r="T4024" s="13"/>
      <c r="U4024" s="13"/>
      <c r="V4024" s="13"/>
      <c r="W4024" s="13"/>
    </row>
    <row r="4025" spans="1:23" x14ac:dyDescent="0.2">
      <c r="A4025"/>
      <c r="B4025"/>
      <c r="C4025"/>
      <c r="D4025"/>
      <c r="E4025"/>
      <c r="F4025"/>
      <c r="G4025"/>
      <c r="H4025"/>
      <c r="I4025"/>
      <c r="J4025"/>
      <c r="K4025" s="13" t="s">
        <v>591</v>
      </c>
      <c r="L4025" s="13" t="s">
        <v>407</v>
      </c>
      <c r="M4025" s="13" t="s">
        <v>408</v>
      </c>
      <c r="N4025" s="15">
        <v>368</v>
      </c>
      <c r="O4025" s="16">
        <v>0</v>
      </c>
      <c r="P4025" s="17">
        <v>0</v>
      </c>
      <c r="Q4025" s="17">
        <v>0</v>
      </c>
      <c r="R4025" s="13"/>
      <c r="S4025" s="13"/>
      <c r="T4025" s="13"/>
      <c r="U4025" s="13"/>
      <c r="V4025" s="13"/>
      <c r="W4025" s="13"/>
    </row>
    <row r="4026" spans="1:23" x14ac:dyDescent="0.2">
      <c r="A4026"/>
      <c r="B4026"/>
      <c r="C4026"/>
      <c r="D4026"/>
      <c r="E4026"/>
      <c r="F4026"/>
      <c r="G4026"/>
      <c r="H4026"/>
      <c r="I4026"/>
      <c r="J4026"/>
      <c r="K4026" s="13" t="s">
        <v>591</v>
      </c>
      <c r="L4026" s="13" t="s">
        <v>505</v>
      </c>
      <c r="M4026" s="13" t="s">
        <v>506</v>
      </c>
      <c r="N4026" s="15">
        <v>10</v>
      </c>
      <c r="O4026" s="16">
        <v>0</v>
      </c>
      <c r="P4026" s="17">
        <v>0</v>
      </c>
      <c r="Q4026" s="17">
        <v>0</v>
      </c>
      <c r="R4026" s="13"/>
      <c r="S4026" s="13"/>
      <c r="T4026" s="13"/>
      <c r="U4026" s="13"/>
      <c r="V4026" s="13"/>
      <c r="W4026" s="13"/>
    </row>
    <row r="4027" spans="1:23" x14ac:dyDescent="0.2">
      <c r="A4027"/>
      <c r="B4027"/>
      <c r="C4027"/>
      <c r="D4027"/>
      <c r="E4027"/>
      <c r="F4027"/>
      <c r="G4027"/>
      <c r="H4027"/>
      <c r="I4027"/>
      <c r="J4027"/>
      <c r="K4027" s="13" t="s">
        <v>591</v>
      </c>
      <c r="L4027" s="13" t="s">
        <v>540</v>
      </c>
      <c r="M4027" s="13" t="s">
        <v>541</v>
      </c>
      <c r="N4027" s="15">
        <v>18</v>
      </c>
      <c r="O4027" s="16">
        <v>0</v>
      </c>
      <c r="P4027" s="17">
        <v>0</v>
      </c>
      <c r="Q4027" s="17">
        <v>0</v>
      </c>
      <c r="R4027" s="13"/>
      <c r="S4027" s="13"/>
      <c r="T4027" s="13"/>
      <c r="U4027" s="13"/>
      <c r="V4027" s="13"/>
      <c r="W4027" s="13"/>
    </row>
    <row r="4028" spans="1:23" x14ac:dyDescent="0.2">
      <c r="A4028"/>
      <c r="B4028"/>
      <c r="C4028"/>
      <c r="D4028"/>
      <c r="E4028"/>
      <c r="F4028"/>
      <c r="G4028"/>
      <c r="H4028"/>
      <c r="I4028"/>
      <c r="J4028"/>
      <c r="K4028" s="13" t="s">
        <v>591</v>
      </c>
      <c r="L4028" s="13" t="s">
        <v>471</v>
      </c>
      <c r="M4028" s="13" t="s">
        <v>472</v>
      </c>
      <c r="N4028" s="15">
        <v>0</v>
      </c>
      <c r="O4028" s="16">
        <v>0</v>
      </c>
      <c r="P4028" s="17">
        <v>5581.4953998609872</v>
      </c>
      <c r="Q4028" s="17">
        <v>0</v>
      </c>
      <c r="R4028" s="13"/>
      <c r="S4028" s="13"/>
      <c r="T4028" s="13"/>
      <c r="U4028" s="13"/>
      <c r="V4028" s="13"/>
      <c r="W4028" s="13"/>
    </row>
    <row r="4029" spans="1:23" x14ac:dyDescent="0.2">
      <c r="A4029"/>
      <c r="B4029"/>
      <c r="C4029"/>
      <c r="D4029"/>
      <c r="E4029"/>
      <c r="F4029"/>
      <c r="G4029"/>
      <c r="H4029"/>
      <c r="I4029"/>
      <c r="J4029"/>
      <c r="K4029" s="13" t="s">
        <v>591</v>
      </c>
      <c r="L4029" s="13" t="s">
        <v>606</v>
      </c>
      <c r="M4029" s="13" t="s">
        <v>430</v>
      </c>
      <c r="N4029" s="15">
        <v>1</v>
      </c>
      <c r="O4029" s="16">
        <v>0</v>
      </c>
      <c r="P4029" s="17">
        <v>0</v>
      </c>
      <c r="Q4029" s="17">
        <v>0</v>
      </c>
      <c r="R4029" s="13"/>
      <c r="S4029" s="13"/>
      <c r="T4029" s="13"/>
      <c r="U4029" s="13"/>
      <c r="V4029" s="13"/>
      <c r="W4029" s="13"/>
    </row>
    <row r="4030" spans="1:23" x14ac:dyDescent="0.2">
      <c r="A4030"/>
      <c r="B4030"/>
      <c r="C4030"/>
      <c r="D4030"/>
      <c r="E4030"/>
      <c r="F4030"/>
      <c r="G4030"/>
      <c r="H4030"/>
      <c r="I4030"/>
      <c r="J4030"/>
      <c r="K4030" s="13" t="s">
        <v>591</v>
      </c>
      <c r="L4030" s="13" t="s">
        <v>608</v>
      </c>
      <c r="M4030" s="13" t="s">
        <v>432</v>
      </c>
      <c r="N4030" s="15">
        <v>2</v>
      </c>
      <c r="O4030" s="16">
        <v>0</v>
      </c>
      <c r="P4030" s="17">
        <v>0</v>
      </c>
      <c r="Q4030" s="17">
        <v>0</v>
      </c>
      <c r="R4030" s="13"/>
      <c r="S4030" s="13"/>
      <c r="T4030" s="13"/>
      <c r="U4030" s="13"/>
      <c r="V4030" s="13"/>
      <c r="W4030" s="13"/>
    </row>
    <row r="4031" spans="1:23" x14ac:dyDescent="0.2">
      <c r="A4031"/>
      <c r="B4031"/>
      <c r="C4031"/>
      <c r="D4031"/>
      <c r="E4031"/>
      <c r="F4031"/>
      <c r="G4031"/>
      <c r="H4031"/>
      <c r="I4031"/>
      <c r="J4031"/>
      <c r="K4031" s="13" t="s">
        <v>591</v>
      </c>
      <c r="L4031" s="13" t="s">
        <v>609</v>
      </c>
      <c r="M4031" s="13" t="s">
        <v>416</v>
      </c>
      <c r="N4031" s="15">
        <v>0</v>
      </c>
      <c r="O4031" s="16">
        <v>89.55695323924769</v>
      </c>
      <c r="P4031" s="17">
        <v>0</v>
      </c>
      <c r="Q4031" s="17">
        <v>0</v>
      </c>
      <c r="R4031" s="13"/>
      <c r="S4031" s="13"/>
      <c r="T4031" s="13"/>
      <c r="U4031" s="13"/>
      <c r="V4031" s="13"/>
      <c r="W4031" s="13"/>
    </row>
    <row r="4032" spans="1:23" x14ac:dyDescent="0.2">
      <c r="A4032"/>
      <c r="B4032"/>
      <c r="C4032"/>
      <c r="D4032"/>
      <c r="E4032"/>
      <c r="F4032"/>
      <c r="G4032"/>
      <c r="H4032"/>
      <c r="I4032"/>
      <c r="J4032"/>
      <c r="K4032" s="13" t="s">
        <v>591</v>
      </c>
      <c r="L4032" s="13" t="s">
        <v>502</v>
      </c>
      <c r="M4032" s="13" t="s">
        <v>367</v>
      </c>
      <c r="N4032" s="15">
        <v>10</v>
      </c>
      <c r="O4032" s="16">
        <v>0</v>
      </c>
      <c r="P4032" s="17">
        <v>0</v>
      </c>
      <c r="Q4032" s="17">
        <v>0</v>
      </c>
      <c r="R4032" s="13"/>
      <c r="S4032" s="13"/>
      <c r="T4032" s="13"/>
      <c r="U4032" s="13"/>
      <c r="V4032" s="13"/>
      <c r="W4032" s="13"/>
    </row>
    <row r="4033" spans="1:23" x14ac:dyDescent="0.2">
      <c r="A4033"/>
      <c r="B4033"/>
      <c r="C4033"/>
      <c r="D4033"/>
      <c r="E4033"/>
      <c r="F4033"/>
      <c r="G4033"/>
      <c r="H4033"/>
      <c r="I4033"/>
      <c r="J4033"/>
      <c r="K4033" s="13" t="s">
        <v>591</v>
      </c>
      <c r="L4033" s="13" t="s">
        <v>454</v>
      </c>
      <c r="M4033" s="13" t="s">
        <v>455</v>
      </c>
      <c r="N4033" s="15">
        <v>0</v>
      </c>
      <c r="O4033" s="16">
        <v>0</v>
      </c>
      <c r="P4033" s="17">
        <v>2016.3457499394808</v>
      </c>
      <c r="Q4033" s="17">
        <v>0</v>
      </c>
      <c r="R4033" s="13"/>
      <c r="S4033" s="13"/>
      <c r="T4033" s="13"/>
      <c r="U4033" s="13"/>
      <c r="V4033" s="13"/>
      <c r="W4033" s="13"/>
    </row>
    <row r="4034" spans="1:23" x14ac:dyDescent="0.2">
      <c r="A4034"/>
      <c r="B4034"/>
      <c r="C4034"/>
      <c r="D4034"/>
      <c r="E4034"/>
      <c r="F4034"/>
      <c r="G4034"/>
      <c r="H4034"/>
      <c r="I4034"/>
      <c r="J4034"/>
      <c r="K4034" s="13" t="s">
        <v>593</v>
      </c>
      <c r="L4034" s="13" t="s">
        <v>389</v>
      </c>
      <c r="M4034" s="13" t="s">
        <v>388</v>
      </c>
      <c r="N4034" s="15">
        <v>0</v>
      </c>
      <c r="O4034" s="16">
        <v>0</v>
      </c>
      <c r="P4034" s="17">
        <v>14.451699991998447</v>
      </c>
      <c r="Q4034" s="17">
        <v>0</v>
      </c>
      <c r="R4034" s="13"/>
      <c r="S4034" s="13"/>
      <c r="T4034" s="13"/>
      <c r="U4034" s="13"/>
      <c r="V4034" s="13"/>
      <c r="W4034" s="13"/>
    </row>
    <row r="4035" spans="1:23" x14ac:dyDescent="0.2">
      <c r="A4035"/>
      <c r="B4035"/>
      <c r="C4035"/>
      <c r="D4035"/>
      <c r="E4035"/>
      <c r="F4035"/>
      <c r="G4035"/>
      <c r="H4035"/>
      <c r="I4035"/>
      <c r="J4035"/>
      <c r="K4035" s="13" t="s">
        <v>593</v>
      </c>
      <c r="L4035" s="13" t="s">
        <v>401</v>
      </c>
      <c r="M4035" s="13" t="s">
        <v>360</v>
      </c>
      <c r="N4035" s="15">
        <v>0</v>
      </c>
      <c r="O4035" s="16">
        <v>0</v>
      </c>
      <c r="P4035" s="17">
        <v>37521.99669906855</v>
      </c>
      <c r="Q4035" s="17">
        <v>0</v>
      </c>
      <c r="R4035" s="13"/>
      <c r="S4035" s="13"/>
      <c r="T4035" s="13"/>
      <c r="U4035" s="13"/>
      <c r="V4035" s="13"/>
      <c r="W4035" s="13"/>
    </row>
    <row r="4036" spans="1:23" x14ac:dyDescent="0.2">
      <c r="A4036"/>
      <c r="B4036"/>
      <c r="C4036"/>
      <c r="D4036"/>
      <c r="E4036"/>
      <c r="F4036"/>
      <c r="G4036"/>
      <c r="H4036"/>
      <c r="I4036"/>
      <c r="J4036"/>
      <c r="K4036" s="13" t="s">
        <v>593</v>
      </c>
      <c r="L4036" s="13" t="s">
        <v>402</v>
      </c>
      <c r="M4036" s="13" t="s">
        <v>403</v>
      </c>
      <c r="N4036" s="15">
        <v>0</v>
      </c>
      <c r="O4036" s="16">
        <v>0</v>
      </c>
      <c r="P4036" s="17">
        <v>505.2549500073282</v>
      </c>
      <c r="Q4036" s="17">
        <v>0</v>
      </c>
      <c r="R4036" s="13"/>
      <c r="S4036" s="13"/>
      <c r="T4036" s="13"/>
      <c r="U4036" s="13"/>
      <c r="V4036" s="13"/>
      <c r="W4036" s="13"/>
    </row>
    <row r="4037" spans="1:23" x14ac:dyDescent="0.2">
      <c r="A4037"/>
      <c r="B4037"/>
      <c r="C4037"/>
      <c r="D4037"/>
      <c r="E4037"/>
      <c r="F4037"/>
      <c r="G4037"/>
      <c r="H4037"/>
      <c r="I4037"/>
      <c r="J4037"/>
      <c r="K4037" s="13" t="s">
        <v>593</v>
      </c>
      <c r="L4037" s="13" t="s">
        <v>448</v>
      </c>
      <c r="M4037" s="13" t="s">
        <v>366</v>
      </c>
      <c r="N4037" s="15">
        <v>0</v>
      </c>
      <c r="O4037" s="16">
        <v>0</v>
      </c>
      <c r="P4037" s="17">
        <v>742.8245999371087</v>
      </c>
      <c r="Q4037" s="17">
        <v>0</v>
      </c>
      <c r="R4037" s="13"/>
      <c r="S4037" s="13"/>
      <c r="T4037" s="13"/>
      <c r="U4037" s="13"/>
      <c r="V4037" s="13"/>
      <c r="W4037" s="13"/>
    </row>
    <row r="4038" spans="1:23" x14ac:dyDescent="0.2">
      <c r="A4038"/>
      <c r="B4038"/>
      <c r="C4038"/>
      <c r="D4038"/>
      <c r="E4038"/>
      <c r="F4038"/>
      <c r="G4038"/>
      <c r="H4038"/>
      <c r="I4038"/>
      <c r="J4038"/>
      <c r="K4038" s="13" t="s">
        <v>593</v>
      </c>
      <c r="L4038" s="13" t="s">
        <v>456</v>
      </c>
      <c r="M4038" s="13" t="s">
        <v>457</v>
      </c>
      <c r="N4038" s="15">
        <v>0</v>
      </c>
      <c r="O4038" s="16">
        <v>0</v>
      </c>
      <c r="P4038" s="17">
        <v>26750.14019934832</v>
      </c>
      <c r="Q4038" s="17">
        <v>0</v>
      </c>
      <c r="R4038" s="13"/>
      <c r="S4038" s="13"/>
      <c r="T4038" s="13"/>
      <c r="U4038" s="13"/>
      <c r="V4038" s="13"/>
      <c r="W4038" s="13"/>
    </row>
    <row r="4039" spans="1:23" x14ac:dyDescent="0.2">
      <c r="A4039"/>
      <c r="B4039"/>
      <c r="C4039"/>
      <c r="D4039"/>
      <c r="E4039"/>
      <c r="F4039"/>
      <c r="G4039"/>
      <c r="H4039"/>
      <c r="I4039"/>
      <c r="J4039"/>
      <c r="K4039" s="13" t="s">
        <v>593</v>
      </c>
      <c r="L4039" s="13" t="s">
        <v>463</v>
      </c>
      <c r="M4039" s="13" t="s">
        <v>372</v>
      </c>
      <c r="N4039" s="15">
        <v>0</v>
      </c>
      <c r="O4039" s="16">
        <v>0</v>
      </c>
      <c r="P4039" s="17">
        <v>125933.46474677496</v>
      </c>
      <c r="Q4039" s="17">
        <v>0</v>
      </c>
      <c r="R4039" s="13"/>
      <c r="S4039" s="13"/>
      <c r="T4039" s="13"/>
      <c r="U4039" s="13"/>
      <c r="V4039" s="13"/>
      <c r="W4039" s="13"/>
    </row>
    <row r="4040" spans="1:23" x14ac:dyDescent="0.2">
      <c r="A4040"/>
      <c r="B4040"/>
      <c r="C4040"/>
      <c r="D4040"/>
      <c r="E4040"/>
      <c r="F4040"/>
      <c r="G4040"/>
      <c r="H4040"/>
      <c r="I4040"/>
      <c r="J4040"/>
      <c r="K4040" s="13" t="s">
        <v>593</v>
      </c>
      <c r="L4040" s="13" t="s">
        <v>381</v>
      </c>
      <c r="M4040" s="13" t="s">
        <v>382</v>
      </c>
      <c r="N4040" s="15">
        <v>2</v>
      </c>
      <c r="O4040" s="16">
        <v>0</v>
      </c>
      <c r="P4040" s="17">
        <v>0</v>
      </c>
      <c r="Q4040" s="17">
        <v>0</v>
      </c>
      <c r="R4040" s="13"/>
      <c r="S4040" s="13"/>
      <c r="T4040" s="13"/>
      <c r="U4040" s="13"/>
      <c r="V4040" s="13"/>
      <c r="W4040" s="13"/>
    </row>
    <row r="4041" spans="1:23" x14ac:dyDescent="0.2">
      <c r="A4041"/>
      <c r="B4041"/>
      <c r="C4041"/>
      <c r="D4041"/>
      <c r="E4041"/>
      <c r="F4041"/>
      <c r="G4041"/>
      <c r="H4041"/>
      <c r="I4041"/>
      <c r="J4041"/>
      <c r="K4041" s="13" t="s">
        <v>593</v>
      </c>
      <c r="L4041" s="13" t="s">
        <v>407</v>
      </c>
      <c r="M4041" s="13" t="s">
        <v>408</v>
      </c>
      <c r="N4041" s="15">
        <v>384</v>
      </c>
      <c r="O4041" s="16">
        <v>0</v>
      </c>
      <c r="P4041" s="17">
        <v>0</v>
      </c>
      <c r="Q4041" s="17">
        <v>0</v>
      </c>
      <c r="R4041" s="13"/>
      <c r="S4041" s="13"/>
      <c r="T4041" s="13"/>
      <c r="U4041" s="13"/>
      <c r="V4041" s="13"/>
      <c r="W4041" s="13"/>
    </row>
    <row r="4042" spans="1:23" x14ac:dyDescent="0.2">
      <c r="A4042"/>
      <c r="B4042"/>
      <c r="C4042"/>
      <c r="D4042"/>
      <c r="E4042"/>
      <c r="F4042"/>
      <c r="G4042"/>
      <c r="H4042"/>
      <c r="I4042"/>
      <c r="J4042"/>
      <c r="K4042" s="13" t="s">
        <v>593</v>
      </c>
      <c r="L4042" s="13" t="s">
        <v>471</v>
      </c>
      <c r="M4042" s="13" t="s">
        <v>472</v>
      </c>
      <c r="N4042" s="15">
        <v>0</v>
      </c>
      <c r="O4042" s="16">
        <v>0</v>
      </c>
      <c r="P4042" s="17">
        <v>60398.796598421664</v>
      </c>
      <c r="Q4042" s="17">
        <v>0</v>
      </c>
      <c r="R4042" s="13"/>
      <c r="S4042" s="13"/>
      <c r="T4042" s="13"/>
      <c r="U4042" s="13"/>
      <c r="V4042" s="13"/>
      <c r="W4042" s="13"/>
    </row>
    <row r="4043" spans="1:23" x14ac:dyDescent="0.2">
      <c r="A4043"/>
      <c r="B4043"/>
      <c r="C4043"/>
      <c r="D4043"/>
      <c r="E4043"/>
      <c r="F4043"/>
      <c r="G4043"/>
      <c r="H4043"/>
      <c r="I4043"/>
      <c r="J4043"/>
      <c r="K4043" s="13" t="s">
        <v>593</v>
      </c>
      <c r="L4043" s="13" t="s">
        <v>502</v>
      </c>
      <c r="M4043" s="13" t="s">
        <v>367</v>
      </c>
      <c r="N4043" s="15">
        <v>2</v>
      </c>
      <c r="O4043" s="16">
        <v>0</v>
      </c>
      <c r="P4043" s="17">
        <v>0</v>
      </c>
      <c r="Q4043" s="17">
        <v>0</v>
      </c>
      <c r="R4043" s="13"/>
      <c r="S4043" s="13"/>
      <c r="T4043" s="13"/>
      <c r="U4043" s="13"/>
      <c r="V4043" s="13"/>
      <c r="W4043" s="13"/>
    </row>
    <row r="4044" spans="1:23" x14ac:dyDescent="0.2">
      <c r="A4044"/>
      <c r="B4044"/>
      <c r="C4044"/>
      <c r="D4044"/>
      <c r="E4044"/>
      <c r="F4044"/>
      <c r="G4044"/>
      <c r="H4044"/>
      <c r="I4044"/>
      <c r="J4044"/>
      <c r="K4044" s="13" t="s">
        <v>300</v>
      </c>
      <c r="L4044" s="13" t="s">
        <v>635</v>
      </c>
      <c r="M4044" s="13" t="s">
        <v>507</v>
      </c>
      <c r="N4044" s="15">
        <v>0</v>
      </c>
      <c r="O4044" s="16">
        <v>0</v>
      </c>
      <c r="P4044" s="17">
        <v>14.078999347197842</v>
      </c>
      <c r="Q4044" s="17">
        <v>0</v>
      </c>
      <c r="R4044" s="13"/>
      <c r="S4044" s="13"/>
      <c r="T4044" s="13"/>
      <c r="U4044" s="13"/>
      <c r="V4044" s="13"/>
      <c r="W4044" s="13"/>
    </row>
    <row r="4045" spans="1:23" x14ac:dyDescent="0.2">
      <c r="A4045"/>
      <c r="B4045"/>
      <c r="C4045"/>
      <c r="D4045"/>
      <c r="E4045"/>
      <c r="F4045"/>
      <c r="G4045"/>
      <c r="H4045"/>
      <c r="I4045"/>
      <c r="J4045"/>
      <c r="K4045" s="13" t="s">
        <v>300</v>
      </c>
      <c r="L4045" s="13" t="s">
        <v>536</v>
      </c>
      <c r="M4045" s="13" t="s">
        <v>378</v>
      </c>
      <c r="N4045" s="15">
        <v>0</v>
      </c>
      <c r="O4045" s="16">
        <v>59.380472280516514</v>
      </c>
      <c r="P4045" s="17">
        <v>0</v>
      </c>
      <c r="Q4045" s="17">
        <v>0</v>
      </c>
      <c r="R4045" s="13"/>
      <c r="S4045" s="13"/>
      <c r="T4045" s="13"/>
      <c r="U4045" s="13"/>
      <c r="V4045" s="13"/>
      <c r="W4045" s="13"/>
    </row>
    <row r="4046" spans="1:23" x14ac:dyDescent="0.2">
      <c r="A4046"/>
      <c r="B4046"/>
      <c r="C4046"/>
      <c r="D4046"/>
      <c r="E4046"/>
      <c r="F4046"/>
      <c r="G4046"/>
      <c r="H4046"/>
      <c r="I4046"/>
      <c r="J4046"/>
      <c r="K4046" s="13" t="s">
        <v>300</v>
      </c>
      <c r="L4046" s="13" t="s">
        <v>387</v>
      </c>
      <c r="M4046" s="13" t="s">
        <v>386</v>
      </c>
      <c r="N4046" s="15">
        <v>0</v>
      </c>
      <c r="O4046" s="16">
        <v>0</v>
      </c>
      <c r="P4046" s="17">
        <v>209.35775000047661</v>
      </c>
      <c r="Q4046" s="17">
        <v>0</v>
      </c>
      <c r="R4046" s="13"/>
      <c r="S4046" s="13"/>
      <c r="T4046" s="13"/>
      <c r="U4046" s="13"/>
      <c r="V4046" s="13"/>
      <c r="W4046" s="13"/>
    </row>
    <row r="4047" spans="1:23" x14ac:dyDescent="0.2">
      <c r="A4047"/>
      <c r="B4047"/>
      <c r="C4047"/>
      <c r="D4047"/>
      <c r="E4047"/>
      <c r="F4047"/>
      <c r="G4047"/>
      <c r="H4047"/>
      <c r="I4047"/>
      <c r="J4047"/>
      <c r="K4047" s="13" t="s">
        <v>300</v>
      </c>
      <c r="L4047" s="13" t="s">
        <v>389</v>
      </c>
      <c r="M4047" s="13" t="s">
        <v>388</v>
      </c>
      <c r="N4047" s="15">
        <v>0</v>
      </c>
      <c r="O4047" s="16">
        <v>0</v>
      </c>
      <c r="P4047" s="17">
        <v>210.40210001111302</v>
      </c>
      <c r="Q4047" s="17">
        <v>0</v>
      </c>
      <c r="R4047" s="13"/>
      <c r="S4047" s="13"/>
      <c r="T4047" s="13"/>
      <c r="U4047" s="13"/>
      <c r="V4047" s="13"/>
      <c r="W4047" s="13"/>
    </row>
    <row r="4048" spans="1:23" x14ac:dyDescent="0.2">
      <c r="A4048"/>
      <c r="B4048"/>
      <c r="C4048"/>
      <c r="D4048"/>
      <c r="E4048"/>
      <c r="F4048"/>
      <c r="G4048"/>
      <c r="H4048"/>
      <c r="I4048"/>
      <c r="J4048"/>
      <c r="K4048" s="13" t="s">
        <v>300</v>
      </c>
      <c r="L4048" s="13" t="s">
        <v>391</v>
      </c>
      <c r="M4048" s="13" t="s">
        <v>358</v>
      </c>
      <c r="N4048" s="15">
        <v>0</v>
      </c>
      <c r="O4048" s="16">
        <v>0</v>
      </c>
      <c r="P4048" s="17">
        <v>14.481250006235205</v>
      </c>
      <c r="Q4048" s="17">
        <v>0</v>
      </c>
      <c r="R4048" s="13"/>
      <c r="S4048" s="13"/>
      <c r="T4048" s="13"/>
      <c r="U4048" s="13"/>
      <c r="V4048" s="13"/>
      <c r="W4048" s="13"/>
    </row>
    <row r="4049" spans="1:23" x14ac:dyDescent="0.2">
      <c r="A4049"/>
      <c r="B4049"/>
      <c r="C4049"/>
      <c r="D4049"/>
      <c r="E4049"/>
      <c r="F4049"/>
      <c r="G4049"/>
      <c r="H4049"/>
      <c r="I4049"/>
      <c r="J4049"/>
      <c r="K4049" s="13" t="s">
        <v>300</v>
      </c>
      <c r="L4049" s="13" t="s">
        <v>512</v>
      </c>
      <c r="M4049" s="13" t="s">
        <v>466</v>
      </c>
      <c r="N4049" s="15">
        <v>0</v>
      </c>
      <c r="O4049" s="16">
        <v>0</v>
      </c>
      <c r="P4049" s="17">
        <v>30.160350002797529</v>
      </c>
      <c r="Q4049" s="17">
        <v>0</v>
      </c>
      <c r="R4049" s="13"/>
      <c r="S4049" s="13"/>
      <c r="T4049" s="13"/>
      <c r="U4049" s="13"/>
      <c r="V4049" s="13"/>
      <c r="W4049" s="13"/>
    </row>
    <row r="4050" spans="1:23" x14ac:dyDescent="0.2">
      <c r="A4050"/>
      <c r="B4050"/>
      <c r="C4050"/>
      <c r="D4050"/>
      <c r="E4050"/>
      <c r="F4050"/>
      <c r="G4050"/>
      <c r="H4050"/>
      <c r="I4050"/>
      <c r="J4050"/>
      <c r="K4050" s="13" t="s">
        <v>300</v>
      </c>
      <c r="L4050" s="13" t="s">
        <v>532</v>
      </c>
      <c r="M4050" s="13" t="s">
        <v>620</v>
      </c>
      <c r="N4050" s="15">
        <v>0</v>
      </c>
      <c r="O4050" s="16">
        <v>0</v>
      </c>
      <c r="P4050" s="17">
        <v>10.124499999411171</v>
      </c>
      <c r="Q4050" s="17">
        <v>0</v>
      </c>
      <c r="R4050" s="13"/>
      <c r="S4050" s="13"/>
      <c r="T4050" s="13"/>
      <c r="U4050" s="13"/>
      <c r="V4050" s="13"/>
      <c r="W4050" s="13"/>
    </row>
    <row r="4051" spans="1:23" x14ac:dyDescent="0.2">
      <c r="A4051"/>
      <c r="B4051"/>
      <c r="C4051"/>
      <c r="D4051"/>
      <c r="E4051"/>
      <c r="F4051"/>
      <c r="G4051"/>
      <c r="H4051"/>
      <c r="I4051"/>
      <c r="J4051"/>
      <c r="K4051" s="13" t="s">
        <v>300</v>
      </c>
      <c r="L4051" s="13" t="s">
        <v>445</v>
      </c>
      <c r="M4051" s="13" t="s">
        <v>365</v>
      </c>
      <c r="N4051" s="15">
        <v>0</v>
      </c>
      <c r="O4051" s="16">
        <v>0</v>
      </c>
      <c r="P4051" s="17">
        <v>0.90444999996230468</v>
      </c>
      <c r="Q4051" s="17">
        <v>0</v>
      </c>
      <c r="R4051" s="13"/>
      <c r="S4051" s="13"/>
      <c r="T4051" s="13"/>
      <c r="U4051" s="13"/>
      <c r="V4051" s="13"/>
      <c r="W4051" s="13"/>
    </row>
    <row r="4052" spans="1:23" x14ac:dyDescent="0.2">
      <c r="A4052"/>
      <c r="B4052"/>
      <c r="C4052"/>
      <c r="D4052"/>
      <c r="E4052"/>
      <c r="F4052"/>
      <c r="G4052"/>
      <c r="H4052"/>
      <c r="I4052"/>
      <c r="J4052"/>
      <c r="K4052" s="13" t="s">
        <v>300</v>
      </c>
      <c r="L4052" s="13" t="s">
        <v>440</v>
      </c>
      <c r="M4052" s="13" t="s">
        <v>441</v>
      </c>
      <c r="N4052" s="15">
        <v>10</v>
      </c>
      <c r="O4052" s="16">
        <v>0</v>
      </c>
      <c r="P4052" s="17">
        <v>0</v>
      </c>
      <c r="Q4052" s="17">
        <v>0</v>
      </c>
      <c r="R4052" s="13"/>
      <c r="S4052" s="13"/>
      <c r="T4052" s="13"/>
      <c r="U4052" s="13"/>
      <c r="V4052" s="13"/>
      <c r="W4052" s="13"/>
    </row>
    <row r="4053" spans="1:23" x14ac:dyDescent="0.2">
      <c r="A4053"/>
      <c r="B4053"/>
      <c r="C4053"/>
      <c r="D4053"/>
      <c r="E4053"/>
      <c r="F4053"/>
      <c r="G4053"/>
      <c r="H4053"/>
      <c r="I4053"/>
      <c r="J4053"/>
      <c r="K4053" s="13" t="s">
        <v>300</v>
      </c>
      <c r="L4053" s="13" t="s">
        <v>395</v>
      </c>
      <c r="M4053" s="13" t="s">
        <v>602</v>
      </c>
      <c r="N4053" s="15">
        <v>1</v>
      </c>
      <c r="O4053" s="16">
        <v>0</v>
      </c>
      <c r="P4053" s="17">
        <v>0</v>
      </c>
      <c r="Q4053" s="17">
        <v>0</v>
      </c>
      <c r="R4053" s="13"/>
      <c r="S4053" s="13"/>
      <c r="T4053" s="13"/>
      <c r="U4053" s="13"/>
      <c r="V4053" s="13"/>
      <c r="W4053" s="13"/>
    </row>
    <row r="4054" spans="1:23" x14ac:dyDescent="0.2">
      <c r="A4054"/>
      <c r="B4054"/>
      <c r="C4054"/>
      <c r="D4054"/>
      <c r="E4054"/>
      <c r="F4054"/>
      <c r="G4054"/>
      <c r="H4054"/>
      <c r="I4054"/>
      <c r="J4054"/>
      <c r="K4054" s="13" t="s">
        <v>300</v>
      </c>
      <c r="L4054" s="13" t="s">
        <v>397</v>
      </c>
      <c r="M4054" s="13" t="s">
        <v>398</v>
      </c>
      <c r="N4054" s="15">
        <v>0</v>
      </c>
      <c r="O4054" s="16">
        <v>0</v>
      </c>
      <c r="P4054" s="17">
        <v>0.16669999995892865</v>
      </c>
      <c r="Q4054" s="17">
        <v>0</v>
      </c>
      <c r="R4054" s="13"/>
      <c r="S4054" s="13"/>
      <c r="T4054" s="13"/>
      <c r="U4054" s="13"/>
      <c r="V4054" s="13"/>
      <c r="W4054" s="13"/>
    </row>
    <row r="4055" spans="1:23" x14ac:dyDescent="0.2">
      <c r="A4055"/>
      <c r="B4055"/>
      <c r="C4055"/>
      <c r="D4055"/>
      <c r="E4055"/>
      <c r="F4055"/>
      <c r="G4055"/>
      <c r="H4055"/>
      <c r="I4055"/>
      <c r="J4055"/>
      <c r="K4055" s="13" t="s">
        <v>300</v>
      </c>
      <c r="L4055" s="13" t="s">
        <v>399</v>
      </c>
      <c r="M4055" s="13" t="s">
        <v>400</v>
      </c>
      <c r="N4055" s="15">
        <v>0</v>
      </c>
      <c r="O4055" s="16">
        <v>0</v>
      </c>
      <c r="P4055" s="17">
        <v>2.7919500000531086</v>
      </c>
      <c r="Q4055" s="17">
        <v>0</v>
      </c>
      <c r="R4055" s="13"/>
      <c r="S4055" s="13"/>
      <c r="T4055" s="13"/>
      <c r="U4055" s="13"/>
      <c r="V4055" s="13"/>
      <c r="W4055" s="13"/>
    </row>
    <row r="4056" spans="1:23" x14ac:dyDescent="0.2">
      <c r="A4056"/>
      <c r="B4056"/>
      <c r="C4056"/>
      <c r="D4056"/>
      <c r="E4056"/>
      <c r="F4056"/>
      <c r="G4056"/>
      <c r="H4056"/>
      <c r="I4056"/>
      <c r="J4056"/>
      <c r="K4056" s="13" t="s">
        <v>300</v>
      </c>
      <c r="L4056" s="13" t="s">
        <v>511</v>
      </c>
      <c r="M4056" s="13" t="s">
        <v>377</v>
      </c>
      <c r="N4056" s="15">
        <v>0</v>
      </c>
      <c r="O4056" s="16">
        <v>0</v>
      </c>
      <c r="P4056" s="17">
        <v>2.2914500003205149</v>
      </c>
      <c r="Q4056" s="17">
        <v>0</v>
      </c>
      <c r="R4056" s="13"/>
      <c r="S4056" s="13"/>
      <c r="T4056" s="13"/>
      <c r="U4056" s="13"/>
      <c r="V4056" s="13"/>
      <c r="W4056" s="13"/>
    </row>
    <row r="4057" spans="1:23" x14ac:dyDescent="0.2">
      <c r="A4057"/>
      <c r="B4057"/>
      <c r="C4057"/>
      <c r="D4057"/>
      <c r="E4057"/>
      <c r="F4057"/>
      <c r="G4057"/>
      <c r="H4057"/>
      <c r="I4057"/>
      <c r="J4057"/>
      <c r="K4057" s="13" t="s">
        <v>300</v>
      </c>
      <c r="L4057" s="13" t="s">
        <v>402</v>
      </c>
      <c r="M4057" s="13" t="s">
        <v>403</v>
      </c>
      <c r="N4057" s="15">
        <v>0</v>
      </c>
      <c r="O4057" s="16">
        <v>0</v>
      </c>
      <c r="P4057" s="17">
        <v>1602.0298362473973</v>
      </c>
      <c r="Q4057" s="17">
        <v>0</v>
      </c>
      <c r="R4057" s="13"/>
      <c r="S4057" s="13"/>
      <c r="T4057" s="13"/>
      <c r="U4057" s="13"/>
      <c r="V4057" s="13"/>
      <c r="W4057" s="13"/>
    </row>
    <row r="4058" spans="1:23" x14ac:dyDescent="0.2">
      <c r="A4058"/>
      <c r="B4058"/>
      <c r="C4058"/>
      <c r="D4058"/>
      <c r="E4058"/>
      <c r="F4058"/>
      <c r="G4058"/>
      <c r="H4058"/>
      <c r="I4058"/>
      <c r="J4058"/>
      <c r="K4058" s="13" t="s">
        <v>300</v>
      </c>
      <c r="L4058" s="13" t="s">
        <v>448</v>
      </c>
      <c r="M4058" s="13" t="s">
        <v>366</v>
      </c>
      <c r="N4058" s="15">
        <v>0</v>
      </c>
      <c r="O4058" s="16">
        <v>0</v>
      </c>
      <c r="P4058" s="17">
        <v>311.044125891867</v>
      </c>
      <c r="Q4058" s="17">
        <v>0</v>
      </c>
      <c r="R4058" s="13"/>
      <c r="S4058" s="13"/>
      <c r="T4058" s="13"/>
      <c r="U4058" s="13"/>
      <c r="V4058" s="13"/>
      <c r="W4058" s="13"/>
    </row>
    <row r="4059" spans="1:23" x14ac:dyDescent="0.2">
      <c r="A4059"/>
      <c r="B4059"/>
      <c r="C4059"/>
      <c r="D4059"/>
      <c r="E4059"/>
      <c r="F4059"/>
      <c r="G4059"/>
      <c r="H4059"/>
      <c r="I4059"/>
      <c r="J4059"/>
      <c r="K4059" s="13" t="s">
        <v>300</v>
      </c>
      <c r="L4059" s="13" t="s">
        <v>404</v>
      </c>
      <c r="M4059" s="13" t="s">
        <v>405</v>
      </c>
      <c r="N4059" s="15">
        <v>0</v>
      </c>
      <c r="O4059" s="16">
        <v>0</v>
      </c>
      <c r="P4059" s="17">
        <v>6.3898500000154339</v>
      </c>
      <c r="Q4059" s="17">
        <v>56.99797550316071</v>
      </c>
      <c r="R4059" s="13"/>
      <c r="S4059" s="13"/>
      <c r="T4059" s="13"/>
      <c r="U4059" s="13"/>
      <c r="V4059" s="13"/>
      <c r="W4059" s="13"/>
    </row>
    <row r="4060" spans="1:23" x14ac:dyDescent="0.2">
      <c r="A4060"/>
      <c r="B4060"/>
      <c r="C4060"/>
      <c r="D4060"/>
      <c r="E4060"/>
      <c r="F4060"/>
      <c r="G4060"/>
      <c r="H4060"/>
      <c r="I4060"/>
      <c r="J4060"/>
      <c r="K4060" s="13" t="s">
        <v>300</v>
      </c>
      <c r="L4060" s="13" t="s">
        <v>381</v>
      </c>
      <c r="M4060" s="13" t="s">
        <v>382</v>
      </c>
      <c r="N4060" s="15">
        <v>9</v>
      </c>
      <c r="O4060" s="16">
        <v>0</v>
      </c>
      <c r="P4060" s="17">
        <v>0</v>
      </c>
      <c r="Q4060" s="17">
        <v>0</v>
      </c>
      <c r="R4060" s="13"/>
      <c r="S4060" s="13"/>
      <c r="T4060" s="13"/>
      <c r="U4060" s="13"/>
      <c r="V4060" s="13"/>
      <c r="W4060" s="13"/>
    </row>
    <row r="4061" spans="1:23" x14ac:dyDescent="0.2">
      <c r="A4061"/>
      <c r="B4061"/>
      <c r="C4061"/>
      <c r="D4061"/>
      <c r="E4061"/>
      <c r="F4061"/>
      <c r="G4061"/>
      <c r="H4061"/>
      <c r="I4061"/>
      <c r="J4061"/>
      <c r="K4061" s="13" t="s">
        <v>300</v>
      </c>
      <c r="L4061" s="13" t="s">
        <v>452</v>
      </c>
      <c r="M4061" s="13" t="s">
        <v>453</v>
      </c>
      <c r="N4061" s="15">
        <v>3</v>
      </c>
      <c r="O4061" s="16">
        <v>0</v>
      </c>
      <c r="P4061" s="17">
        <v>0</v>
      </c>
      <c r="Q4061" s="17">
        <v>0</v>
      </c>
      <c r="R4061" s="13"/>
      <c r="S4061" s="13"/>
      <c r="T4061" s="13"/>
      <c r="U4061" s="13"/>
      <c r="V4061" s="13"/>
      <c r="W4061" s="13"/>
    </row>
    <row r="4062" spans="1:23" x14ac:dyDescent="0.2">
      <c r="A4062"/>
      <c r="B4062"/>
      <c r="C4062"/>
      <c r="D4062"/>
      <c r="E4062"/>
      <c r="F4062"/>
      <c r="G4062"/>
      <c r="H4062"/>
      <c r="I4062"/>
      <c r="J4062"/>
      <c r="K4062" s="13" t="s">
        <v>300</v>
      </c>
      <c r="L4062" s="13" t="s">
        <v>409</v>
      </c>
      <c r="M4062" s="13" t="s">
        <v>410</v>
      </c>
      <c r="N4062" s="15">
        <v>2</v>
      </c>
      <c r="O4062" s="16">
        <v>0</v>
      </c>
      <c r="P4062" s="17">
        <v>0</v>
      </c>
      <c r="Q4062" s="17">
        <v>0</v>
      </c>
      <c r="R4062" s="13"/>
      <c r="S4062" s="13"/>
      <c r="T4062" s="13"/>
      <c r="U4062" s="13"/>
      <c r="V4062" s="13"/>
      <c r="W4062" s="13"/>
    </row>
    <row r="4063" spans="1:23" x14ac:dyDescent="0.2">
      <c r="A4063"/>
      <c r="B4063"/>
      <c r="C4063"/>
      <c r="D4063"/>
      <c r="E4063"/>
      <c r="F4063"/>
      <c r="G4063"/>
      <c r="H4063"/>
      <c r="I4063"/>
      <c r="J4063"/>
      <c r="K4063" s="13" t="s">
        <v>300</v>
      </c>
      <c r="L4063" s="13" t="s">
        <v>411</v>
      </c>
      <c r="M4063" s="13" t="s">
        <v>362</v>
      </c>
      <c r="N4063" s="15">
        <v>0</v>
      </c>
      <c r="O4063" s="16">
        <v>26.798959158231447</v>
      </c>
      <c r="P4063" s="17">
        <v>0</v>
      </c>
      <c r="Q4063" s="17">
        <v>0</v>
      </c>
      <c r="R4063" s="13"/>
      <c r="S4063" s="13"/>
      <c r="T4063" s="13"/>
      <c r="U4063" s="13"/>
      <c r="V4063" s="13"/>
      <c r="W4063" s="13"/>
    </row>
    <row r="4064" spans="1:23" x14ac:dyDescent="0.2">
      <c r="A4064"/>
      <c r="B4064"/>
      <c r="C4064"/>
      <c r="D4064"/>
      <c r="E4064"/>
      <c r="F4064"/>
      <c r="G4064"/>
      <c r="H4064"/>
      <c r="I4064"/>
      <c r="J4064"/>
      <c r="K4064" s="13" t="s">
        <v>300</v>
      </c>
      <c r="L4064" s="13" t="s">
        <v>411</v>
      </c>
      <c r="M4064" s="13" t="s">
        <v>362</v>
      </c>
      <c r="N4064" s="15">
        <v>1</v>
      </c>
      <c r="O4064" s="16">
        <v>0</v>
      </c>
      <c r="P4064" s="17">
        <v>0</v>
      </c>
      <c r="Q4064" s="17">
        <v>0</v>
      </c>
      <c r="R4064" s="13"/>
      <c r="S4064" s="13"/>
      <c r="T4064" s="13"/>
      <c r="U4064" s="13"/>
      <c r="V4064" s="13"/>
      <c r="W4064" s="13"/>
    </row>
    <row r="4065" spans="1:23" x14ac:dyDescent="0.2">
      <c r="A4065"/>
      <c r="B4065"/>
      <c r="C4065"/>
      <c r="D4065"/>
      <c r="E4065"/>
      <c r="F4065"/>
      <c r="G4065"/>
      <c r="H4065"/>
      <c r="I4065"/>
      <c r="J4065"/>
      <c r="K4065" s="13" t="s">
        <v>300</v>
      </c>
      <c r="L4065" s="13" t="s">
        <v>606</v>
      </c>
      <c r="M4065" s="13" t="s">
        <v>430</v>
      </c>
      <c r="N4065" s="15">
        <v>2</v>
      </c>
      <c r="O4065" s="16">
        <v>0</v>
      </c>
      <c r="P4065" s="17">
        <v>0</v>
      </c>
      <c r="Q4065" s="17">
        <v>0</v>
      </c>
      <c r="R4065" s="13"/>
      <c r="S4065" s="13"/>
      <c r="T4065" s="13"/>
      <c r="U4065" s="13"/>
      <c r="V4065" s="13"/>
      <c r="W4065" s="13"/>
    </row>
    <row r="4066" spans="1:23" x14ac:dyDescent="0.2">
      <c r="A4066"/>
      <c r="B4066"/>
      <c r="C4066"/>
      <c r="D4066"/>
      <c r="E4066"/>
      <c r="F4066"/>
      <c r="G4066"/>
      <c r="H4066"/>
      <c r="I4066"/>
      <c r="J4066"/>
      <c r="K4066" s="13" t="s">
        <v>300</v>
      </c>
      <c r="L4066" s="13" t="s">
        <v>623</v>
      </c>
      <c r="M4066" s="13" t="s">
        <v>530</v>
      </c>
      <c r="N4066" s="15">
        <v>0</v>
      </c>
      <c r="O4066" s="16">
        <v>51.238618554577094</v>
      </c>
      <c r="P4066" s="17">
        <v>0</v>
      </c>
      <c r="Q4066" s="17">
        <v>0</v>
      </c>
      <c r="R4066" s="13"/>
      <c r="S4066" s="13"/>
      <c r="T4066" s="13"/>
      <c r="U4066" s="13"/>
      <c r="V4066" s="13"/>
      <c r="W4066" s="13"/>
    </row>
    <row r="4067" spans="1:23" x14ac:dyDescent="0.2">
      <c r="A4067"/>
      <c r="B4067"/>
      <c r="C4067"/>
      <c r="D4067"/>
      <c r="E4067"/>
      <c r="F4067"/>
      <c r="G4067"/>
      <c r="H4067"/>
      <c r="I4067"/>
      <c r="J4067"/>
      <c r="K4067" s="13" t="s">
        <v>300</v>
      </c>
      <c r="L4067" s="13" t="s">
        <v>607</v>
      </c>
      <c r="M4067" s="13" t="s">
        <v>431</v>
      </c>
      <c r="N4067" s="15">
        <v>2</v>
      </c>
      <c r="O4067" s="16">
        <v>0</v>
      </c>
      <c r="P4067" s="17">
        <v>0</v>
      </c>
      <c r="Q4067" s="17">
        <v>0</v>
      </c>
      <c r="R4067" s="13"/>
      <c r="S4067" s="13"/>
      <c r="T4067" s="13"/>
      <c r="U4067" s="13"/>
      <c r="V4067" s="13"/>
      <c r="W4067" s="13"/>
    </row>
    <row r="4068" spans="1:23" x14ac:dyDescent="0.2">
      <c r="A4068"/>
      <c r="B4068"/>
      <c r="C4068"/>
      <c r="D4068"/>
      <c r="E4068"/>
      <c r="F4068"/>
      <c r="G4068"/>
      <c r="H4068"/>
      <c r="I4068"/>
      <c r="J4068"/>
      <c r="K4068" s="13" t="s">
        <v>300</v>
      </c>
      <c r="L4068" s="13" t="s">
        <v>608</v>
      </c>
      <c r="M4068" s="13" t="s">
        <v>432</v>
      </c>
      <c r="N4068" s="15">
        <v>2</v>
      </c>
      <c r="O4068" s="16">
        <v>0</v>
      </c>
      <c r="P4068" s="17">
        <v>0</v>
      </c>
      <c r="Q4068" s="17">
        <v>0</v>
      </c>
      <c r="R4068" s="13"/>
      <c r="S4068" s="13"/>
      <c r="T4068" s="13"/>
      <c r="U4068" s="13"/>
      <c r="V4068" s="13"/>
      <c r="W4068" s="13"/>
    </row>
    <row r="4069" spans="1:23" x14ac:dyDescent="0.2">
      <c r="A4069"/>
      <c r="B4069"/>
      <c r="C4069"/>
      <c r="D4069"/>
      <c r="E4069"/>
      <c r="F4069"/>
      <c r="G4069"/>
      <c r="H4069"/>
      <c r="I4069"/>
      <c r="J4069"/>
      <c r="K4069" s="13" t="s">
        <v>300</v>
      </c>
      <c r="L4069" s="13" t="s">
        <v>383</v>
      </c>
      <c r="M4069" s="13" t="s">
        <v>420</v>
      </c>
      <c r="N4069" s="15">
        <v>5</v>
      </c>
      <c r="O4069" s="16">
        <v>0</v>
      </c>
      <c r="P4069" s="17">
        <v>0</v>
      </c>
      <c r="Q4069" s="17">
        <v>0</v>
      </c>
      <c r="R4069" s="13"/>
      <c r="S4069" s="13"/>
      <c r="T4069" s="13"/>
      <c r="U4069" s="13"/>
      <c r="V4069" s="13"/>
      <c r="W4069" s="13"/>
    </row>
    <row r="4070" spans="1:23" x14ac:dyDescent="0.2">
      <c r="A4070"/>
      <c r="B4070"/>
      <c r="C4070"/>
      <c r="D4070"/>
      <c r="E4070"/>
      <c r="F4070"/>
      <c r="G4070"/>
      <c r="H4070"/>
      <c r="I4070"/>
      <c r="J4070"/>
      <c r="K4070" s="13" t="s">
        <v>300</v>
      </c>
      <c r="L4070" s="13" t="s">
        <v>528</v>
      </c>
      <c r="M4070" s="13" t="s">
        <v>384</v>
      </c>
      <c r="N4070" s="15">
        <v>0</v>
      </c>
      <c r="O4070" s="16">
        <v>54.096651140278183</v>
      </c>
      <c r="P4070" s="17">
        <v>0</v>
      </c>
      <c r="Q4070" s="17">
        <v>0</v>
      </c>
      <c r="R4070" s="13"/>
      <c r="S4070" s="13"/>
      <c r="T4070" s="13"/>
      <c r="U4070" s="13"/>
      <c r="V4070" s="13"/>
      <c r="W4070" s="13"/>
    </row>
    <row r="4071" spans="1:23" x14ac:dyDescent="0.2">
      <c r="A4071"/>
      <c r="B4071"/>
      <c r="C4071"/>
      <c r="D4071"/>
      <c r="E4071"/>
      <c r="F4071"/>
      <c r="G4071"/>
      <c r="H4071"/>
      <c r="I4071"/>
      <c r="J4071"/>
      <c r="K4071" s="13" t="s">
        <v>300</v>
      </c>
      <c r="L4071" s="13" t="s">
        <v>446</v>
      </c>
      <c r="M4071" s="13" t="s">
        <v>371</v>
      </c>
      <c r="N4071" s="15">
        <v>8</v>
      </c>
      <c r="O4071" s="16">
        <v>0</v>
      </c>
      <c r="P4071" s="17">
        <v>0</v>
      </c>
      <c r="Q4071" s="17">
        <v>0</v>
      </c>
      <c r="R4071" s="13"/>
      <c r="S4071" s="13"/>
      <c r="T4071" s="13"/>
      <c r="U4071" s="13"/>
      <c r="V4071" s="13"/>
      <c r="W4071" s="13"/>
    </row>
    <row r="4072" spans="1:23" x14ac:dyDescent="0.2">
      <c r="A4072"/>
      <c r="B4072"/>
      <c r="C4072"/>
      <c r="D4072"/>
      <c r="E4072"/>
      <c r="F4072"/>
      <c r="G4072"/>
      <c r="H4072"/>
      <c r="I4072"/>
      <c r="J4072"/>
      <c r="K4072" s="13" t="s">
        <v>300</v>
      </c>
      <c r="L4072" s="13" t="s">
        <v>424</v>
      </c>
      <c r="M4072" s="13" t="s">
        <v>468</v>
      </c>
      <c r="N4072" s="15">
        <v>0</v>
      </c>
      <c r="O4072" s="16">
        <v>0</v>
      </c>
      <c r="P4072" s="17">
        <v>24.999874479135357</v>
      </c>
      <c r="Q4072" s="17">
        <v>0</v>
      </c>
      <c r="R4072" s="13"/>
      <c r="S4072" s="13"/>
      <c r="T4072" s="13"/>
      <c r="U4072" s="13"/>
      <c r="V4072" s="13"/>
      <c r="W4072" s="13"/>
    </row>
    <row r="4073" spans="1:23" x14ac:dyDescent="0.2">
      <c r="A4073"/>
      <c r="B4073"/>
      <c r="C4073"/>
      <c r="D4073"/>
      <c r="E4073"/>
      <c r="F4073"/>
      <c r="G4073"/>
      <c r="H4073"/>
      <c r="I4073"/>
      <c r="J4073"/>
      <c r="K4073" s="13" t="s">
        <v>300</v>
      </c>
      <c r="L4073" s="13" t="s">
        <v>484</v>
      </c>
      <c r="M4073" s="13" t="s">
        <v>529</v>
      </c>
      <c r="N4073" s="15">
        <v>0</v>
      </c>
      <c r="O4073" s="16">
        <v>32.872513080261747</v>
      </c>
      <c r="P4073" s="17">
        <v>0</v>
      </c>
      <c r="Q4073" s="17">
        <v>0</v>
      </c>
      <c r="R4073" s="13"/>
      <c r="S4073" s="13"/>
      <c r="T4073" s="13"/>
      <c r="U4073" s="13"/>
      <c r="V4073" s="13"/>
      <c r="W4073" s="13"/>
    </row>
    <row r="4074" spans="1:23" x14ac:dyDescent="0.2">
      <c r="A4074"/>
      <c r="B4074"/>
      <c r="C4074"/>
      <c r="D4074"/>
      <c r="E4074"/>
      <c r="F4074"/>
      <c r="G4074"/>
      <c r="H4074"/>
      <c r="I4074"/>
      <c r="J4074"/>
      <c r="K4074" s="13" t="s">
        <v>302</v>
      </c>
      <c r="L4074" s="13" t="s">
        <v>389</v>
      </c>
      <c r="M4074" s="13" t="s">
        <v>388</v>
      </c>
      <c r="N4074" s="15">
        <v>0</v>
      </c>
      <c r="O4074" s="16">
        <v>0</v>
      </c>
      <c r="P4074" s="17">
        <v>158.88874999812109</v>
      </c>
      <c r="Q4074" s="17">
        <v>0</v>
      </c>
      <c r="R4074" s="13"/>
      <c r="S4074" s="13"/>
      <c r="T4074" s="13"/>
      <c r="U4074" s="13"/>
      <c r="V4074" s="13"/>
      <c r="W4074" s="13"/>
    </row>
    <row r="4075" spans="1:23" x14ac:dyDescent="0.2">
      <c r="A4075"/>
      <c r="B4075"/>
      <c r="C4075"/>
      <c r="D4075"/>
      <c r="E4075"/>
      <c r="F4075"/>
      <c r="G4075"/>
      <c r="H4075"/>
      <c r="I4075"/>
      <c r="J4075"/>
      <c r="K4075" s="13" t="s">
        <v>302</v>
      </c>
      <c r="L4075" s="13" t="s">
        <v>486</v>
      </c>
      <c r="M4075" s="13" t="s">
        <v>439</v>
      </c>
      <c r="N4075" s="15">
        <v>0</v>
      </c>
      <c r="O4075" s="16">
        <v>0</v>
      </c>
      <c r="P4075" s="17">
        <v>4.8729999998618148</v>
      </c>
      <c r="Q4075" s="17">
        <v>0</v>
      </c>
      <c r="R4075" s="13"/>
      <c r="S4075" s="13"/>
      <c r="T4075" s="13"/>
      <c r="U4075" s="13"/>
      <c r="V4075" s="13"/>
      <c r="W4075" s="13"/>
    </row>
    <row r="4076" spans="1:23" x14ac:dyDescent="0.2">
      <c r="A4076"/>
      <c r="B4076"/>
      <c r="C4076"/>
      <c r="D4076"/>
      <c r="E4076"/>
      <c r="F4076"/>
      <c r="G4076"/>
      <c r="H4076"/>
      <c r="I4076"/>
      <c r="J4076"/>
      <c r="K4076" s="13" t="s">
        <v>302</v>
      </c>
      <c r="L4076" s="13" t="s">
        <v>512</v>
      </c>
      <c r="M4076" s="13" t="s">
        <v>466</v>
      </c>
      <c r="N4076" s="15">
        <v>0</v>
      </c>
      <c r="O4076" s="16">
        <v>0</v>
      </c>
      <c r="P4076" s="17">
        <v>34.031200004208316</v>
      </c>
      <c r="Q4076" s="17">
        <v>0</v>
      </c>
      <c r="R4076" s="13"/>
      <c r="S4076" s="13"/>
      <c r="T4076" s="13"/>
      <c r="U4076" s="13"/>
      <c r="V4076" s="13"/>
      <c r="W4076" s="13"/>
    </row>
    <row r="4077" spans="1:23" x14ac:dyDescent="0.2">
      <c r="A4077"/>
      <c r="B4077"/>
      <c r="C4077"/>
      <c r="D4077"/>
      <c r="E4077"/>
      <c r="F4077"/>
      <c r="G4077"/>
      <c r="H4077"/>
      <c r="I4077"/>
      <c r="J4077"/>
      <c r="K4077" s="13" t="s">
        <v>302</v>
      </c>
      <c r="L4077" s="13" t="s">
        <v>440</v>
      </c>
      <c r="M4077" s="13" t="s">
        <v>441</v>
      </c>
      <c r="N4077" s="15">
        <v>2</v>
      </c>
      <c r="O4077" s="16">
        <v>0</v>
      </c>
      <c r="P4077" s="17">
        <v>0</v>
      </c>
      <c r="Q4077" s="17">
        <v>0</v>
      </c>
      <c r="R4077" s="13"/>
      <c r="S4077" s="13"/>
      <c r="T4077" s="13"/>
      <c r="U4077" s="13"/>
      <c r="V4077" s="13"/>
      <c r="W4077" s="13"/>
    </row>
    <row r="4078" spans="1:23" x14ac:dyDescent="0.2">
      <c r="A4078"/>
      <c r="B4078"/>
      <c r="C4078"/>
      <c r="D4078"/>
      <c r="E4078"/>
      <c r="F4078"/>
      <c r="G4078"/>
      <c r="H4078"/>
      <c r="I4078"/>
      <c r="J4078"/>
      <c r="K4078" s="13" t="s">
        <v>302</v>
      </c>
      <c r="L4078" s="13" t="s">
        <v>395</v>
      </c>
      <c r="M4078" s="13" t="s">
        <v>602</v>
      </c>
      <c r="N4078" s="15">
        <v>4</v>
      </c>
      <c r="O4078" s="16">
        <v>0</v>
      </c>
      <c r="P4078" s="17">
        <v>0</v>
      </c>
      <c r="Q4078" s="17">
        <v>0</v>
      </c>
      <c r="R4078" s="13"/>
      <c r="S4078" s="13"/>
      <c r="T4078" s="13"/>
      <c r="U4078" s="13"/>
      <c r="V4078" s="13"/>
      <c r="W4078" s="13"/>
    </row>
    <row r="4079" spans="1:23" x14ac:dyDescent="0.2">
      <c r="A4079"/>
      <c r="B4079"/>
      <c r="C4079"/>
      <c r="D4079"/>
      <c r="E4079"/>
      <c r="F4079"/>
      <c r="G4079"/>
      <c r="H4079"/>
      <c r="I4079"/>
      <c r="J4079"/>
      <c r="K4079" s="13" t="s">
        <v>302</v>
      </c>
      <c r="L4079" s="13" t="s">
        <v>399</v>
      </c>
      <c r="M4079" s="13" t="s">
        <v>400</v>
      </c>
      <c r="N4079" s="15">
        <v>0</v>
      </c>
      <c r="O4079" s="16">
        <v>0</v>
      </c>
      <c r="P4079" s="17">
        <v>4.7730499989806434</v>
      </c>
      <c r="Q4079" s="17">
        <v>0</v>
      </c>
      <c r="R4079" s="13"/>
      <c r="S4079" s="13"/>
      <c r="T4079" s="13"/>
      <c r="U4079" s="13"/>
      <c r="V4079" s="13"/>
      <c r="W4079" s="13"/>
    </row>
    <row r="4080" spans="1:23" x14ac:dyDescent="0.2">
      <c r="A4080"/>
      <c r="B4080"/>
      <c r="C4080"/>
      <c r="D4080"/>
      <c r="E4080"/>
      <c r="F4080"/>
      <c r="G4080"/>
      <c r="H4080"/>
      <c r="I4080"/>
      <c r="J4080"/>
      <c r="K4080" s="13" t="s">
        <v>302</v>
      </c>
      <c r="L4080" s="13" t="s">
        <v>401</v>
      </c>
      <c r="M4080" s="13" t="s">
        <v>360</v>
      </c>
      <c r="N4080" s="15">
        <v>0</v>
      </c>
      <c r="O4080" s="16">
        <v>0</v>
      </c>
      <c r="P4080" s="17">
        <v>17.89549999936705</v>
      </c>
      <c r="Q4080" s="17">
        <v>0</v>
      </c>
      <c r="R4080" s="13"/>
      <c r="S4080" s="13"/>
      <c r="T4080" s="13"/>
      <c r="U4080" s="13"/>
      <c r="V4080" s="13"/>
      <c r="W4080" s="13"/>
    </row>
    <row r="4081" spans="1:23" x14ac:dyDescent="0.2">
      <c r="A4081"/>
      <c r="B4081"/>
      <c r="C4081"/>
      <c r="D4081"/>
      <c r="E4081"/>
      <c r="F4081"/>
      <c r="G4081"/>
      <c r="H4081"/>
      <c r="I4081"/>
      <c r="J4081"/>
      <c r="K4081" s="13" t="s">
        <v>302</v>
      </c>
      <c r="L4081" s="13" t="s">
        <v>402</v>
      </c>
      <c r="M4081" s="13" t="s">
        <v>403</v>
      </c>
      <c r="N4081" s="15">
        <v>0</v>
      </c>
      <c r="O4081" s="16">
        <v>0</v>
      </c>
      <c r="P4081" s="17">
        <v>319.21190000034295</v>
      </c>
      <c r="Q4081" s="17">
        <v>0</v>
      </c>
      <c r="R4081" s="13"/>
      <c r="S4081" s="13"/>
      <c r="T4081" s="13"/>
      <c r="U4081" s="13"/>
      <c r="V4081" s="13"/>
      <c r="W4081" s="13"/>
    </row>
    <row r="4082" spans="1:23" x14ac:dyDescent="0.2">
      <c r="A4082"/>
      <c r="B4082"/>
      <c r="C4082"/>
      <c r="D4082"/>
      <c r="E4082"/>
      <c r="F4082"/>
      <c r="G4082"/>
      <c r="H4082"/>
      <c r="I4082"/>
      <c r="J4082"/>
      <c r="K4082" s="13" t="s">
        <v>302</v>
      </c>
      <c r="L4082" s="13" t="s">
        <v>404</v>
      </c>
      <c r="M4082" s="13" t="s">
        <v>405</v>
      </c>
      <c r="N4082" s="15">
        <v>0</v>
      </c>
      <c r="O4082" s="16">
        <v>0</v>
      </c>
      <c r="P4082" s="17">
        <v>0.72990000006675249</v>
      </c>
      <c r="Q4082" s="17">
        <v>2.6688810363524267</v>
      </c>
      <c r="R4082" s="13"/>
      <c r="S4082" s="13"/>
      <c r="T4082" s="13"/>
      <c r="U4082" s="13"/>
      <c r="V4082" s="13"/>
      <c r="W4082" s="13"/>
    </row>
    <row r="4083" spans="1:23" x14ac:dyDescent="0.2">
      <c r="A4083"/>
      <c r="B4083"/>
      <c r="C4083"/>
      <c r="D4083"/>
      <c r="E4083"/>
      <c r="F4083"/>
      <c r="G4083"/>
      <c r="H4083"/>
      <c r="I4083"/>
      <c r="J4083"/>
      <c r="K4083" s="13" t="s">
        <v>302</v>
      </c>
      <c r="L4083" s="13" t="s">
        <v>411</v>
      </c>
      <c r="M4083" s="13" t="s">
        <v>362</v>
      </c>
      <c r="N4083" s="15">
        <v>0</v>
      </c>
      <c r="O4083" s="16">
        <v>25.101844980569137</v>
      </c>
      <c r="P4083" s="17">
        <v>0</v>
      </c>
      <c r="Q4083" s="17">
        <v>0</v>
      </c>
      <c r="R4083" s="13"/>
      <c r="S4083" s="13"/>
      <c r="T4083" s="13"/>
      <c r="U4083" s="13"/>
      <c r="V4083" s="13"/>
      <c r="W4083" s="13"/>
    </row>
    <row r="4084" spans="1:23" x14ac:dyDescent="0.2">
      <c r="A4084"/>
      <c r="B4084"/>
      <c r="C4084"/>
      <c r="D4084"/>
      <c r="E4084"/>
      <c r="F4084"/>
      <c r="G4084"/>
      <c r="H4084"/>
      <c r="I4084"/>
      <c r="J4084"/>
      <c r="K4084" s="13" t="s">
        <v>302</v>
      </c>
      <c r="L4084" s="13" t="s">
        <v>606</v>
      </c>
      <c r="M4084" s="13" t="s">
        <v>430</v>
      </c>
      <c r="N4084" s="15">
        <v>1</v>
      </c>
      <c r="O4084" s="16">
        <v>0</v>
      </c>
      <c r="P4084" s="17">
        <v>0</v>
      </c>
      <c r="Q4084" s="17">
        <v>0</v>
      </c>
      <c r="R4084" s="13"/>
      <c r="S4084" s="13"/>
      <c r="T4084" s="13"/>
      <c r="U4084" s="13"/>
      <c r="V4084" s="13"/>
      <c r="W4084" s="13"/>
    </row>
    <row r="4085" spans="1:23" x14ac:dyDescent="0.2">
      <c r="A4085"/>
      <c r="B4085"/>
      <c r="C4085"/>
      <c r="D4085"/>
      <c r="E4085"/>
      <c r="F4085"/>
      <c r="G4085"/>
      <c r="H4085"/>
      <c r="I4085"/>
      <c r="J4085"/>
      <c r="K4085" s="13" t="s">
        <v>302</v>
      </c>
      <c r="L4085" s="13" t="s">
        <v>623</v>
      </c>
      <c r="M4085" s="13" t="s">
        <v>530</v>
      </c>
      <c r="N4085" s="15">
        <v>0</v>
      </c>
      <c r="O4085" s="16">
        <v>17.08757735639027</v>
      </c>
      <c r="P4085" s="17">
        <v>0</v>
      </c>
      <c r="Q4085" s="17">
        <v>0</v>
      </c>
      <c r="R4085" s="13"/>
      <c r="S4085" s="13"/>
      <c r="T4085" s="13"/>
      <c r="U4085" s="13"/>
      <c r="V4085" s="13"/>
      <c r="W4085" s="13"/>
    </row>
    <row r="4086" spans="1:23" x14ac:dyDescent="0.2">
      <c r="A4086"/>
      <c r="B4086"/>
      <c r="C4086"/>
      <c r="D4086"/>
      <c r="E4086"/>
      <c r="F4086"/>
      <c r="G4086"/>
      <c r="H4086"/>
      <c r="I4086"/>
      <c r="J4086"/>
      <c r="K4086" s="13" t="s">
        <v>302</v>
      </c>
      <c r="L4086" s="13" t="s">
        <v>523</v>
      </c>
      <c r="M4086" s="13" t="s">
        <v>476</v>
      </c>
      <c r="N4086" s="15">
        <v>0</v>
      </c>
      <c r="O4086" s="16">
        <v>0</v>
      </c>
      <c r="P4086" s="17">
        <v>5.7804000020729385</v>
      </c>
      <c r="Q4086" s="17">
        <v>0</v>
      </c>
      <c r="R4086" s="13"/>
      <c r="S4086" s="13"/>
      <c r="T4086" s="13"/>
      <c r="U4086" s="13"/>
      <c r="V4086" s="13"/>
      <c r="W4086" s="13"/>
    </row>
    <row r="4087" spans="1:23" x14ac:dyDescent="0.2">
      <c r="A4087"/>
      <c r="B4087"/>
      <c r="C4087"/>
      <c r="D4087"/>
      <c r="E4087"/>
      <c r="F4087"/>
      <c r="G4087"/>
      <c r="H4087"/>
      <c r="I4087"/>
      <c r="J4087"/>
      <c r="K4087" s="13" t="s">
        <v>302</v>
      </c>
      <c r="L4087" s="13" t="s">
        <v>383</v>
      </c>
      <c r="M4087" s="13" t="s">
        <v>420</v>
      </c>
      <c r="N4087" s="15">
        <v>4</v>
      </c>
      <c r="O4087" s="16">
        <v>0</v>
      </c>
      <c r="P4087" s="17">
        <v>0</v>
      </c>
      <c r="Q4087" s="17">
        <v>0</v>
      </c>
      <c r="R4087" s="13"/>
      <c r="S4087" s="13"/>
      <c r="T4087" s="13"/>
      <c r="U4087" s="13"/>
      <c r="V4087" s="13"/>
      <c r="W4087" s="13"/>
    </row>
    <row r="4088" spans="1:23" x14ac:dyDescent="0.2">
      <c r="A4088"/>
      <c r="B4088"/>
      <c r="C4088"/>
      <c r="D4088"/>
      <c r="E4088"/>
      <c r="F4088"/>
      <c r="G4088"/>
      <c r="H4088"/>
      <c r="I4088"/>
      <c r="J4088"/>
      <c r="K4088" s="13" t="s">
        <v>302</v>
      </c>
      <c r="L4088" s="13" t="s">
        <v>446</v>
      </c>
      <c r="M4088" s="13" t="s">
        <v>371</v>
      </c>
      <c r="N4088" s="15">
        <v>6</v>
      </c>
      <c r="O4088" s="16">
        <v>0</v>
      </c>
      <c r="P4088" s="17">
        <v>0</v>
      </c>
      <c r="Q4088" s="17">
        <v>0</v>
      </c>
      <c r="R4088" s="13"/>
      <c r="S4088" s="13"/>
      <c r="T4088" s="13"/>
      <c r="U4088" s="13"/>
      <c r="V4088" s="13"/>
      <c r="W4088" s="13"/>
    </row>
    <row r="4089" spans="1:23" x14ac:dyDescent="0.2">
      <c r="A4089"/>
      <c r="B4089"/>
      <c r="C4089"/>
      <c r="D4089"/>
      <c r="E4089"/>
      <c r="F4089"/>
      <c r="G4089"/>
      <c r="H4089"/>
      <c r="I4089"/>
      <c r="J4089"/>
      <c r="K4089" s="13" t="s">
        <v>302</v>
      </c>
      <c r="L4089" s="13" t="s">
        <v>424</v>
      </c>
      <c r="M4089" s="13" t="s">
        <v>468</v>
      </c>
      <c r="N4089" s="15">
        <v>0</v>
      </c>
      <c r="O4089" s="16">
        <v>0</v>
      </c>
      <c r="P4089" s="17">
        <v>22.240449996630613</v>
      </c>
      <c r="Q4089" s="17">
        <v>0</v>
      </c>
      <c r="R4089" s="13"/>
      <c r="S4089" s="13"/>
      <c r="T4089" s="13"/>
      <c r="U4089" s="13"/>
      <c r="V4089" s="13"/>
      <c r="W4089" s="13"/>
    </row>
    <row r="4090" spans="1:23" x14ac:dyDescent="0.2">
      <c r="A4090"/>
      <c r="B4090"/>
      <c r="C4090"/>
      <c r="D4090"/>
      <c r="E4090"/>
      <c r="F4090"/>
      <c r="G4090"/>
      <c r="H4090"/>
      <c r="I4090"/>
      <c r="J4090"/>
      <c r="K4090" s="13" t="s">
        <v>302</v>
      </c>
      <c r="L4090" s="13" t="s">
        <v>614</v>
      </c>
      <c r="M4090" s="13" t="s">
        <v>447</v>
      </c>
      <c r="N4090" s="15">
        <v>1</v>
      </c>
      <c r="O4090" s="16">
        <v>0</v>
      </c>
      <c r="P4090" s="17">
        <v>0</v>
      </c>
      <c r="Q4090" s="17">
        <v>0</v>
      </c>
      <c r="R4090" s="13"/>
      <c r="S4090" s="13"/>
      <c r="T4090" s="13"/>
      <c r="U4090" s="13"/>
      <c r="V4090" s="13"/>
      <c r="W4090" s="13"/>
    </row>
    <row r="4091" spans="1:23" x14ac:dyDescent="0.2">
      <c r="A4091"/>
      <c r="B4091"/>
      <c r="C4091"/>
      <c r="D4091"/>
      <c r="E4091"/>
      <c r="F4091"/>
      <c r="G4091"/>
      <c r="H4091"/>
      <c r="I4091"/>
      <c r="J4091"/>
      <c r="K4091" s="13" t="s">
        <v>594</v>
      </c>
      <c r="L4091" s="13" t="s">
        <v>435</v>
      </c>
      <c r="M4091" s="13" t="s">
        <v>364</v>
      </c>
      <c r="N4091" s="15">
        <v>0</v>
      </c>
      <c r="O4091" s="16">
        <v>0</v>
      </c>
      <c r="P4091" s="17">
        <v>79608.714287758325</v>
      </c>
      <c r="Q4091" s="17">
        <v>0</v>
      </c>
      <c r="R4091" s="13"/>
      <c r="S4091" s="13"/>
      <c r="T4091" s="13"/>
      <c r="U4091" s="13"/>
      <c r="V4091" s="13"/>
      <c r="W4091" s="13"/>
    </row>
    <row r="4092" spans="1:23" x14ac:dyDescent="0.2">
      <c r="A4092"/>
      <c r="B4092"/>
      <c r="C4092"/>
      <c r="D4092"/>
      <c r="E4092"/>
      <c r="F4092"/>
      <c r="G4092"/>
      <c r="H4092"/>
      <c r="I4092"/>
      <c r="J4092"/>
      <c r="K4092" s="13" t="s">
        <v>594</v>
      </c>
      <c r="L4092" s="13" t="s">
        <v>481</v>
      </c>
      <c r="M4092" s="13" t="s">
        <v>374</v>
      </c>
      <c r="N4092" s="15">
        <v>0</v>
      </c>
      <c r="O4092" s="16">
        <v>0</v>
      </c>
      <c r="P4092" s="17">
        <v>9.7537500038091096</v>
      </c>
      <c r="Q4092" s="17">
        <v>0</v>
      </c>
      <c r="R4092" s="13"/>
      <c r="S4092" s="13"/>
      <c r="T4092" s="13"/>
      <c r="U4092" s="13"/>
      <c r="V4092" s="13"/>
      <c r="W4092" s="13"/>
    </row>
    <row r="4093" spans="1:23" x14ac:dyDescent="0.2">
      <c r="A4093"/>
      <c r="B4093"/>
      <c r="C4093"/>
      <c r="D4093"/>
      <c r="E4093"/>
      <c r="F4093"/>
      <c r="G4093"/>
      <c r="H4093"/>
      <c r="I4093"/>
      <c r="J4093"/>
      <c r="K4093" s="13" t="s">
        <v>594</v>
      </c>
      <c r="L4093" s="13" t="s">
        <v>387</v>
      </c>
      <c r="M4093" s="13" t="s">
        <v>386</v>
      </c>
      <c r="N4093" s="15">
        <v>0</v>
      </c>
      <c r="O4093" s="16">
        <v>0</v>
      </c>
      <c r="P4093" s="17">
        <v>2569.4679998887477</v>
      </c>
      <c r="Q4093" s="17">
        <v>0</v>
      </c>
      <c r="R4093" s="13"/>
      <c r="S4093" s="13"/>
      <c r="T4093" s="13"/>
      <c r="U4093" s="13"/>
      <c r="V4093" s="13"/>
      <c r="W4093" s="13"/>
    </row>
    <row r="4094" spans="1:23" x14ac:dyDescent="0.2">
      <c r="A4094"/>
      <c r="B4094"/>
      <c r="C4094"/>
      <c r="D4094"/>
      <c r="E4094"/>
      <c r="F4094"/>
      <c r="G4094"/>
      <c r="H4094"/>
      <c r="I4094"/>
      <c r="J4094"/>
      <c r="K4094" s="13" t="s">
        <v>594</v>
      </c>
      <c r="L4094" s="13" t="s">
        <v>389</v>
      </c>
      <c r="M4094" s="13" t="s">
        <v>388</v>
      </c>
      <c r="N4094" s="15">
        <v>0</v>
      </c>
      <c r="O4094" s="16">
        <v>0</v>
      </c>
      <c r="P4094" s="17">
        <v>852.66392447886278</v>
      </c>
      <c r="Q4094" s="17">
        <v>0</v>
      </c>
      <c r="R4094" s="13"/>
      <c r="S4094" s="13"/>
      <c r="T4094" s="13"/>
      <c r="U4094" s="13"/>
      <c r="V4094" s="13"/>
      <c r="W4094" s="13"/>
    </row>
    <row r="4095" spans="1:23" x14ac:dyDescent="0.2">
      <c r="A4095"/>
      <c r="B4095"/>
      <c r="C4095"/>
      <c r="D4095"/>
      <c r="E4095"/>
      <c r="F4095"/>
      <c r="G4095"/>
      <c r="H4095"/>
      <c r="I4095"/>
      <c r="J4095"/>
      <c r="K4095" s="13" t="s">
        <v>594</v>
      </c>
      <c r="L4095" s="13" t="s">
        <v>542</v>
      </c>
      <c r="M4095" s="13" t="s">
        <v>390</v>
      </c>
      <c r="N4095" s="15">
        <v>0</v>
      </c>
      <c r="O4095" s="16">
        <v>0</v>
      </c>
      <c r="P4095" s="17">
        <v>2179.750249906775</v>
      </c>
      <c r="Q4095" s="17">
        <v>0</v>
      </c>
      <c r="R4095" s="13"/>
      <c r="S4095" s="13"/>
      <c r="T4095" s="13"/>
      <c r="U4095" s="13"/>
      <c r="V4095" s="13"/>
      <c r="W4095" s="13"/>
    </row>
    <row r="4096" spans="1:23" x14ac:dyDescent="0.2">
      <c r="A4096"/>
      <c r="B4096"/>
      <c r="C4096"/>
      <c r="D4096"/>
      <c r="E4096"/>
      <c r="F4096"/>
      <c r="G4096"/>
      <c r="H4096"/>
      <c r="I4096"/>
      <c r="J4096"/>
      <c r="K4096" s="13" t="s">
        <v>594</v>
      </c>
      <c r="L4096" s="13" t="s">
        <v>391</v>
      </c>
      <c r="M4096" s="13" t="s">
        <v>358</v>
      </c>
      <c r="N4096" s="15">
        <v>0</v>
      </c>
      <c r="O4096" s="16">
        <v>0</v>
      </c>
      <c r="P4096" s="17">
        <v>299.24024999274604</v>
      </c>
      <c r="Q4096" s="17">
        <v>0</v>
      </c>
      <c r="R4096" s="13"/>
      <c r="S4096" s="13"/>
      <c r="T4096" s="13"/>
      <c r="U4096" s="13"/>
      <c r="V4096" s="13"/>
      <c r="W4096" s="13"/>
    </row>
    <row r="4097" spans="1:23" x14ac:dyDescent="0.2">
      <c r="A4097"/>
      <c r="B4097"/>
      <c r="C4097"/>
      <c r="D4097"/>
      <c r="E4097"/>
      <c r="F4097"/>
      <c r="G4097"/>
      <c r="H4097"/>
      <c r="I4097"/>
      <c r="J4097"/>
      <c r="K4097" s="13" t="s">
        <v>594</v>
      </c>
      <c r="L4097" s="13" t="s">
        <v>436</v>
      </c>
      <c r="M4097" s="13" t="s">
        <v>487</v>
      </c>
      <c r="N4097" s="15">
        <v>0</v>
      </c>
      <c r="O4097" s="16">
        <v>0</v>
      </c>
      <c r="P4097" s="17">
        <v>136.41814999709607</v>
      </c>
      <c r="Q4097" s="17">
        <v>0</v>
      </c>
      <c r="R4097" s="13"/>
      <c r="S4097" s="13"/>
      <c r="T4097" s="13"/>
      <c r="U4097" s="13"/>
      <c r="V4097" s="13"/>
      <c r="W4097" s="13"/>
    </row>
    <row r="4098" spans="1:23" x14ac:dyDescent="0.2">
      <c r="A4098"/>
      <c r="B4098"/>
      <c r="C4098"/>
      <c r="D4098"/>
      <c r="E4098"/>
      <c r="F4098"/>
      <c r="G4098"/>
      <c r="H4098"/>
      <c r="I4098"/>
      <c r="J4098"/>
      <c r="K4098" s="13" t="s">
        <v>594</v>
      </c>
      <c r="L4098" s="13" t="s">
        <v>460</v>
      </c>
      <c r="M4098" s="13" t="s">
        <v>393</v>
      </c>
      <c r="N4098" s="15">
        <v>0</v>
      </c>
      <c r="O4098" s="16">
        <v>0</v>
      </c>
      <c r="P4098" s="17">
        <v>35.136699995292425</v>
      </c>
      <c r="Q4098" s="17">
        <v>0</v>
      </c>
      <c r="R4098" s="13"/>
      <c r="S4098" s="13"/>
      <c r="T4098" s="13"/>
      <c r="U4098" s="13"/>
      <c r="V4098" s="13"/>
      <c r="W4098" s="13"/>
    </row>
    <row r="4099" spans="1:23" x14ac:dyDescent="0.2">
      <c r="A4099"/>
      <c r="B4099"/>
      <c r="C4099"/>
      <c r="D4099"/>
      <c r="E4099"/>
      <c r="F4099"/>
      <c r="G4099"/>
      <c r="H4099"/>
      <c r="I4099"/>
      <c r="J4099"/>
      <c r="K4099" s="13" t="s">
        <v>594</v>
      </c>
      <c r="L4099" s="13" t="s">
        <v>538</v>
      </c>
      <c r="M4099" s="13" t="s">
        <v>539</v>
      </c>
      <c r="N4099" s="15">
        <v>34</v>
      </c>
      <c r="O4099" s="16">
        <v>0</v>
      </c>
      <c r="P4099" s="17">
        <v>0</v>
      </c>
      <c r="Q4099" s="17">
        <v>0</v>
      </c>
      <c r="R4099" s="13"/>
      <c r="S4099" s="13"/>
      <c r="T4099" s="13"/>
      <c r="U4099" s="13"/>
      <c r="V4099" s="13"/>
      <c r="W4099" s="13"/>
    </row>
    <row r="4100" spans="1:23" x14ac:dyDescent="0.2">
      <c r="A4100"/>
      <c r="B4100"/>
      <c r="C4100"/>
      <c r="D4100"/>
      <c r="E4100"/>
      <c r="F4100"/>
      <c r="G4100"/>
      <c r="H4100"/>
      <c r="I4100"/>
      <c r="J4100"/>
      <c r="K4100" s="13" t="s">
        <v>594</v>
      </c>
      <c r="L4100" s="13" t="s">
        <v>440</v>
      </c>
      <c r="M4100" s="13" t="s">
        <v>441</v>
      </c>
      <c r="N4100" s="15">
        <v>9</v>
      </c>
      <c r="O4100" s="16">
        <v>0</v>
      </c>
      <c r="P4100" s="17">
        <v>0</v>
      </c>
      <c r="Q4100" s="17">
        <v>0</v>
      </c>
      <c r="R4100" s="13"/>
      <c r="S4100" s="13"/>
      <c r="T4100" s="13"/>
      <c r="U4100" s="13"/>
      <c r="V4100" s="13"/>
      <c r="W4100" s="13"/>
    </row>
    <row r="4101" spans="1:23" x14ac:dyDescent="0.2">
      <c r="A4101"/>
      <c r="B4101"/>
      <c r="C4101"/>
      <c r="D4101"/>
      <c r="E4101"/>
      <c r="F4101"/>
      <c r="G4101"/>
      <c r="H4101"/>
      <c r="I4101"/>
      <c r="J4101"/>
      <c r="K4101" s="13" t="s">
        <v>594</v>
      </c>
      <c r="L4101" s="13" t="s">
        <v>394</v>
      </c>
      <c r="M4101" s="13" t="s">
        <v>359</v>
      </c>
      <c r="N4101" s="15">
        <v>0</v>
      </c>
      <c r="O4101" s="16">
        <v>0</v>
      </c>
      <c r="P4101" s="17">
        <v>558.28799995840473</v>
      </c>
      <c r="Q4101" s="17">
        <v>0</v>
      </c>
      <c r="R4101" s="13"/>
      <c r="S4101" s="13"/>
      <c r="T4101" s="13"/>
      <c r="U4101" s="13"/>
      <c r="V4101" s="13"/>
      <c r="W4101" s="13"/>
    </row>
    <row r="4102" spans="1:23" x14ac:dyDescent="0.2">
      <c r="A4102"/>
      <c r="B4102"/>
      <c r="C4102"/>
      <c r="D4102"/>
      <c r="E4102"/>
      <c r="F4102"/>
      <c r="G4102"/>
      <c r="H4102"/>
      <c r="I4102"/>
      <c r="J4102"/>
      <c r="K4102" s="13" t="s">
        <v>594</v>
      </c>
      <c r="L4102" s="13" t="s">
        <v>395</v>
      </c>
      <c r="M4102" s="13" t="s">
        <v>602</v>
      </c>
      <c r="N4102" s="15">
        <v>4</v>
      </c>
      <c r="O4102" s="16">
        <v>0</v>
      </c>
      <c r="P4102" s="17">
        <v>0</v>
      </c>
      <c r="Q4102" s="17">
        <v>0</v>
      </c>
      <c r="R4102" s="13"/>
      <c r="S4102" s="13"/>
      <c r="T4102" s="13"/>
      <c r="U4102" s="13"/>
      <c r="V4102" s="13"/>
      <c r="W4102" s="13"/>
    </row>
    <row r="4103" spans="1:23" x14ac:dyDescent="0.2">
      <c r="A4103"/>
      <c r="B4103"/>
      <c r="C4103"/>
      <c r="D4103"/>
      <c r="E4103"/>
      <c r="F4103"/>
      <c r="G4103"/>
      <c r="H4103"/>
      <c r="I4103"/>
      <c r="J4103"/>
      <c r="K4103" s="13" t="s">
        <v>594</v>
      </c>
      <c r="L4103" s="13" t="s">
        <v>397</v>
      </c>
      <c r="M4103" s="13" t="s">
        <v>398</v>
      </c>
      <c r="N4103" s="15">
        <v>0</v>
      </c>
      <c r="O4103" s="16">
        <v>0</v>
      </c>
      <c r="P4103" s="17">
        <v>2092.7282261780088</v>
      </c>
      <c r="Q4103" s="17">
        <v>0</v>
      </c>
      <c r="R4103" s="13"/>
      <c r="S4103" s="13"/>
      <c r="T4103" s="13"/>
      <c r="U4103" s="13"/>
      <c r="V4103" s="13"/>
      <c r="W4103" s="13"/>
    </row>
    <row r="4104" spans="1:23" x14ac:dyDescent="0.2">
      <c r="A4104"/>
      <c r="B4104"/>
      <c r="C4104"/>
      <c r="D4104"/>
      <c r="E4104"/>
      <c r="F4104"/>
      <c r="G4104"/>
      <c r="H4104"/>
      <c r="I4104"/>
      <c r="J4104"/>
      <c r="K4104" s="13" t="s">
        <v>594</v>
      </c>
      <c r="L4104" s="13" t="s">
        <v>399</v>
      </c>
      <c r="M4104" s="13" t="s">
        <v>400</v>
      </c>
      <c r="N4104" s="15">
        <v>0</v>
      </c>
      <c r="O4104" s="16">
        <v>0</v>
      </c>
      <c r="P4104" s="17">
        <v>648.26619997371972</v>
      </c>
      <c r="Q4104" s="17">
        <v>0</v>
      </c>
      <c r="R4104" s="13"/>
      <c r="S4104" s="13"/>
      <c r="T4104" s="13"/>
      <c r="U4104" s="13"/>
      <c r="V4104" s="13"/>
      <c r="W4104" s="13"/>
    </row>
    <row r="4105" spans="1:23" x14ac:dyDescent="0.2">
      <c r="A4105"/>
      <c r="B4105"/>
      <c r="C4105"/>
      <c r="D4105"/>
      <c r="E4105"/>
      <c r="F4105"/>
      <c r="G4105"/>
      <c r="H4105"/>
      <c r="I4105"/>
      <c r="J4105"/>
      <c r="K4105" s="13" t="s">
        <v>594</v>
      </c>
      <c r="L4105" s="13" t="s">
        <v>401</v>
      </c>
      <c r="M4105" s="13" t="s">
        <v>360</v>
      </c>
      <c r="N4105" s="15">
        <v>0</v>
      </c>
      <c r="O4105" s="16">
        <v>0</v>
      </c>
      <c r="P4105" s="17">
        <v>42688.880482553963</v>
      </c>
      <c r="Q4105" s="17">
        <v>0</v>
      </c>
      <c r="R4105" s="13"/>
      <c r="S4105" s="13"/>
      <c r="T4105" s="13"/>
      <c r="U4105" s="13"/>
      <c r="V4105" s="13"/>
      <c r="W4105" s="13"/>
    </row>
    <row r="4106" spans="1:23" x14ac:dyDescent="0.2">
      <c r="A4106"/>
      <c r="B4106"/>
      <c r="C4106"/>
      <c r="D4106"/>
      <c r="E4106"/>
      <c r="F4106"/>
      <c r="G4106"/>
      <c r="H4106"/>
      <c r="I4106"/>
      <c r="J4106"/>
      <c r="K4106" s="13" t="s">
        <v>594</v>
      </c>
      <c r="L4106" s="13" t="s">
        <v>511</v>
      </c>
      <c r="M4106" s="13" t="s">
        <v>377</v>
      </c>
      <c r="N4106" s="15">
        <v>0</v>
      </c>
      <c r="O4106" s="16">
        <v>0</v>
      </c>
      <c r="P4106" s="17">
        <v>428.01120001145011</v>
      </c>
      <c r="Q4106" s="17">
        <v>0</v>
      </c>
      <c r="R4106" s="13"/>
      <c r="S4106" s="13"/>
      <c r="T4106" s="13"/>
      <c r="U4106" s="13"/>
      <c r="V4106" s="13"/>
      <c r="W4106" s="13"/>
    </row>
    <row r="4107" spans="1:23" x14ac:dyDescent="0.2">
      <c r="A4107"/>
      <c r="B4107"/>
      <c r="C4107"/>
      <c r="D4107"/>
      <c r="E4107"/>
      <c r="F4107"/>
      <c r="G4107"/>
      <c r="H4107"/>
      <c r="I4107"/>
      <c r="J4107"/>
      <c r="K4107" s="13" t="s">
        <v>594</v>
      </c>
      <c r="L4107" s="13" t="s">
        <v>402</v>
      </c>
      <c r="M4107" s="13" t="s">
        <v>403</v>
      </c>
      <c r="N4107" s="15">
        <v>0</v>
      </c>
      <c r="O4107" s="16">
        <v>0</v>
      </c>
      <c r="P4107" s="17">
        <v>94575.366476542651</v>
      </c>
      <c r="Q4107" s="17">
        <v>0</v>
      </c>
      <c r="R4107" s="13"/>
      <c r="S4107" s="13"/>
      <c r="T4107" s="13"/>
      <c r="U4107" s="13"/>
      <c r="V4107" s="13"/>
      <c r="W4107" s="13"/>
    </row>
    <row r="4108" spans="1:23" x14ac:dyDescent="0.2">
      <c r="A4108"/>
      <c r="B4108"/>
      <c r="C4108"/>
      <c r="D4108"/>
      <c r="E4108"/>
      <c r="F4108"/>
      <c r="G4108"/>
      <c r="H4108"/>
      <c r="I4108"/>
      <c r="J4108"/>
      <c r="K4108" s="13" t="s">
        <v>594</v>
      </c>
      <c r="L4108" s="13" t="s">
        <v>448</v>
      </c>
      <c r="M4108" s="13" t="s">
        <v>366</v>
      </c>
      <c r="N4108" s="15">
        <v>0</v>
      </c>
      <c r="O4108" s="16">
        <v>0</v>
      </c>
      <c r="P4108" s="17">
        <v>57510.188623302573</v>
      </c>
      <c r="Q4108" s="17">
        <v>0</v>
      </c>
      <c r="R4108" s="13"/>
      <c r="S4108" s="13"/>
      <c r="T4108" s="13"/>
      <c r="U4108" s="13"/>
      <c r="V4108" s="13"/>
      <c r="W4108" s="13"/>
    </row>
    <row r="4109" spans="1:23" x14ac:dyDescent="0.2">
      <c r="A4109"/>
      <c r="B4109"/>
      <c r="C4109"/>
      <c r="D4109"/>
      <c r="E4109"/>
      <c r="F4109"/>
      <c r="G4109"/>
      <c r="H4109"/>
      <c r="I4109"/>
      <c r="J4109"/>
      <c r="K4109" s="13" t="s">
        <v>594</v>
      </c>
      <c r="L4109" s="13" t="s">
        <v>488</v>
      </c>
      <c r="M4109" s="13" t="s">
        <v>489</v>
      </c>
      <c r="N4109" s="15">
        <v>0</v>
      </c>
      <c r="O4109" s="16">
        <v>0</v>
      </c>
      <c r="P4109" s="17">
        <v>1129.6682354393376</v>
      </c>
      <c r="Q4109" s="17">
        <v>0</v>
      </c>
      <c r="R4109" s="13"/>
      <c r="S4109" s="13"/>
      <c r="T4109" s="13"/>
      <c r="U4109" s="13"/>
      <c r="V4109" s="13"/>
      <c r="W4109" s="13"/>
    </row>
    <row r="4110" spans="1:23" x14ac:dyDescent="0.2">
      <c r="A4110"/>
      <c r="B4110"/>
      <c r="C4110"/>
      <c r="D4110"/>
      <c r="E4110"/>
      <c r="F4110"/>
      <c r="G4110"/>
      <c r="H4110"/>
      <c r="I4110"/>
      <c r="J4110"/>
      <c r="K4110" s="13" t="s">
        <v>594</v>
      </c>
      <c r="L4110" s="13" t="s">
        <v>462</v>
      </c>
      <c r="M4110" s="13" t="s">
        <v>370</v>
      </c>
      <c r="N4110" s="15">
        <v>0</v>
      </c>
      <c r="O4110" s="16">
        <v>0</v>
      </c>
      <c r="P4110" s="17">
        <v>4103.8176999990073</v>
      </c>
      <c r="Q4110" s="17">
        <v>0</v>
      </c>
      <c r="R4110" s="13"/>
      <c r="S4110" s="13"/>
      <c r="T4110" s="13"/>
      <c r="U4110" s="13"/>
      <c r="V4110" s="13"/>
      <c r="W4110" s="13"/>
    </row>
    <row r="4111" spans="1:23" x14ac:dyDescent="0.2">
      <c r="A4111"/>
      <c r="B4111"/>
      <c r="C4111"/>
      <c r="D4111"/>
      <c r="E4111"/>
      <c r="F4111"/>
      <c r="G4111"/>
      <c r="H4111"/>
      <c r="I4111"/>
      <c r="J4111"/>
      <c r="K4111" s="13" t="s">
        <v>594</v>
      </c>
      <c r="L4111" s="13" t="s">
        <v>456</v>
      </c>
      <c r="M4111" s="13" t="s">
        <v>457</v>
      </c>
      <c r="N4111" s="15">
        <v>0</v>
      </c>
      <c r="O4111" s="16">
        <v>0</v>
      </c>
      <c r="P4111" s="17">
        <v>15031.954723497567</v>
      </c>
      <c r="Q4111" s="17">
        <v>0</v>
      </c>
      <c r="R4111" s="13"/>
      <c r="S4111" s="13"/>
      <c r="T4111" s="13"/>
      <c r="U4111" s="13"/>
      <c r="V4111" s="13"/>
      <c r="W4111" s="13"/>
    </row>
    <row r="4112" spans="1:23" x14ac:dyDescent="0.2">
      <c r="A4112"/>
      <c r="B4112"/>
      <c r="C4112"/>
      <c r="D4112"/>
      <c r="E4112"/>
      <c r="F4112"/>
      <c r="G4112"/>
      <c r="H4112"/>
      <c r="I4112"/>
      <c r="J4112"/>
      <c r="K4112" s="13" t="s">
        <v>594</v>
      </c>
      <c r="L4112" s="13" t="s">
        <v>404</v>
      </c>
      <c r="M4112" s="13" t="s">
        <v>405</v>
      </c>
      <c r="N4112" s="15">
        <v>0</v>
      </c>
      <c r="O4112" s="16">
        <v>0</v>
      </c>
      <c r="P4112" s="17">
        <v>220.23479999017064</v>
      </c>
      <c r="Q4112" s="17">
        <v>351.95197836179108</v>
      </c>
      <c r="R4112" s="13"/>
      <c r="S4112" s="13"/>
      <c r="T4112" s="13"/>
      <c r="U4112" s="13"/>
      <c r="V4112" s="13"/>
      <c r="W4112" s="13"/>
    </row>
    <row r="4113" spans="1:23" x14ac:dyDescent="0.2">
      <c r="A4113"/>
      <c r="B4113"/>
      <c r="C4113"/>
      <c r="D4113"/>
      <c r="E4113"/>
      <c r="F4113"/>
      <c r="G4113"/>
      <c r="H4113"/>
      <c r="I4113"/>
      <c r="J4113"/>
      <c r="K4113" s="13" t="s">
        <v>594</v>
      </c>
      <c r="L4113" s="13" t="s">
        <v>629</v>
      </c>
      <c r="M4113" s="13" t="s">
        <v>630</v>
      </c>
      <c r="N4113" s="15">
        <v>0</v>
      </c>
      <c r="O4113" s="16">
        <v>0</v>
      </c>
      <c r="P4113" s="17">
        <v>3207.8593976222251</v>
      </c>
      <c r="Q4113" s="17">
        <v>6779.2057479117075</v>
      </c>
      <c r="R4113" s="13"/>
      <c r="S4113" s="13"/>
      <c r="T4113" s="13"/>
      <c r="U4113" s="13"/>
      <c r="V4113" s="13"/>
      <c r="W4113" s="13"/>
    </row>
    <row r="4114" spans="1:23" x14ac:dyDescent="0.2">
      <c r="A4114"/>
      <c r="B4114"/>
      <c r="C4114"/>
      <c r="D4114"/>
      <c r="E4114"/>
      <c r="F4114"/>
      <c r="G4114"/>
      <c r="H4114"/>
      <c r="I4114"/>
      <c r="J4114"/>
      <c r="K4114" s="13" t="s">
        <v>594</v>
      </c>
      <c r="L4114" s="13" t="s">
        <v>463</v>
      </c>
      <c r="M4114" s="13" t="s">
        <v>372</v>
      </c>
      <c r="N4114" s="15">
        <v>0</v>
      </c>
      <c r="O4114" s="16">
        <v>0</v>
      </c>
      <c r="P4114" s="17">
        <v>232419.32073921082</v>
      </c>
      <c r="Q4114" s="17">
        <v>0</v>
      </c>
      <c r="R4114" s="13"/>
      <c r="S4114" s="13"/>
      <c r="T4114" s="13"/>
      <c r="U4114" s="13"/>
      <c r="V4114" s="13"/>
      <c r="W4114" s="13"/>
    </row>
    <row r="4115" spans="1:23" x14ac:dyDescent="0.2">
      <c r="A4115"/>
      <c r="B4115"/>
      <c r="C4115"/>
      <c r="D4115"/>
      <c r="E4115"/>
      <c r="F4115"/>
      <c r="G4115"/>
      <c r="H4115"/>
      <c r="I4115"/>
      <c r="J4115"/>
      <c r="K4115" s="13" t="s">
        <v>594</v>
      </c>
      <c r="L4115" s="13" t="s">
        <v>381</v>
      </c>
      <c r="M4115" s="13" t="s">
        <v>382</v>
      </c>
      <c r="N4115" s="15">
        <v>297</v>
      </c>
      <c r="O4115" s="16">
        <v>0</v>
      </c>
      <c r="P4115" s="17">
        <v>0</v>
      </c>
      <c r="Q4115" s="17">
        <v>0</v>
      </c>
      <c r="R4115" s="13"/>
      <c r="S4115" s="13"/>
      <c r="T4115" s="13"/>
      <c r="U4115" s="13"/>
      <c r="V4115" s="13"/>
      <c r="W4115" s="13"/>
    </row>
    <row r="4116" spans="1:23" x14ac:dyDescent="0.2">
      <c r="A4116"/>
      <c r="B4116"/>
      <c r="C4116"/>
      <c r="D4116"/>
      <c r="E4116"/>
      <c r="F4116"/>
      <c r="G4116"/>
      <c r="H4116"/>
      <c r="I4116"/>
      <c r="J4116"/>
      <c r="K4116" s="13" t="s">
        <v>594</v>
      </c>
      <c r="L4116" s="13" t="s">
        <v>407</v>
      </c>
      <c r="M4116" s="13" t="s">
        <v>408</v>
      </c>
      <c r="N4116" s="15">
        <v>1358</v>
      </c>
      <c r="O4116" s="16">
        <v>0</v>
      </c>
      <c r="P4116" s="17">
        <v>0</v>
      </c>
      <c r="Q4116" s="17">
        <v>0</v>
      </c>
      <c r="R4116" s="13"/>
      <c r="S4116" s="13"/>
      <c r="T4116" s="13"/>
      <c r="U4116" s="13"/>
      <c r="V4116" s="13"/>
      <c r="W4116" s="13"/>
    </row>
    <row r="4117" spans="1:23" x14ac:dyDescent="0.2">
      <c r="A4117"/>
      <c r="B4117"/>
      <c r="C4117"/>
      <c r="D4117"/>
      <c r="E4117"/>
      <c r="F4117"/>
      <c r="G4117"/>
      <c r="H4117"/>
      <c r="I4117"/>
      <c r="J4117"/>
      <c r="K4117" s="13" t="s">
        <v>594</v>
      </c>
      <c r="L4117" s="13" t="s">
        <v>471</v>
      </c>
      <c r="M4117" s="13" t="s">
        <v>472</v>
      </c>
      <c r="N4117" s="15">
        <v>0</v>
      </c>
      <c r="O4117" s="16">
        <v>0</v>
      </c>
      <c r="P4117" s="17">
        <v>4148.3227998822867</v>
      </c>
      <c r="Q4117" s="17">
        <v>0</v>
      </c>
      <c r="R4117" s="13"/>
      <c r="S4117" s="13"/>
      <c r="T4117" s="13"/>
      <c r="U4117" s="13"/>
      <c r="V4117" s="13"/>
      <c r="W4117" s="13"/>
    </row>
    <row r="4118" spans="1:23" x14ac:dyDescent="0.2">
      <c r="A4118"/>
      <c r="B4118"/>
      <c r="C4118"/>
      <c r="D4118"/>
      <c r="E4118"/>
      <c r="F4118"/>
      <c r="G4118"/>
      <c r="H4118"/>
      <c r="I4118"/>
      <c r="J4118"/>
      <c r="K4118" s="13" t="s">
        <v>594</v>
      </c>
      <c r="L4118" s="13" t="s">
        <v>411</v>
      </c>
      <c r="M4118" s="13" t="s">
        <v>362</v>
      </c>
      <c r="N4118" s="15">
        <v>1</v>
      </c>
      <c r="O4118" s="16">
        <v>0</v>
      </c>
      <c r="P4118" s="17">
        <v>0</v>
      </c>
      <c r="Q4118" s="17">
        <v>0</v>
      </c>
      <c r="R4118" s="13"/>
      <c r="S4118" s="13"/>
      <c r="T4118" s="13"/>
      <c r="U4118" s="13"/>
      <c r="V4118" s="13"/>
      <c r="W4118" s="13"/>
    </row>
    <row r="4119" spans="1:23" x14ac:dyDescent="0.2">
      <c r="A4119"/>
      <c r="B4119"/>
      <c r="C4119"/>
      <c r="D4119"/>
      <c r="E4119"/>
      <c r="F4119"/>
      <c r="G4119"/>
      <c r="H4119"/>
      <c r="I4119"/>
      <c r="J4119"/>
      <c r="K4119" s="13" t="s">
        <v>594</v>
      </c>
      <c r="L4119" s="13" t="s">
        <v>413</v>
      </c>
      <c r="M4119" s="13" t="s">
        <v>428</v>
      </c>
      <c r="N4119" s="15">
        <v>1</v>
      </c>
      <c r="O4119" s="16">
        <v>0</v>
      </c>
      <c r="P4119" s="17">
        <v>0</v>
      </c>
      <c r="Q4119" s="17">
        <v>0</v>
      </c>
      <c r="R4119" s="13"/>
      <c r="S4119" s="13"/>
      <c r="T4119" s="13"/>
      <c r="U4119" s="13"/>
      <c r="V4119" s="13"/>
      <c r="W4119" s="13"/>
    </row>
    <row r="4120" spans="1:23" x14ac:dyDescent="0.2">
      <c r="A4120"/>
      <c r="B4120"/>
      <c r="C4120"/>
      <c r="D4120"/>
      <c r="E4120"/>
      <c r="F4120"/>
      <c r="G4120"/>
      <c r="H4120"/>
      <c r="I4120"/>
      <c r="J4120"/>
      <c r="K4120" s="13" t="s">
        <v>594</v>
      </c>
      <c r="L4120" s="13" t="s">
        <v>475</v>
      </c>
      <c r="M4120" s="13" t="s">
        <v>470</v>
      </c>
      <c r="N4120" s="15">
        <v>1</v>
      </c>
      <c r="O4120" s="16">
        <v>0</v>
      </c>
      <c r="P4120" s="17">
        <v>0</v>
      </c>
      <c r="Q4120" s="17">
        <v>0</v>
      </c>
      <c r="R4120" s="13"/>
      <c r="S4120" s="13"/>
      <c r="T4120" s="13"/>
      <c r="U4120" s="13"/>
      <c r="V4120" s="13"/>
      <c r="W4120" s="13"/>
    </row>
    <row r="4121" spans="1:23" x14ac:dyDescent="0.2">
      <c r="A4121"/>
      <c r="B4121"/>
      <c r="C4121"/>
      <c r="D4121"/>
      <c r="E4121"/>
      <c r="F4121"/>
      <c r="G4121"/>
      <c r="H4121"/>
      <c r="I4121"/>
      <c r="J4121"/>
      <c r="K4121" s="13" t="s">
        <v>594</v>
      </c>
      <c r="L4121" s="13" t="s">
        <v>606</v>
      </c>
      <c r="M4121" s="13" t="s">
        <v>430</v>
      </c>
      <c r="N4121" s="15">
        <v>26</v>
      </c>
      <c r="O4121" s="16">
        <v>0</v>
      </c>
      <c r="P4121" s="17">
        <v>0</v>
      </c>
      <c r="Q4121" s="17">
        <v>0</v>
      </c>
      <c r="R4121" s="13"/>
      <c r="S4121" s="13"/>
      <c r="T4121" s="13"/>
      <c r="U4121" s="13"/>
      <c r="V4121" s="13"/>
      <c r="W4121" s="13"/>
    </row>
    <row r="4122" spans="1:23" x14ac:dyDescent="0.2">
      <c r="A4122"/>
      <c r="B4122"/>
      <c r="C4122"/>
      <c r="D4122"/>
      <c r="E4122"/>
      <c r="F4122"/>
      <c r="G4122"/>
      <c r="H4122"/>
      <c r="I4122"/>
      <c r="J4122"/>
      <c r="K4122" s="13" t="s">
        <v>594</v>
      </c>
      <c r="L4122" s="13" t="s">
        <v>624</v>
      </c>
      <c r="M4122" s="13" t="s">
        <v>531</v>
      </c>
      <c r="N4122" s="15">
        <v>1</v>
      </c>
      <c r="O4122" s="16">
        <v>0</v>
      </c>
      <c r="P4122" s="17">
        <v>0</v>
      </c>
      <c r="Q4122" s="17">
        <v>0</v>
      </c>
      <c r="R4122" s="13"/>
      <c r="S4122" s="13"/>
      <c r="T4122" s="13"/>
      <c r="U4122" s="13"/>
      <c r="V4122" s="13"/>
      <c r="W4122" s="13"/>
    </row>
    <row r="4123" spans="1:23" x14ac:dyDescent="0.2">
      <c r="A4123"/>
      <c r="B4123"/>
      <c r="C4123"/>
      <c r="D4123"/>
      <c r="E4123"/>
      <c r="F4123"/>
      <c r="G4123"/>
      <c r="H4123"/>
      <c r="I4123"/>
      <c r="J4123"/>
      <c r="K4123" s="13" t="s">
        <v>594</v>
      </c>
      <c r="L4123" s="13" t="s">
        <v>607</v>
      </c>
      <c r="M4123" s="13" t="s">
        <v>431</v>
      </c>
      <c r="N4123" s="15">
        <v>2</v>
      </c>
      <c r="O4123" s="16">
        <v>0</v>
      </c>
      <c r="P4123" s="17">
        <v>0</v>
      </c>
      <c r="Q4123" s="17">
        <v>0</v>
      </c>
      <c r="R4123" s="13"/>
      <c r="S4123" s="13"/>
      <c r="T4123" s="13"/>
      <c r="U4123" s="13"/>
      <c r="V4123" s="13"/>
      <c r="W4123" s="13"/>
    </row>
    <row r="4124" spans="1:23" x14ac:dyDescent="0.2">
      <c r="K4124" s="13" t="s">
        <v>594</v>
      </c>
      <c r="L4124" s="13" t="s">
        <v>608</v>
      </c>
      <c r="M4124" s="13" t="s">
        <v>432</v>
      </c>
      <c r="N4124" s="15">
        <v>13</v>
      </c>
      <c r="O4124" s="16">
        <v>0</v>
      </c>
      <c r="P4124" s="17">
        <v>0</v>
      </c>
      <c r="Q4124" s="17">
        <v>0</v>
      </c>
      <c r="R4124" s="13"/>
      <c r="S4124" s="13"/>
      <c r="T4124" s="13"/>
      <c r="U4124" s="13"/>
      <c r="V4124" s="13"/>
      <c r="W4124" s="13"/>
    </row>
    <row r="4125" spans="1:23" x14ac:dyDescent="0.2">
      <c r="K4125" s="13" t="s">
        <v>594</v>
      </c>
      <c r="L4125" s="13" t="s">
        <v>415</v>
      </c>
      <c r="M4125" s="13" t="s">
        <v>412</v>
      </c>
      <c r="N4125" s="15">
        <v>0</v>
      </c>
      <c r="O4125" s="16">
        <v>0</v>
      </c>
      <c r="P4125" s="17">
        <v>3.0566000000122933</v>
      </c>
      <c r="Q4125" s="17">
        <v>0</v>
      </c>
      <c r="R4125" s="13"/>
      <c r="S4125" s="13"/>
      <c r="T4125" s="13"/>
      <c r="U4125" s="13"/>
      <c r="V4125" s="13"/>
      <c r="W4125" s="13"/>
    </row>
    <row r="4126" spans="1:23" x14ac:dyDescent="0.2">
      <c r="K4126" s="13" t="s">
        <v>594</v>
      </c>
      <c r="L4126" s="13" t="s">
        <v>609</v>
      </c>
      <c r="M4126" s="13" t="s">
        <v>416</v>
      </c>
      <c r="N4126" s="15">
        <v>0</v>
      </c>
      <c r="O4126" s="16">
        <v>19.602298335738169</v>
      </c>
      <c r="P4126" s="17">
        <v>0</v>
      </c>
      <c r="Q4126" s="17">
        <v>0</v>
      </c>
      <c r="R4126" s="13"/>
      <c r="S4126" s="13"/>
      <c r="T4126" s="13"/>
      <c r="U4126" s="13"/>
      <c r="V4126" s="13"/>
      <c r="W4126" s="13"/>
    </row>
    <row r="4127" spans="1:23" x14ac:dyDescent="0.2">
      <c r="K4127" s="13" t="s">
        <v>594</v>
      </c>
      <c r="L4127" s="13" t="s">
        <v>421</v>
      </c>
      <c r="M4127" s="13" t="s">
        <v>443</v>
      </c>
      <c r="N4127" s="15">
        <v>6</v>
      </c>
      <c r="O4127" s="16">
        <v>0</v>
      </c>
      <c r="P4127" s="17">
        <v>0</v>
      </c>
      <c r="Q4127" s="17">
        <v>0</v>
      </c>
      <c r="R4127" s="13"/>
      <c r="S4127" s="13"/>
      <c r="T4127" s="13"/>
      <c r="U4127" s="13"/>
      <c r="V4127" s="13"/>
      <c r="W4127" s="13"/>
    </row>
    <row r="4128" spans="1:23" x14ac:dyDescent="0.2">
      <c r="K4128" s="13" t="s">
        <v>594</v>
      </c>
      <c r="L4128" s="13" t="s">
        <v>614</v>
      </c>
      <c r="M4128" s="13" t="s">
        <v>447</v>
      </c>
      <c r="N4128" s="15">
        <v>3</v>
      </c>
      <c r="O4128" s="16">
        <v>0</v>
      </c>
      <c r="P4128" s="17">
        <v>0</v>
      </c>
      <c r="Q4128" s="17">
        <v>0</v>
      </c>
      <c r="R4128" s="13"/>
      <c r="S4128" s="13"/>
      <c r="T4128" s="13"/>
      <c r="U4128" s="13"/>
      <c r="V4128" s="13"/>
      <c r="W4128" s="13"/>
    </row>
    <row r="4129" spans="11:23" x14ac:dyDescent="0.2">
      <c r="K4129" s="13" t="s">
        <v>594</v>
      </c>
      <c r="L4129" s="13" t="s">
        <v>612</v>
      </c>
      <c r="M4129" s="13" t="s">
        <v>425</v>
      </c>
      <c r="N4129" s="15">
        <v>1</v>
      </c>
      <c r="O4129" s="16">
        <v>0</v>
      </c>
      <c r="P4129" s="17">
        <v>0</v>
      </c>
      <c r="Q4129" s="17">
        <v>0</v>
      </c>
      <c r="R4129" s="13"/>
      <c r="S4129" s="13"/>
      <c r="T4129" s="13"/>
      <c r="U4129" s="13"/>
      <c r="V4129" s="13"/>
      <c r="W4129" s="13"/>
    </row>
    <row r="4130" spans="11:23" x14ac:dyDescent="0.2">
      <c r="K4130" s="13" t="s">
        <v>594</v>
      </c>
      <c r="L4130" s="13" t="s">
        <v>502</v>
      </c>
      <c r="M4130" s="13" t="s">
        <v>367</v>
      </c>
      <c r="N4130" s="15">
        <v>87</v>
      </c>
      <c r="O4130" s="16">
        <v>0</v>
      </c>
      <c r="P4130" s="17">
        <v>0</v>
      </c>
      <c r="Q4130" s="17">
        <v>0</v>
      </c>
      <c r="R4130" s="13"/>
      <c r="S4130" s="13"/>
      <c r="T4130" s="13"/>
      <c r="U4130" s="13"/>
      <c r="V4130" s="13"/>
      <c r="W4130" s="13"/>
    </row>
    <row r="4131" spans="11:23" x14ac:dyDescent="0.2">
      <c r="K4131" s="13" t="s">
        <v>594</v>
      </c>
      <c r="L4131" s="13" t="s">
        <v>464</v>
      </c>
      <c r="M4131" s="13" t="s">
        <v>373</v>
      </c>
      <c r="N4131" s="15">
        <v>0</v>
      </c>
      <c r="O4131" s="16">
        <v>219.62490823429582</v>
      </c>
      <c r="P4131" s="17">
        <v>0</v>
      </c>
      <c r="Q4131" s="17">
        <v>0</v>
      </c>
      <c r="R4131" s="13"/>
      <c r="S4131" s="13"/>
      <c r="T4131" s="13"/>
      <c r="U4131" s="13"/>
      <c r="V4131" s="13"/>
      <c r="W4131" s="13"/>
    </row>
    <row r="4132" spans="11:23" x14ac:dyDescent="0.2">
      <c r="K4132" s="13" t="s">
        <v>595</v>
      </c>
      <c r="L4132" s="13" t="s">
        <v>389</v>
      </c>
      <c r="M4132" s="13" t="s">
        <v>388</v>
      </c>
      <c r="N4132" s="15">
        <v>0</v>
      </c>
      <c r="O4132" s="16">
        <v>0</v>
      </c>
      <c r="P4132" s="17">
        <v>113.61644999703701</v>
      </c>
      <c r="Q4132" s="17">
        <v>0</v>
      </c>
      <c r="R4132" s="13"/>
      <c r="S4132" s="13"/>
      <c r="T4132" s="13"/>
      <c r="U4132" s="13"/>
      <c r="V4132" s="13"/>
      <c r="W4132" s="13"/>
    </row>
    <row r="4133" spans="11:23" x14ac:dyDescent="0.2">
      <c r="K4133" s="13" t="s">
        <v>595</v>
      </c>
      <c r="L4133" s="13" t="s">
        <v>401</v>
      </c>
      <c r="M4133" s="13" t="s">
        <v>360</v>
      </c>
      <c r="N4133" s="15">
        <v>0</v>
      </c>
      <c r="O4133" s="16">
        <v>0</v>
      </c>
      <c r="P4133" s="17">
        <v>2764.5859499220842</v>
      </c>
      <c r="Q4133" s="17">
        <v>0</v>
      </c>
      <c r="R4133" s="13"/>
      <c r="S4133" s="13"/>
      <c r="T4133" s="13"/>
      <c r="U4133" s="13"/>
      <c r="V4133" s="13"/>
      <c r="W4133" s="13"/>
    </row>
    <row r="4134" spans="11:23" x14ac:dyDescent="0.2">
      <c r="K4134" s="13" t="s">
        <v>595</v>
      </c>
      <c r="L4134" s="13" t="s">
        <v>448</v>
      </c>
      <c r="M4134" s="13" t="s">
        <v>366</v>
      </c>
      <c r="N4134" s="15">
        <v>0</v>
      </c>
      <c r="O4134" s="16">
        <v>0</v>
      </c>
      <c r="P4134" s="17">
        <v>2836.6600999735492</v>
      </c>
      <c r="Q4134" s="17">
        <v>0</v>
      </c>
      <c r="R4134" s="13"/>
      <c r="S4134" s="13"/>
      <c r="T4134" s="13"/>
      <c r="U4134" s="13"/>
      <c r="V4134" s="13"/>
      <c r="W4134" s="13"/>
    </row>
    <row r="4135" spans="11:23" x14ac:dyDescent="0.2">
      <c r="K4135" s="13" t="s">
        <v>595</v>
      </c>
      <c r="L4135" s="13" t="s">
        <v>462</v>
      </c>
      <c r="M4135" s="13" t="s">
        <v>370</v>
      </c>
      <c r="N4135" s="15">
        <v>0</v>
      </c>
      <c r="O4135" s="16">
        <v>0</v>
      </c>
      <c r="P4135" s="17">
        <v>9562.0980498735807</v>
      </c>
      <c r="Q4135" s="17">
        <v>0</v>
      </c>
      <c r="R4135" s="13"/>
      <c r="S4135" s="13"/>
      <c r="T4135" s="13"/>
      <c r="U4135" s="13"/>
      <c r="V4135" s="13"/>
      <c r="W4135" s="13"/>
    </row>
    <row r="4136" spans="11:23" x14ac:dyDescent="0.2">
      <c r="K4136" s="13" t="s">
        <v>595</v>
      </c>
      <c r="L4136" s="13" t="s">
        <v>463</v>
      </c>
      <c r="M4136" s="13" t="s">
        <v>372</v>
      </c>
      <c r="N4136" s="15">
        <v>0</v>
      </c>
      <c r="O4136" s="16">
        <v>0</v>
      </c>
      <c r="P4136" s="17">
        <v>15276.960549766252</v>
      </c>
      <c r="Q4136" s="17">
        <v>0</v>
      </c>
      <c r="R4136" s="13"/>
      <c r="S4136" s="13"/>
      <c r="T4136" s="13"/>
      <c r="U4136" s="13"/>
      <c r="V4136" s="13"/>
      <c r="W4136" s="13"/>
    </row>
    <row r="4137" spans="11:23" x14ac:dyDescent="0.2">
      <c r="K4137" s="13" t="s">
        <v>595</v>
      </c>
      <c r="L4137" s="13" t="s">
        <v>381</v>
      </c>
      <c r="M4137" s="13" t="s">
        <v>382</v>
      </c>
      <c r="N4137" s="15">
        <v>34</v>
      </c>
      <c r="O4137" s="16">
        <v>0</v>
      </c>
      <c r="P4137" s="17">
        <v>0</v>
      </c>
      <c r="Q4137" s="17">
        <v>0</v>
      </c>
      <c r="R4137" s="13"/>
      <c r="S4137" s="13"/>
      <c r="T4137" s="13"/>
      <c r="U4137" s="13"/>
      <c r="V4137" s="13"/>
      <c r="W4137" s="13"/>
    </row>
    <row r="4138" spans="11:23" x14ac:dyDescent="0.2">
      <c r="K4138" s="13" t="s">
        <v>595</v>
      </c>
      <c r="L4138" s="13" t="s">
        <v>407</v>
      </c>
      <c r="M4138" s="13" t="s">
        <v>408</v>
      </c>
      <c r="N4138" s="15">
        <v>221</v>
      </c>
      <c r="O4138" s="16">
        <v>0</v>
      </c>
      <c r="P4138" s="17">
        <v>0</v>
      </c>
      <c r="Q4138" s="17">
        <v>0</v>
      </c>
      <c r="R4138" s="13"/>
      <c r="S4138" s="13"/>
      <c r="T4138" s="13"/>
      <c r="U4138" s="13"/>
      <c r="V4138" s="13"/>
      <c r="W4138" s="13"/>
    </row>
    <row r="4139" spans="11:23" x14ac:dyDescent="0.2">
      <c r="K4139" s="13" t="s">
        <v>595</v>
      </c>
      <c r="L4139" s="13" t="s">
        <v>502</v>
      </c>
      <c r="M4139" s="13" t="s">
        <v>367</v>
      </c>
      <c r="N4139" s="15">
        <v>10</v>
      </c>
      <c r="O4139" s="16">
        <v>0</v>
      </c>
      <c r="P4139" s="17">
        <v>0</v>
      </c>
      <c r="Q4139" s="17">
        <v>0</v>
      </c>
      <c r="R4139" s="13"/>
      <c r="S4139" s="13"/>
      <c r="T4139" s="13"/>
      <c r="U4139" s="13"/>
      <c r="V4139" s="13"/>
      <c r="W4139" s="13"/>
    </row>
    <row r="4140" spans="11:23" x14ac:dyDescent="0.2">
      <c r="K4140" s="13" t="s">
        <v>304</v>
      </c>
      <c r="L4140" s="13" t="s">
        <v>435</v>
      </c>
      <c r="M4140" s="13" t="s">
        <v>364</v>
      </c>
      <c r="N4140" s="15">
        <v>0</v>
      </c>
      <c r="O4140" s="16">
        <v>0</v>
      </c>
      <c r="P4140" s="17">
        <v>6.8343999994790874</v>
      </c>
      <c r="Q4140" s="17">
        <v>0</v>
      </c>
      <c r="R4140" s="13"/>
      <c r="S4140" s="13"/>
      <c r="T4140" s="13"/>
      <c r="U4140" s="13"/>
      <c r="V4140" s="13"/>
      <c r="W4140" s="13"/>
    </row>
    <row r="4141" spans="11:23" x14ac:dyDescent="0.2">
      <c r="K4141" s="13" t="s">
        <v>304</v>
      </c>
      <c r="L4141" s="13" t="s">
        <v>635</v>
      </c>
      <c r="M4141" s="13" t="s">
        <v>507</v>
      </c>
      <c r="N4141" s="15">
        <v>0</v>
      </c>
      <c r="O4141" s="16">
        <v>0</v>
      </c>
      <c r="P4141" s="17">
        <v>11.711050002903608</v>
      </c>
      <c r="Q4141" s="17">
        <v>0</v>
      </c>
      <c r="R4141" s="13"/>
      <c r="S4141" s="13"/>
      <c r="T4141" s="13"/>
      <c r="U4141" s="13"/>
      <c r="V4141" s="13"/>
      <c r="W4141" s="13"/>
    </row>
    <row r="4142" spans="11:23" x14ac:dyDescent="0.2">
      <c r="K4142" s="13" t="s">
        <v>304</v>
      </c>
      <c r="L4142" s="13" t="s">
        <v>387</v>
      </c>
      <c r="M4142" s="13" t="s">
        <v>386</v>
      </c>
      <c r="N4142" s="15">
        <v>0</v>
      </c>
      <c r="O4142" s="16">
        <v>0</v>
      </c>
      <c r="P4142" s="17">
        <v>385.15565000073178</v>
      </c>
      <c r="Q4142" s="17">
        <v>0</v>
      </c>
      <c r="R4142" s="13"/>
      <c r="S4142" s="13"/>
      <c r="T4142" s="13"/>
      <c r="U4142" s="13"/>
      <c r="V4142" s="13"/>
      <c r="W4142" s="13"/>
    </row>
    <row r="4143" spans="11:23" x14ac:dyDescent="0.2">
      <c r="K4143" s="13" t="s">
        <v>304</v>
      </c>
      <c r="L4143" s="13" t="s">
        <v>389</v>
      </c>
      <c r="M4143" s="13" t="s">
        <v>388</v>
      </c>
      <c r="N4143" s="15">
        <v>0</v>
      </c>
      <c r="O4143" s="16">
        <v>0</v>
      </c>
      <c r="P4143" s="17">
        <v>731.31484995687231</v>
      </c>
      <c r="Q4143" s="17">
        <v>0</v>
      </c>
      <c r="R4143" s="13"/>
      <c r="S4143" s="13"/>
      <c r="T4143" s="13"/>
      <c r="U4143" s="13"/>
      <c r="V4143" s="13"/>
      <c r="W4143" s="13"/>
    </row>
    <row r="4144" spans="11:23" x14ac:dyDescent="0.2">
      <c r="K4144" s="13" t="s">
        <v>304</v>
      </c>
      <c r="L4144" s="13" t="s">
        <v>542</v>
      </c>
      <c r="M4144" s="13" t="s">
        <v>390</v>
      </c>
      <c r="N4144" s="15">
        <v>0</v>
      </c>
      <c r="O4144" s="16">
        <v>0</v>
      </c>
      <c r="P4144" s="17">
        <v>13.907150005318943</v>
      </c>
      <c r="Q4144" s="17">
        <v>0</v>
      </c>
      <c r="R4144" s="13"/>
      <c r="S4144" s="13"/>
      <c r="T4144" s="13"/>
      <c r="U4144" s="13"/>
      <c r="V4144" s="13"/>
      <c r="W4144" s="13"/>
    </row>
    <row r="4145" spans="11:23" x14ac:dyDescent="0.2">
      <c r="K4145" s="13" t="s">
        <v>304</v>
      </c>
      <c r="L4145" s="13" t="s">
        <v>438</v>
      </c>
      <c r="M4145" s="13" t="s">
        <v>461</v>
      </c>
      <c r="N4145" s="15">
        <v>0</v>
      </c>
      <c r="O4145" s="16">
        <v>0</v>
      </c>
      <c r="P4145" s="17">
        <v>4.1723999995062133</v>
      </c>
      <c r="Q4145" s="17">
        <v>0</v>
      </c>
      <c r="R4145" s="13"/>
      <c r="S4145" s="13"/>
      <c r="T4145" s="13"/>
      <c r="U4145" s="13"/>
      <c r="V4145" s="13"/>
      <c r="W4145" s="13"/>
    </row>
    <row r="4146" spans="11:23" x14ac:dyDescent="0.2">
      <c r="K4146" s="13" t="s">
        <v>304</v>
      </c>
      <c r="L4146" s="13" t="s">
        <v>486</v>
      </c>
      <c r="M4146" s="13" t="s">
        <v>439</v>
      </c>
      <c r="N4146" s="15">
        <v>0</v>
      </c>
      <c r="O4146" s="16">
        <v>0</v>
      </c>
      <c r="P4146" s="17">
        <v>29.425349994805615</v>
      </c>
      <c r="Q4146" s="17">
        <v>0</v>
      </c>
      <c r="R4146" s="13"/>
      <c r="S4146" s="13"/>
      <c r="T4146" s="13"/>
      <c r="U4146" s="13"/>
      <c r="V4146" s="13"/>
      <c r="W4146" s="13"/>
    </row>
    <row r="4147" spans="11:23" x14ac:dyDescent="0.2">
      <c r="K4147" s="13" t="s">
        <v>304</v>
      </c>
      <c r="L4147" s="13" t="s">
        <v>465</v>
      </c>
      <c r="M4147" s="13" t="s">
        <v>514</v>
      </c>
      <c r="N4147" s="15">
        <v>0</v>
      </c>
      <c r="O4147" s="16">
        <v>0</v>
      </c>
      <c r="P4147" s="17">
        <v>55.15963859298914</v>
      </c>
      <c r="Q4147" s="17">
        <v>0</v>
      </c>
      <c r="R4147" s="13"/>
      <c r="S4147" s="13"/>
      <c r="T4147" s="13"/>
      <c r="U4147" s="13"/>
      <c r="V4147" s="13"/>
      <c r="W4147" s="13"/>
    </row>
    <row r="4148" spans="11:23" x14ac:dyDescent="0.2">
      <c r="K4148" s="13" t="s">
        <v>304</v>
      </c>
      <c r="L4148" s="13" t="s">
        <v>532</v>
      </c>
      <c r="M4148" s="13" t="s">
        <v>620</v>
      </c>
      <c r="N4148" s="15">
        <v>0</v>
      </c>
      <c r="O4148" s="16">
        <v>0</v>
      </c>
      <c r="P4148" s="17">
        <v>189.38764999383727</v>
      </c>
      <c r="Q4148" s="17">
        <v>0</v>
      </c>
      <c r="R4148" s="13"/>
      <c r="S4148" s="13"/>
      <c r="T4148" s="13"/>
      <c r="U4148" s="13"/>
      <c r="V4148" s="13"/>
      <c r="W4148" s="13"/>
    </row>
    <row r="4149" spans="11:23" x14ac:dyDescent="0.2">
      <c r="K4149" s="13" t="s">
        <v>304</v>
      </c>
      <c r="L4149" s="13" t="s">
        <v>394</v>
      </c>
      <c r="M4149" s="13" t="s">
        <v>359</v>
      </c>
      <c r="N4149" s="15">
        <v>0</v>
      </c>
      <c r="O4149" s="16">
        <v>0</v>
      </c>
      <c r="P4149" s="17">
        <v>22.048500006193407</v>
      </c>
      <c r="Q4149" s="17">
        <v>0</v>
      </c>
      <c r="R4149" s="13"/>
      <c r="S4149" s="13"/>
      <c r="T4149" s="13"/>
      <c r="U4149" s="13"/>
      <c r="V4149" s="13"/>
      <c r="W4149" s="13"/>
    </row>
    <row r="4150" spans="11:23" x14ac:dyDescent="0.2">
      <c r="K4150" s="13" t="s">
        <v>304</v>
      </c>
      <c r="L4150" s="13" t="s">
        <v>397</v>
      </c>
      <c r="M4150" s="13" t="s">
        <v>398</v>
      </c>
      <c r="N4150" s="15">
        <v>0</v>
      </c>
      <c r="O4150" s="16">
        <v>0</v>
      </c>
      <c r="P4150" s="17">
        <v>7.3638500010426853</v>
      </c>
      <c r="Q4150" s="17">
        <v>0</v>
      </c>
      <c r="R4150" s="13"/>
      <c r="S4150" s="13"/>
      <c r="T4150" s="13"/>
      <c r="U4150" s="13"/>
      <c r="V4150" s="13"/>
      <c r="W4150" s="13"/>
    </row>
    <row r="4151" spans="11:23" x14ac:dyDescent="0.2">
      <c r="K4151" s="13" t="s">
        <v>304</v>
      </c>
      <c r="L4151" s="13" t="s">
        <v>399</v>
      </c>
      <c r="M4151" s="13" t="s">
        <v>400</v>
      </c>
      <c r="N4151" s="15">
        <v>0</v>
      </c>
      <c r="O4151" s="16">
        <v>0</v>
      </c>
      <c r="P4151" s="17">
        <v>12.122699999775692</v>
      </c>
      <c r="Q4151" s="17">
        <v>0</v>
      </c>
      <c r="R4151" s="13"/>
      <c r="S4151" s="13"/>
      <c r="T4151" s="13"/>
      <c r="U4151" s="13"/>
      <c r="V4151" s="13"/>
      <c r="W4151" s="13"/>
    </row>
    <row r="4152" spans="11:23" x14ac:dyDescent="0.2">
      <c r="K4152" s="13" t="s">
        <v>304</v>
      </c>
      <c r="L4152" s="13" t="s">
        <v>401</v>
      </c>
      <c r="M4152" s="13" t="s">
        <v>360</v>
      </c>
      <c r="N4152" s="15">
        <v>0</v>
      </c>
      <c r="O4152" s="16">
        <v>0</v>
      </c>
      <c r="P4152" s="17">
        <v>274.23144999923664</v>
      </c>
      <c r="Q4152" s="17">
        <v>0</v>
      </c>
      <c r="R4152" s="13"/>
      <c r="S4152" s="13"/>
      <c r="T4152" s="13"/>
      <c r="U4152" s="13"/>
      <c r="V4152" s="13"/>
      <c r="W4152" s="13"/>
    </row>
    <row r="4153" spans="11:23" x14ac:dyDescent="0.2">
      <c r="K4153" s="13" t="s">
        <v>304</v>
      </c>
      <c r="L4153" s="13" t="s">
        <v>402</v>
      </c>
      <c r="M4153" s="13" t="s">
        <v>403</v>
      </c>
      <c r="N4153" s="15">
        <v>0</v>
      </c>
      <c r="O4153" s="16">
        <v>0</v>
      </c>
      <c r="P4153" s="17">
        <v>138.44126141749982</v>
      </c>
      <c r="Q4153" s="17">
        <v>0</v>
      </c>
      <c r="R4153" s="13"/>
      <c r="S4153" s="13"/>
      <c r="T4153" s="13"/>
      <c r="U4153" s="13"/>
      <c r="V4153" s="13"/>
      <c r="W4153" s="13"/>
    </row>
    <row r="4154" spans="11:23" x14ac:dyDescent="0.2">
      <c r="K4154" s="13" t="s">
        <v>304</v>
      </c>
      <c r="L4154" s="13" t="s">
        <v>404</v>
      </c>
      <c r="M4154" s="13" t="s">
        <v>405</v>
      </c>
      <c r="N4154" s="15">
        <v>0</v>
      </c>
      <c r="O4154" s="16">
        <v>0</v>
      </c>
      <c r="P4154" s="17">
        <v>155.32110000661851</v>
      </c>
      <c r="Q4154" s="17">
        <v>494.70697855894446</v>
      </c>
      <c r="R4154" s="13"/>
      <c r="S4154" s="13"/>
      <c r="T4154" s="13"/>
      <c r="U4154" s="13"/>
      <c r="V4154" s="13"/>
      <c r="W4154" s="13"/>
    </row>
    <row r="4155" spans="11:23" x14ac:dyDescent="0.2">
      <c r="K4155" s="13" t="s">
        <v>304</v>
      </c>
      <c r="L4155" s="13" t="s">
        <v>406</v>
      </c>
      <c r="M4155" s="13" t="s">
        <v>361</v>
      </c>
      <c r="N4155" s="15">
        <v>0</v>
      </c>
      <c r="O4155" s="16">
        <v>0</v>
      </c>
      <c r="P4155" s="17">
        <v>94.656950007026396</v>
      </c>
      <c r="Q4155" s="17">
        <v>161.9850832323238</v>
      </c>
      <c r="R4155" s="13"/>
      <c r="S4155" s="13"/>
      <c r="T4155" s="13"/>
      <c r="U4155" s="13"/>
      <c r="V4155" s="13"/>
      <c r="W4155" s="13"/>
    </row>
    <row r="4156" spans="11:23" x14ac:dyDescent="0.2">
      <c r="K4156" s="13" t="s">
        <v>304</v>
      </c>
      <c r="L4156" s="13" t="s">
        <v>381</v>
      </c>
      <c r="M4156" s="13" t="s">
        <v>382</v>
      </c>
      <c r="N4156" s="15">
        <v>20</v>
      </c>
      <c r="O4156" s="16">
        <v>0</v>
      </c>
      <c r="P4156" s="17">
        <v>0</v>
      </c>
      <c r="Q4156" s="17">
        <v>0</v>
      </c>
      <c r="R4156" s="13"/>
      <c r="S4156" s="13"/>
      <c r="T4156" s="13"/>
      <c r="U4156" s="13"/>
      <c r="V4156" s="13"/>
      <c r="W4156" s="13"/>
    </row>
    <row r="4157" spans="11:23" x14ac:dyDescent="0.2">
      <c r="K4157" s="13" t="s">
        <v>304</v>
      </c>
      <c r="L4157" s="13" t="s">
        <v>409</v>
      </c>
      <c r="M4157" s="13" t="s">
        <v>410</v>
      </c>
      <c r="N4157" s="15">
        <v>4</v>
      </c>
      <c r="O4157" s="16">
        <v>0</v>
      </c>
      <c r="P4157" s="17">
        <v>0</v>
      </c>
      <c r="Q4157" s="17">
        <v>0</v>
      </c>
      <c r="R4157" s="13"/>
      <c r="S4157" s="13"/>
      <c r="T4157" s="13"/>
      <c r="U4157" s="13"/>
      <c r="V4157" s="13"/>
      <c r="W4157" s="13"/>
    </row>
    <row r="4158" spans="11:23" x14ac:dyDescent="0.2">
      <c r="K4158" s="13" t="s">
        <v>304</v>
      </c>
      <c r="L4158" s="13" t="s">
        <v>411</v>
      </c>
      <c r="M4158" s="13" t="s">
        <v>362</v>
      </c>
      <c r="N4158" s="15">
        <v>0</v>
      </c>
      <c r="O4158" s="16">
        <v>0</v>
      </c>
      <c r="P4158" s="17">
        <v>1.3347999975776068</v>
      </c>
      <c r="Q4158" s="17">
        <v>0</v>
      </c>
      <c r="R4158" s="13"/>
      <c r="S4158" s="13"/>
      <c r="T4158" s="13"/>
      <c r="U4158" s="13"/>
      <c r="V4158" s="13"/>
      <c r="W4158" s="13"/>
    </row>
    <row r="4159" spans="11:23" x14ac:dyDescent="0.2">
      <c r="K4159" s="13" t="s">
        <v>304</v>
      </c>
      <c r="L4159" s="13" t="s">
        <v>411</v>
      </c>
      <c r="M4159" s="13" t="s">
        <v>362</v>
      </c>
      <c r="N4159" s="15">
        <v>0</v>
      </c>
      <c r="O4159" s="16">
        <v>62.310431312362411</v>
      </c>
      <c r="P4159" s="17">
        <v>0</v>
      </c>
      <c r="Q4159" s="17">
        <v>0</v>
      </c>
      <c r="R4159" s="13"/>
      <c r="S4159" s="13"/>
      <c r="T4159" s="13"/>
      <c r="U4159" s="13"/>
      <c r="V4159" s="13"/>
      <c r="W4159" s="13"/>
    </row>
    <row r="4160" spans="11:23" x14ac:dyDescent="0.2">
      <c r="K4160" s="13" t="s">
        <v>304</v>
      </c>
      <c r="L4160" s="13" t="s">
        <v>411</v>
      </c>
      <c r="M4160" s="13" t="s">
        <v>362</v>
      </c>
      <c r="N4160" s="15">
        <v>4</v>
      </c>
      <c r="O4160" s="16">
        <v>0</v>
      </c>
      <c r="P4160" s="17">
        <v>0</v>
      </c>
      <c r="Q4160" s="17">
        <v>0</v>
      </c>
      <c r="R4160" s="13"/>
      <c r="S4160" s="13"/>
      <c r="T4160" s="13"/>
      <c r="U4160" s="13"/>
      <c r="V4160" s="13"/>
      <c r="W4160" s="13"/>
    </row>
    <row r="4161" spans="11:23" x14ac:dyDescent="0.2">
      <c r="K4161" s="13" t="s">
        <v>304</v>
      </c>
      <c r="L4161" s="13" t="s">
        <v>413</v>
      </c>
      <c r="M4161" s="13" t="s">
        <v>428</v>
      </c>
      <c r="N4161" s="15">
        <v>1</v>
      </c>
      <c r="O4161" s="16">
        <v>0</v>
      </c>
      <c r="P4161" s="17">
        <v>0</v>
      </c>
      <c r="Q4161" s="17">
        <v>0</v>
      </c>
      <c r="R4161" s="13"/>
      <c r="S4161" s="13"/>
      <c r="T4161" s="13"/>
      <c r="U4161" s="13"/>
      <c r="V4161" s="13"/>
      <c r="W4161" s="13"/>
    </row>
    <row r="4162" spans="11:23" x14ac:dyDescent="0.2">
      <c r="K4162" s="13" t="s">
        <v>304</v>
      </c>
      <c r="L4162" s="13" t="s">
        <v>623</v>
      </c>
      <c r="M4162" s="13" t="s">
        <v>530</v>
      </c>
      <c r="N4162" s="15">
        <v>0</v>
      </c>
      <c r="O4162" s="16">
        <v>14.092905714146493</v>
      </c>
      <c r="P4162" s="17">
        <v>0</v>
      </c>
      <c r="Q4162" s="17">
        <v>0</v>
      </c>
      <c r="R4162" s="13"/>
      <c r="S4162" s="13"/>
      <c r="T4162" s="13"/>
      <c r="U4162" s="13"/>
      <c r="V4162" s="13"/>
      <c r="W4162" s="13"/>
    </row>
    <row r="4163" spans="11:23" x14ac:dyDescent="0.2">
      <c r="K4163" s="13" t="s">
        <v>304</v>
      </c>
      <c r="L4163" s="13" t="s">
        <v>607</v>
      </c>
      <c r="M4163" s="13" t="s">
        <v>431</v>
      </c>
      <c r="N4163" s="15">
        <v>2</v>
      </c>
      <c r="O4163" s="16">
        <v>0</v>
      </c>
      <c r="P4163" s="17">
        <v>0</v>
      </c>
      <c r="Q4163" s="17">
        <v>0</v>
      </c>
      <c r="R4163" s="13"/>
      <c r="S4163" s="13"/>
      <c r="T4163" s="13"/>
      <c r="U4163" s="13"/>
      <c r="V4163" s="13"/>
      <c r="W4163" s="13"/>
    </row>
    <row r="4164" spans="11:23" x14ac:dyDescent="0.2">
      <c r="K4164" s="13" t="s">
        <v>304</v>
      </c>
      <c r="L4164" s="13" t="s">
        <v>608</v>
      </c>
      <c r="M4164" s="13" t="s">
        <v>432</v>
      </c>
      <c r="N4164" s="15">
        <v>5</v>
      </c>
      <c r="O4164" s="16">
        <v>0</v>
      </c>
      <c r="P4164" s="17">
        <v>0</v>
      </c>
      <c r="Q4164" s="17">
        <v>0</v>
      </c>
      <c r="R4164" s="13"/>
      <c r="S4164" s="13"/>
      <c r="T4164" s="13"/>
      <c r="U4164" s="13"/>
      <c r="V4164" s="13"/>
      <c r="W4164" s="13"/>
    </row>
    <row r="4165" spans="11:23" x14ac:dyDescent="0.2">
      <c r="K4165" s="13" t="s">
        <v>304</v>
      </c>
      <c r="L4165" s="13" t="s">
        <v>615</v>
      </c>
      <c r="M4165" s="13" t="s">
        <v>449</v>
      </c>
      <c r="N4165" s="15">
        <v>1</v>
      </c>
      <c r="O4165" s="16">
        <v>0</v>
      </c>
      <c r="P4165" s="17">
        <v>0</v>
      </c>
      <c r="Q4165" s="17">
        <v>0</v>
      </c>
      <c r="R4165" s="13"/>
      <c r="S4165" s="13"/>
      <c r="T4165" s="13"/>
      <c r="U4165" s="13"/>
      <c r="V4165" s="13"/>
      <c r="W4165" s="13"/>
    </row>
    <row r="4166" spans="11:23" x14ac:dyDescent="0.2">
      <c r="K4166" s="13" t="s">
        <v>304</v>
      </c>
      <c r="L4166" s="13" t="s">
        <v>415</v>
      </c>
      <c r="M4166" s="13" t="s">
        <v>412</v>
      </c>
      <c r="N4166" s="15">
        <v>0</v>
      </c>
      <c r="O4166" s="16">
        <v>0</v>
      </c>
      <c r="P4166" s="17">
        <v>9.5848499985747981</v>
      </c>
      <c r="Q4166" s="17">
        <v>0</v>
      </c>
      <c r="R4166" s="13"/>
      <c r="S4166" s="13"/>
      <c r="T4166" s="13"/>
      <c r="U4166" s="13"/>
      <c r="V4166" s="13"/>
      <c r="W4166" s="13"/>
    </row>
    <row r="4167" spans="11:23" x14ac:dyDescent="0.2">
      <c r="K4167" s="13" t="s">
        <v>304</v>
      </c>
      <c r="L4167" s="13" t="s">
        <v>523</v>
      </c>
      <c r="M4167" s="13" t="s">
        <v>476</v>
      </c>
      <c r="N4167" s="15">
        <v>0</v>
      </c>
      <c r="O4167" s="16">
        <v>0</v>
      </c>
      <c r="P4167" s="17">
        <v>10.524599997433462</v>
      </c>
      <c r="Q4167" s="17">
        <v>0</v>
      </c>
      <c r="R4167" s="13"/>
      <c r="S4167" s="13"/>
      <c r="T4167" s="13"/>
      <c r="U4167" s="13"/>
      <c r="V4167" s="13"/>
      <c r="W4167" s="13"/>
    </row>
    <row r="4168" spans="11:23" x14ac:dyDescent="0.2">
      <c r="K4168" s="13" t="s">
        <v>304</v>
      </c>
      <c r="L4168" s="13" t="s">
        <v>609</v>
      </c>
      <c r="M4168" s="13" t="s">
        <v>416</v>
      </c>
      <c r="N4168" s="15">
        <v>0</v>
      </c>
      <c r="O4168" s="16">
        <v>34.785632541118808</v>
      </c>
      <c r="P4168" s="17">
        <v>0</v>
      </c>
      <c r="Q4168" s="17">
        <v>0</v>
      </c>
      <c r="R4168" s="13"/>
      <c r="S4168" s="13"/>
      <c r="T4168" s="13"/>
      <c r="U4168" s="13"/>
      <c r="V4168" s="13"/>
      <c r="W4168" s="13"/>
    </row>
    <row r="4169" spans="11:23" x14ac:dyDescent="0.2">
      <c r="K4169" s="13" t="s">
        <v>304</v>
      </c>
      <c r="L4169" s="13" t="s">
        <v>421</v>
      </c>
      <c r="M4169" s="13" t="s">
        <v>443</v>
      </c>
      <c r="N4169" s="15">
        <v>2</v>
      </c>
      <c r="O4169" s="16">
        <v>0</v>
      </c>
      <c r="P4169" s="17">
        <v>0</v>
      </c>
      <c r="Q4169" s="17">
        <v>0</v>
      </c>
      <c r="R4169" s="13"/>
      <c r="S4169" s="13"/>
      <c r="T4169" s="13"/>
      <c r="U4169" s="13"/>
      <c r="V4169" s="13"/>
      <c r="W4169" s="13"/>
    </row>
    <row r="4170" spans="11:23" x14ac:dyDescent="0.2">
      <c r="K4170" s="13" t="s">
        <v>304</v>
      </c>
      <c r="L4170" s="13" t="s">
        <v>383</v>
      </c>
      <c r="M4170" s="13" t="s">
        <v>420</v>
      </c>
      <c r="N4170" s="15">
        <v>8</v>
      </c>
      <c r="O4170" s="16">
        <v>0</v>
      </c>
      <c r="P4170" s="17">
        <v>0</v>
      </c>
      <c r="Q4170" s="17">
        <v>0</v>
      </c>
      <c r="R4170" s="13"/>
      <c r="S4170" s="13"/>
      <c r="T4170" s="13"/>
      <c r="U4170" s="13"/>
      <c r="V4170" s="13"/>
      <c r="W4170" s="13"/>
    </row>
    <row r="4171" spans="11:23" x14ac:dyDescent="0.2">
      <c r="K4171" s="13" t="s">
        <v>304</v>
      </c>
      <c r="L4171" s="13" t="s">
        <v>528</v>
      </c>
      <c r="M4171" s="13" t="s">
        <v>384</v>
      </c>
      <c r="N4171" s="15">
        <v>0</v>
      </c>
      <c r="O4171" s="16">
        <v>56.893245359853154</v>
      </c>
      <c r="P4171" s="17">
        <v>0</v>
      </c>
      <c r="Q4171" s="17">
        <v>0</v>
      </c>
      <c r="R4171" s="13"/>
      <c r="S4171" s="13"/>
      <c r="T4171" s="13"/>
      <c r="U4171" s="13"/>
      <c r="V4171" s="13"/>
      <c r="W4171" s="13"/>
    </row>
    <row r="4172" spans="11:23" x14ac:dyDescent="0.2">
      <c r="K4172" s="13" t="s">
        <v>304</v>
      </c>
      <c r="L4172" s="13" t="s">
        <v>613</v>
      </c>
      <c r="M4172" s="13" t="s">
        <v>444</v>
      </c>
      <c r="N4172" s="15">
        <v>0</v>
      </c>
      <c r="O4172" s="16">
        <v>170.99389598258165</v>
      </c>
      <c r="P4172" s="17">
        <v>0</v>
      </c>
      <c r="Q4172" s="17">
        <v>0</v>
      </c>
      <c r="R4172" s="13"/>
      <c r="S4172" s="13"/>
      <c r="T4172" s="13"/>
      <c r="U4172" s="13"/>
      <c r="V4172" s="13"/>
      <c r="W4172" s="13"/>
    </row>
    <row r="4173" spans="11:23" x14ac:dyDescent="0.2">
      <c r="K4173" s="13" t="s">
        <v>304</v>
      </c>
      <c r="L4173" s="13" t="s">
        <v>611</v>
      </c>
      <c r="M4173" s="13" t="s">
        <v>423</v>
      </c>
      <c r="N4173" s="15">
        <v>0</v>
      </c>
      <c r="O4173" s="16">
        <v>202.5978086435301</v>
      </c>
      <c r="P4173" s="17">
        <v>0</v>
      </c>
      <c r="Q4173" s="17">
        <v>0</v>
      </c>
      <c r="R4173" s="13"/>
      <c r="S4173" s="13"/>
      <c r="T4173" s="13"/>
      <c r="U4173" s="13"/>
      <c r="V4173" s="13"/>
      <c r="W4173" s="13"/>
    </row>
    <row r="4174" spans="11:23" x14ac:dyDescent="0.2">
      <c r="K4174" s="13" t="s">
        <v>304</v>
      </c>
      <c r="L4174" s="13" t="s">
        <v>446</v>
      </c>
      <c r="M4174" s="13" t="s">
        <v>371</v>
      </c>
      <c r="N4174" s="15">
        <v>10</v>
      </c>
      <c r="O4174" s="16">
        <v>0</v>
      </c>
      <c r="P4174" s="17">
        <v>0</v>
      </c>
      <c r="Q4174" s="17">
        <v>0</v>
      </c>
      <c r="R4174" s="13"/>
      <c r="S4174" s="13"/>
      <c r="T4174" s="13"/>
      <c r="U4174" s="13"/>
      <c r="V4174" s="13"/>
      <c r="W4174" s="13"/>
    </row>
    <row r="4175" spans="11:23" x14ac:dyDescent="0.2">
      <c r="K4175" s="13" t="s">
        <v>304</v>
      </c>
      <c r="L4175" s="13" t="s">
        <v>424</v>
      </c>
      <c r="M4175" s="13" t="s">
        <v>468</v>
      </c>
      <c r="N4175" s="15">
        <v>0</v>
      </c>
      <c r="O4175" s="16">
        <v>0</v>
      </c>
      <c r="P4175" s="17">
        <v>33.790199988315187</v>
      </c>
      <c r="Q4175" s="17">
        <v>0</v>
      </c>
      <c r="R4175" s="13"/>
      <c r="S4175" s="13"/>
      <c r="T4175" s="13"/>
      <c r="U4175" s="13"/>
      <c r="V4175" s="13"/>
      <c r="W4175" s="13"/>
    </row>
    <row r="4176" spans="11:23" x14ac:dyDescent="0.2">
      <c r="K4176" s="13" t="s">
        <v>304</v>
      </c>
      <c r="L4176" s="13" t="s">
        <v>614</v>
      </c>
      <c r="M4176" s="13" t="s">
        <v>447</v>
      </c>
      <c r="N4176" s="15">
        <v>1</v>
      </c>
      <c r="O4176" s="16">
        <v>0</v>
      </c>
      <c r="P4176" s="17">
        <v>0</v>
      </c>
      <c r="Q4176" s="17">
        <v>0</v>
      </c>
      <c r="R4176" s="13"/>
      <c r="S4176" s="13"/>
      <c r="T4176" s="13"/>
      <c r="U4176" s="13"/>
      <c r="V4176" s="13"/>
      <c r="W4176" s="13"/>
    </row>
    <row r="4177" spans="11:23" x14ac:dyDescent="0.2">
      <c r="K4177" s="13" t="s">
        <v>600</v>
      </c>
      <c r="L4177" s="13" t="s">
        <v>435</v>
      </c>
      <c r="M4177" s="13" t="s">
        <v>364</v>
      </c>
      <c r="N4177" s="15">
        <v>0</v>
      </c>
      <c r="O4177" s="16">
        <v>0</v>
      </c>
      <c r="P4177" s="17">
        <v>26.283849999984472</v>
      </c>
      <c r="Q4177" s="17">
        <v>0</v>
      </c>
      <c r="R4177" s="13"/>
      <c r="S4177" s="13"/>
      <c r="T4177" s="13"/>
      <c r="U4177" s="13"/>
      <c r="V4177" s="13"/>
      <c r="W4177" s="13"/>
    </row>
    <row r="4178" spans="11:23" x14ac:dyDescent="0.2">
      <c r="K4178" s="13" t="s">
        <v>600</v>
      </c>
      <c r="L4178" s="13" t="s">
        <v>387</v>
      </c>
      <c r="M4178" s="13" t="s">
        <v>386</v>
      </c>
      <c r="N4178" s="15">
        <v>0</v>
      </c>
      <c r="O4178" s="16">
        <v>0</v>
      </c>
      <c r="P4178" s="17">
        <v>81.577650004797164</v>
      </c>
      <c r="Q4178" s="17">
        <v>0</v>
      </c>
      <c r="R4178" s="13"/>
      <c r="S4178" s="13"/>
      <c r="T4178" s="13"/>
      <c r="U4178" s="13"/>
      <c r="V4178" s="13"/>
      <c r="W4178" s="13"/>
    </row>
    <row r="4179" spans="11:23" x14ac:dyDescent="0.2">
      <c r="K4179" s="13" t="s">
        <v>600</v>
      </c>
      <c r="L4179" s="13" t="s">
        <v>389</v>
      </c>
      <c r="M4179" s="13" t="s">
        <v>388</v>
      </c>
      <c r="N4179" s="15">
        <v>0</v>
      </c>
      <c r="O4179" s="16">
        <v>0</v>
      </c>
      <c r="P4179" s="17">
        <v>311.8070499769828</v>
      </c>
      <c r="Q4179" s="17">
        <v>0</v>
      </c>
      <c r="R4179" s="13"/>
      <c r="S4179" s="13"/>
      <c r="T4179" s="13"/>
      <c r="U4179" s="13"/>
      <c r="V4179" s="13"/>
      <c r="W4179" s="13"/>
    </row>
    <row r="4180" spans="11:23" x14ac:dyDescent="0.2">
      <c r="K4180" s="13" t="s">
        <v>600</v>
      </c>
      <c r="L4180" s="13" t="s">
        <v>391</v>
      </c>
      <c r="M4180" s="13" t="s">
        <v>358</v>
      </c>
      <c r="N4180" s="15">
        <v>0</v>
      </c>
      <c r="O4180" s="16">
        <v>0</v>
      </c>
      <c r="P4180" s="17">
        <v>9.0258499981802647</v>
      </c>
      <c r="Q4180" s="17">
        <v>0</v>
      </c>
      <c r="R4180" s="13"/>
      <c r="S4180" s="13"/>
      <c r="T4180" s="13"/>
      <c r="U4180" s="13"/>
      <c r="V4180" s="13"/>
      <c r="W4180" s="13"/>
    </row>
    <row r="4181" spans="11:23" x14ac:dyDescent="0.2">
      <c r="K4181" s="13" t="s">
        <v>600</v>
      </c>
      <c r="L4181" s="13" t="s">
        <v>486</v>
      </c>
      <c r="M4181" s="13" t="s">
        <v>439</v>
      </c>
      <c r="N4181" s="15">
        <v>0</v>
      </c>
      <c r="O4181" s="16">
        <v>0</v>
      </c>
      <c r="P4181" s="17">
        <v>214.73004998079449</v>
      </c>
      <c r="Q4181" s="17">
        <v>0</v>
      </c>
      <c r="R4181" s="13"/>
      <c r="S4181" s="13"/>
      <c r="T4181" s="13"/>
      <c r="U4181" s="13"/>
      <c r="V4181" s="13"/>
      <c r="W4181" s="13"/>
    </row>
    <row r="4182" spans="11:23" x14ac:dyDescent="0.2">
      <c r="K4182" s="13" t="s">
        <v>600</v>
      </c>
      <c r="L4182" s="13" t="s">
        <v>512</v>
      </c>
      <c r="M4182" s="13" t="s">
        <v>466</v>
      </c>
      <c r="N4182" s="15">
        <v>0</v>
      </c>
      <c r="O4182" s="16">
        <v>0</v>
      </c>
      <c r="P4182" s="17">
        <v>317.43435001086323</v>
      </c>
      <c r="Q4182" s="17">
        <v>0</v>
      </c>
      <c r="R4182" s="13"/>
      <c r="S4182" s="13"/>
      <c r="T4182" s="13"/>
      <c r="U4182" s="13"/>
      <c r="V4182" s="13"/>
      <c r="W4182" s="13"/>
    </row>
    <row r="4183" spans="11:23" x14ac:dyDescent="0.2">
      <c r="K4183" s="13" t="s">
        <v>600</v>
      </c>
      <c r="L4183" s="13" t="s">
        <v>513</v>
      </c>
      <c r="M4183" s="13" t="s">
        <v>533</v>
      </c>
      <c r="N4183" s="15">
        <v>0</v>
      </c>
      <c r="O4183" s="16">
        <v>0</v>
      </c>
      <c r="P4183" s="17">
        <v>27.138550001092185</v>
      </c>
      <c r="Q4183" s="17">
        <v>0</v>
      </c>
      <c r="R4183" s="13"/>
      <c r="S4183" s="13"/>
      <c r="T4183" s="13"/>
      <c r="U4183" s="13"/>
      <c r="V4183" s="13"/>
      <c r="W4183" s="13"/>
    </row>
    <row r="4184" spans="11:23" x14ac:dyDescent="0.2">
      <c r="K4184" s="13" t="s">
        <v>600</v>
      </c>
      <c r="L4184" s="13" t="s">
        <v>394</v>
      </c>
      <c r="M4184" s="13" t="s">
        <v>359</v>
      </c>
      <c r="N4184" s="15">
        <v>0</v>
      </c>
      <c r="O4184" s="16">
        <v>0</v>
      </c>
      <c r="P4184" s="17">
        <v>4.5251000027016044</v>
      </c>
      <c r="Q4184" s="17">
        <v>0</v>
      </c>
      <c r="R4184" s="13"/>
      <c r="S4184" s="13"/>
      <c r="T4184" s="13"/>
      <c r="U4184" s="13"/>
      <c r="V4184" s="13"/>
      <c r="W4184" s="13"/>
    </row>
    <row r="4185" spans="11:23" x14ac:dyDescent="0.2">
      <c r="K4185" s="13" t="s">
        <v>600</v>
      </c>
      <c r="L4185" s="13" t="s">
        <v>399</v>
      </c>
      <c r="M4185" s="13" t="s">
        <v>400</v>
      </c>
      <c r="N4185" s="15">
        <v>0</v>
      </c>
      <c r="O4185" s="16">
        <v>0</v>
      </c>
      <c r="P4185" s="17">
        <v>0.5693499999871473</v>
      </c>
      <c r="Q4185" s="17">
        <v>0</v>
      </c>
      <c r="R4185" s="13"/>
      <c r="S4185" s="13"/>
      <c r="T4185" s="13"/>
      <c r="U4185" s="13"/>
      <c r="V4185" s="13"/>
      <c r="W4185" s="13"/>
    </row>
    <row r="4186" spans="11:23" x14ac:dyDescent="0.2">
      <c r="K4186" s="13" t="s">
        <v>600</v>
      </c>
      <c r="L4186" s="13" t="s">
        <v>401</v>
      </c>
      <c r="M4186" s="13" t="s">
        <v>360</v>
      </c>
      <c r="N4186" s="15">
        <v>0</v>
      </c>
      <c r="O4186" s="16">
        <v>0</v>
      </c>
      <c r="P4186" s="17">
        <v>220.1653500164409</v>
      </c>
      <c r="Q4186" s="17">
        <v>0</v>
      </c>
      <c r="R4186" s="13"/>
      <c r="S4186" s="13"/>
      <c r="T4186" s="13"/>
      <c r="U4186" s="13"/>
      <c r="V4186" s="13"/>
      <c r="W4186" s="13"/>
    </row>
    <row r="4187" spans="11:23" x14ac:dyDescent="0.2">
      <c r="K4187" s="13" t="s">
        <v>600</v>
      </c>
      <c r="L4187" s="13" t="s">
        <v>402</v>
      </c>
      <c r="M4187" s="13" t="s">
        <v>403</v>
      </c>
      <c r="N4187" s="15">
        <v>0</v>
      </c>
      <c r="O4187" s="16">
        <v>0</v>
      </c>
      <c r="P4187" s="17">
        <v>453.56979998574411</v>
      </c>
      <c r="Q4187" s="17">
        <v>0</v>
      </c>
      <c r="R4187" s="13"/>
      <c r="S4187" s="13"/>
      <c r="T4187" s="13"/>
      <c r="U4187" s="13"/>
      <c r="V4187" s="13"/>
      <c r="W4187" s="13"/>
    </row>
    <row r="4188" spans="11:23" x14ac:dyDescent="0.2">
      <c r="K4188" s="13" t="s">
        <v>600</v>
      </c>
      <c r="L4188" s="13" t="s">
        <v>404</v>
      </c>
      <c r="M4188" s="13" t="s">
        <v>405</v>
      </c>
      <c r="N4188" s="15">
        <v>0</v>
      </c>
      <c r="O4188" s="16">
        <v>0</v>
      </c>
      <c r="P4188" s="17">
        <v>2.6053499991612972</v>
      </c>
      <c r="Q4188" s="17">
        <v>2.6053499991612972</v>
      </c>
      <c r="R4188" s="13"/>
      <c r="S4188" s="13"/>
      <c r="T4188" s="13"/>
      <c r="U4188" s="13"/>
      <c r="V4188" s="13"/>
      <c r="W4188" s="13"/>
    </row>
    <row r="4189" spans="11:23" x14ac:dyDescent="0.2">
      <c r="K4189" s="13" t="s">
        <v>600</v>
      </c>
      <c r="L4189" s="13" t="s">
        <v>424</v>
      </c>
      <c r="M4189" s="13" t="s">
        <v>468</v>
      </c>
      <c r="N4189" s="15">
        <v>0</v>
      </c>
      <c r="O4189" s="16">
        <v>0</v>
      </c>
      <c r="P4189" s="17">
        <v>26.590999998648535</v>
      </c>
      <c r="Q4189" s="17">
        <v>0</v>
      </c>
      <c r="R4189" s="13"/>
      <c r="S4189" s="13"/>
      <c r="T4189" s="13"/>
      <c r="U4189" s="13"/>
      <c r="V4189" s="13"/>
      <c r="W4189" s="13"/>
    </row>
    <row r="4190" spans="11:23" x14ac:dyDescent="0.2">
      <c r="K4190" s="13" t="s">
        <v>596</v>
      </c>
      <c r="L4190" s="13" t="s">
        <v>435</v>
      </c>
      <c r="M4190" s="13" t="s">
        <v>364</v>
      </c>
      <c r="N4190" s="15">
        <v>0</v>
      </c>
      <c r="O4190" s="16">
        <v>0</v>
      </c>
      <c r="P4190" s="17">
        <v>9304.1044499660165</v>
      </c>
      <c r="Q4190" s="17">
        <v>0</v>
      </c>
      <c r="R4190" s="13"/>
      <c r="S4190" s="13"/>
      <c r="T4190" s="13"/>
      <c r="U4190" s="13"/>
      <c r="V4190" s="13"/>
      <c r="W4190" s="13"/>
    </row>
    <row r="4191" spans="11:23" x14ac:dyDescent="0.2">
      <c r="K4191" s="13" t="s">
        <v>596</v>
      </c>
      <c r="L4191" s="13" t="s">
        <v>481</v>
      </c>
      <c r="M4191" s="13" t="s">
        <v>374</v>
      </c>
      <c r="N4191" s="15">
        <v>0</v>
      </c>
      <c r="O4191" s="16">
        <v>0</v>
      </c>
      <c r="P4191" s="17">
        <v>0.23074999634654053</v>
      </c>
      <c r="Q4191" s="17">
        <v>0</v>
      </c>
      <c r="R4191" s="13"/>
      <c r="S4191" s="13"/>
      <c r="T4191" s="13"/>
      <c r="U4191" s="13"/>
      <c r="V4191" s="13"/>
      <c r="W4191" s="13"/>
    </row>
    <row r="4192" spans="11:23" x14ac:dyDescent="0.2">
      <c r="K4192" s="13" t="s">
        <v>596</v>
      </c>
      <c r="L4192" s="13" t="s">
        <v>387</v>
      </c>
      <c r="M4192" s="13" t="s">
        <v>386</v>
      </c>
      <c r="N4192" s="15">
        <v>0</v>
      </c>
      <c r="O4192" s="16">
        <v>0</v>
      </c>
      <c r="P4192" s="17">
        <v>35.755450001165002</v>
      </c>
      <c r="Q4192" s="17">
        <v>0</v>
      </c>
      <c r="R4192" s="13"/>
      <c r="S4192" s="13"/>
      <c r="T4192" s="13"/>
      <c r="U4192" s="13"/>
      <c r="V4192" s="13"/>
      <c r="W4192" s="13"/>
    </row>
    <row r="4193" spans="11:23" x14ac:dyDescent="0.2">
      <c r="K4193" s="13" t="s">
        <v>596</v>
      </c>
      <c r="L4193" s="13" t="s">
        <v>389</v>
      </c>
      <c r="M4193" s="13" t="s">
        <v>388</v>
      </c>
      <c r="N4193" s="15">
        <v>0</v>
      </c>
      <c r="O4193" s="16">
        <v>0</v>
      </c>
      <c r="P4193" s="17">
        <v>123.78080000598874</v>
      </c>
      <c r="Q4193" s="17">
        <v>0</v>
      </c>
      <c r="R4193" s="13"/>
      <c r="S4193" s="13"/>
      <c r="T4193" s="13"/>
      <c r="U4193" s="13"/>
      <c r="V4193" s="13"/>
      <c r="W4193" s="13"/>
    </row>
    <row r="4194" spans="11:23" x14ac:dyDescent="0.2">
      <c r="K4194" s="13" t="s">
        <v>596</v>
      </c>
      <c r="L4194" s="13" t="s">
        <v>542</v>
      </c>
      <c r="M4194" s="13" t="s">
        <v>390</v>
      </c>
      <c r="N4194" s="15">
        <v>0</v>
      </c>
      <c r="O4194" s="16">
        <v>0</v>
      </c>
      <c r="P4194" s="17">
        <v>118.38854999853979</v>
      </c>
      <c r="Q4194" s="17">
        <v>0</v>
      </c>
      <c r="R4194" s="13"/>
      <c r="S4194" s="13"/>
      <c r="T4194" s="13"/>
      <c r="U4194" s="13"/>
      <c r="V4194" s="13"/>
      <c r="W4194" s="13"/>
    </row>
    <row r="4195" spans="11:23" x14ac:dyDescent="0.2">
      <c r="K4195" s="13" t="s">
        <v>596</v>
      </c>
      <c r="L4195" s="13" t="s">
        <v>450</v>
      </c>
      <c r="M4195" s="13" t="s">
        <v>368</v>
      </c>
      <c r="N4195" s="15">
        <v>0</v>
      </c>
      <c r="O4195" s="16">
        <v>0</v>
      </c>
      <c r="P4195" s="17">
        <v>69.786800000951558</v>
      </c>
      <c r="Q4195" s="17">
        <v>0</v>
      </c>
      <c r="R4195" s="13"/>
      <c r="S4195" s="13"/>
      <c r="T4195" s="13"/>
      <c r="U4195" s="13"/>
      <c r="V4195" s="13"/>
      <c r="W4195" s="13"/>
    </row>
    <row r="4196" spans="11:23" x14ac:dyDescent="0.2">
      <c r="K4196" s="13" t="s">
        <v>596</v>
      </c>
      <c r="L4196" s="13" t="s">
        <v>440</v>
      </c>
      <c r="M4196" s="13" t="s">
        <v>441</v>
      </c>
      <c r="N4196" s="15">
        <v>6</v>
      </c>
      <c r="O4196" s="16">
        <v>0</v>
      </c>
      <c r="P4196" s="17">
        <v>0</v>
      </c>
      <c r="Q4196" s="17">
        <v>0</v>
      </c>
      <c r="R4196" s="13"/>
      <c r="S4196" s="13"/>
      <c r="T4196" s="13"/>
      <c r="U4196" s="13"/>
      <c r="V4196" s="13"/>
      <c r="W4196" s="13"/>
    </row>
    <row r="4197" spans="11:23" x14ac:dyDescent="0.2">
      <c r="K4197" s="13" t="s">
        <v>596</v>
      </c>
      <c r="L4197" s="13" t="s">
        <v>394</v>
      </c>
      <c r="M4197" s="13" t="s">
        <v>359</v>
      </c>
      <c r="N4197" s="15">
        <v>0</v>
      </c>
      <c r="O4197" s="16">
        <v>0</v>
      </c>
      <c r="P4197" s="17">
        <v>206.25799998829063</v>
      </c>
      <c r="Q4197" s="17">
        <v>0</v>
      </c>
      <c r="R4197" s="13"/>
      <c r="S4197" s="13"/>
      <c r="T4197" s="13"/>
      <c r="U4197" s="13"/>
      <c r="V4197" s="13"/>
      <c r="W4197" s="13"/>
    </row>
    <row r="4198" spans="11:23" x14ac:dyDescent="0.2">
      <c r="K4198" s="13" t="s">
        <v>596</v>
      </c>
      <c r="L4198" s="13" t="s">
        <v>397</v>
      </c>
      <c r="M4198" s="13" t="s">
        <v>398</v>
      </c>
      <c r="N4198" s="15">
        <v>0</v>
      </c>
      <c r="O4198" s="16">
        <v>0</v>
      </c>
      <c r="P4198" s="17">
        <v>150.16349991446049</v>
      </c>
      <c r="Q4198" s="17">
        <v>0</v>
      </c>
      <c r="R4198" s="13"/>
      <c r="S4198" s="13"/>
      <c r="T4198" s="13"/>
      <c r="U4198" s="13"/>
      <c r="V4198" s="13"/>
      <c r="W4198" s="13"/>
    </row>
    <row r="4199" spans="11:23" x14ac:dyDescent="0.2">
      <c r="K4199" s="13" t="s">
        <v>596</v>
      </c>
      <c r="L4199" s="13" t="s">
        <v>399</v>
      </c>
      <c r="M4199" s="13" t="s">
        <v>400</v>
      </c>
      <c r="N4199" s="15">
        <v>0</v>
      </c>
      <c r="O4199" s="16">
        <v>0</v>
      </c>
      <c r="P4199" s="17">
        <v>65.214949995330485</v>
      </c>
      <c r="Q4199" s="17">
        <v>0</v>
      </c>
      <c r="R4199" s="13"/>
      <c r="S4199" s="13"/>
      <c r="T4199" s="13"/>
      <c r="U4199" s="13"/>
      <c r="V4199" s="13"/>
      <c r="W4199" s="13"/>
    </row>
    <row r="4200" spans="11:23" x14ac:dyDescent="0.2">
      <c r="K4200" s="13" t="s">
        <v>596</v>
      </c>
      <c r="L4200" s="13" t="s">
        <v>401</v>
      </c>
      <c r="M4200" s="13" t="s">
        <v>360</v>
      </c>
      <c r="N4200" s="15">
        <v>0</v>
      </c>
      <c r="O4200" s="16">
        <v>0</v>
      </c>
      <c r="P4200" s="17">
        <v>2497.9914822989685</v>
      </c>
      <c r="Q4200" s="17">
        <v>0</v>
      </c>
      <c r="R4200" s="13"/>
      <c r="S4200" s="13"/>
      <c r="T4200" s="13"/>
      <c r="U4200" s="13"/>
      <c r="V4200" s="13"/>
      <c r="W4200" s="13"/>
    </row>
    <row r="4201" spans="11:23" x14ac:dyDescent="0.2">
      <c r="K4201" s="13" t="s">
        <v>596</v>
      </c>
      <c r="L4201" s="13" t="s">
        <v>402</v>
      </c>
      <c r="M4201" s="13" t="s">
        <v>403</v>
      </c>
      <c r="N4201" s="15">
        <v>0</v>
      </c>
      <c r="O4201" s="16">
        <v>0</v>
      </c>
      <c r="P4201" s="17">
        <v>18944.377054340446</v>
      </c>
      <c r="Q4201" s="17">
        <v>0</v>
      </c>
      <c r="R4201" s="13"/>
      <c r="S4201" s="13"/>
      <c r="T4201" s="13"/>
      <c r="U4201" s="13"/>
      <c r="V4201" s="13"/>
      <c r="W4201" s="13"/>
    </row>
    <row r="4202" spans="11:23" x14ac:dyDescent="0.2">
      <c r="K4202" s="13" t="s">
        <v>596</v>
      </c>
      <c r="L4202" s="13" t="s">
        <v>473</v>
      </c>
      <c r="M4202" s="13" t="s">
        <v>474</v>
      </c>
      <c r="N4202" s="15">
        <v>0</v>
      </c>
      <c r="O4202" s="16">
        <v>0</v>
      </c>
      <c r="P4202" s="17">
        <v>1983.3099499911893</v>
      </c>
      <c r="Q4202" s="17">
        <v>0</v>
      </c>
      <c r="R4202" s="13"/>
      <c r="S4202" s="13"/>
      <c r="T4202" s="13"/>
      <c r="U4202" s="13"/>
      <c r="V4202" s="13"/>
      <c r="W4202" s="13"/>
    </row>
    <row r="4203" spans="11:23" x14ac:dyDescent="0.2">
      <c r="K4203" s="13" t="s">
        <v>596</v>
      </c>
      <c r="L4203" s="13" t="s">
        <v>448</v>
      </c>
      <c r="M4203" s="13" t="s">
        <v>366</v>
      </c>
      <c r="N4203" s="15">
        <v>0</v>
      </c>
      <c r="O4203" s="16">
        <v>0</v>
      </c>
      <c r="P4203" s="17">
        <v>61008.204091488449</v>
      </c>
      <c r="Q4203" s="17">
        <v>0</v>
      </c>
      <c r="R4203" s="13"/>
      <c r="S4203" s="13"/>
      <c r="T4203" s="13"/>
      <c r="U4203" s="13"/>
      <c r="V4203" s="13"/>
      <c r="W4203" s="13"/>
    </row>
    <row r="4204" spans="11:23" x14ac:dyDescent="0.2">
      <c r="K4204" s="13" t="s">
        <v>596</v>
      </c>
      <c r="L4204" s="13" t="s">
        <v>462</v>
      </c>
      <c r="M4204" s="13" t="s">
        <v>370</v>
      </c>
      <c r="N4204" s="15">
        <v>0</v>
      </c>
      <c r="O4204" s="16">
        <v>0</v>
      </c>
      <c r="P4204" s="17">
        <v>357.15214998842089</v>
      </c>
      <c r="Q4204" s="17">
        <v>0</v>
      </c>
      <c r="R4204" s="13"/>
      <c r="S4204" s="13"/>
      <c r="T4204" s="13"/>
      <c r="U4204" s="13"/>
      <c r="V4204" s="13"/>
      <c r="W4204" s="13"/>
    </row>
    <row r="4205" spans="11:23" x14ac:dyDescent="0.2">
      <c r="K4205" s="13" t="s">
        <v>596</v>
      </c>
      <c r="L4205" s="13" t="s">
        <v>456</v>
      </c>
      <c r="M4205" s="13" t="s">
        <v>457</v>
      </c>
      <c r="N4205" s="15">
        <v>0</v>
      </c>
      <c r="O4205" s="16">
        <v>0</v>
      </c>
      <c r="P4205" s="17">
        <v>935.22129995055479</v>
      </c>
      <c r="Q4205" s="17">
        <v>0</v>
      </c>
      <c r="R4205" s="13"/>
      <c r="S4205" s="13"/>
      <c r="T4205" s="13"/>
      <c r="U4205" s="13"/>
      <c r="V4205" s="13"/>
      <c r="W4205" s="13"/>
    </row>
    <row r="4206" spans="11:23" x14ac:dyDescent="0.2">
      <c r="K4206" s="13" t="s">
        <v>596</v>
      </c>
      <c r="L4206" s="13" t="s">
        <v>404</v>
      </c>
      <c r="M4206" s="13" t="s">
        <v>405</v>
      </c>
      <c r="N4206" s="15">
        <v>0</v>
      </c>
      <c r="O4206" s="16">
        <v>0</v>
      </c>
      <c r="P4206" s="17">
        <v>132.62360000366402</v>
      </c>
      <c r="Q4206" s="17">
        <v>552.08177834978517</v>
      </c>
      <c r="R4206" s="13"/>
      <c r="S4206" s="13"/>
      <c r="T4206" s="13"/>
      <c r="U4206" s="13"/>
      <c r="V4206" s="13"/>
      <c r="W4206" s="13"/>
    </row>
    <row r="4207" spans="11:23" x14ac:dyDescent="0.2">
      <c r="K4207" s="13" t="s">
        <v>596</v>
      </c>
      <c r="L4207" s="13" t="s">
        <v>463</v>
      </c>
      <c r="M4207" s="13" t="s">
        <v>372</v>
      </c>
      <c r="N4207" s="15">
        <v>0</v>
      </c>
      <c r="O4207" s="16">
        <v>0</v>
      </c>
      <c r="P4207" s="17">
        <v>86628.227677966424</v>
      </c>
      <c r="Q4207" s="17">
        <v>0</v>
      </c>
      <c r="R4207" s="13"/>
      <c r="S4207" s="13"/>
      <c r="T4207" s="13"/>
      <c r="U4207" s="13"/>
      <c r="V4207" s="13"/>
      <c r="W4207" s="13"/>
    </row>
    <row r="4208" spans="11:23" x14ac:dyDescent="0.2">
      <c r="K4208" s="13" t="s">
        <v>596</v>
      </c>
      <c r="L4208" s="13" t="s">
        <v>381</v>
      </c>
      <c r="M4208" s="13" t="s">
        <v>382</v>
      </c>
      <c r="N4208" s="15">
        <v>41</v>
      </c>
      <c r="O4208" s="16">
        <v>0</v>
      </c>
      <c r="P4208" s="17">
        <v>0</v>
      </c>
      <c r="Q4208" s="17">
        <v>0</v>
      </c>
      <c r="R4208" s="13"/>
      <c r="S4208" s="13"/>
      <c r="T4208" s="13"/>
      <c r="U4208" s="13"/>
      <c r="V4208" s="13"/>
      <c r="W4208" s="13"/>
    </row>
    <row r="4209" spans="11:23" x14ac:dyDescent="0.2">
      <c r="K4209" s="13" t="s">
        <v>596</v>
      </c>
      <c r="L4209" s="13" t="s">
        <v>407</v>
      </c>
      <c r="M4209" s="13" t="s">
        <v>408</v>
      </c>
      <c r="N4209" s="15">
        <v>73</v>
      </c>
      <c r="O4209" s="16">
        <v>0</v>
      </c>
      <c r="P4209" s="17">
        <v>0</v>
      </c>
      <c r="Q4209" s="17">
        <v>0</v>
      </c>
      <c r="R4209" s="13"/>
      <c r="S4209" s="13"/>
      <c r="T4209" s="13"/>
      <c r="U4209" s="13"/>
      <c r="V4209" s="13"/>
      <c r="W4209" s="13"/>
    </row>
    <row r="4210" spans="11:23" x14ac:dyDescent="0.2">
      <c r="K4210" s="13" t="s">
        <v>596</v>
      </c>
      <c r="L4210" s="13" t="s">
        <v>411</v>
      </c>
      <c r="M4210" s="13" t="s">
        <v>362</v>
      </c>
      <c r="N4210" s="15">
        <v>0</v>
      </c>
      <c r="O4210" s="16">
        <v>205.47905557142036</v>
      </c>
      <c r="P4210" s="17">
        <v>0</v>
      </c>
      <c r="Q4210" s="17">
        <v>0</v>
      </c>
      <c r="R4210" s="13"/>
      <c r="S4210" s="13"/>
      <c r="T4210" s="13"/>
      <c r="U4210" s="13"/>
      <c r="V4210" s="13"/>
      <c r="W4210" s="13"/>
    </row>
    <row r="4211" spans="11:23" x14ac:dyDescent="0.2">
      <c r="K4211" s="13" t="s">
        <v>596</v>
      </c>
      <c r="L4211" s="13" t="s">
        <v>411</v>
      </c>
      <c r="M4211" s="13" t="s">
        <v>362</v>
      </c>
      <c r="N4211" s="15">
        <v>1</v>
      </c>
      <c r="O4211" s="16">
        <v>0</v>
      </c>
      <c r="P4211" s="17">
        <v>0</v>
      </c>
      <c r="Q4211" s="17">
        <v>0</v>
      </c>
      <c r="R4211" s="13"/>
      <c r="S4211" s="13"/>
      <c r="T4211" s="13"/>
      <c r="U4211" s="13"/>
      <c r="V4211" s="13"/>
      <c r="W4211" s="13"/>
    </row>
    <row r="4212" spans="11:23" x14ac:dyDescent="0.2">
      <c r="K4212" s="13" t="s">
        <v>596</v>
      </c>
      <c r="L4212" s="13" t="s">
        <v>608</v>
      </c>
      <c r="M4212" s="13" t="s">
        <v>432</v>
      </c>
      <c r="N4212" s="15">
        <v>19</v>
      </c>
      <c r="O4212" s="16">
        <v>0</v>
      </c>
      <c r="P4212" s="17">
        <v>0</v>
      </c>
      <c r="Q4212" s="17">
        <v>0</v>
      </c>
      <c r="R4212" s="13"/>
      <c r="S4212" s="13"/>
      <c r="T4212" s="13"/>
      <c r="U4212" s="13"/>
      <c r="V4212" s="13"/>
      <c r="W4212" s="13"/>
    </row>
    <row r="4213" spans="11:23" x14ac:dyDescent="0.2">
      <c r="K4213" s="13" t="s">
        <v>596</v>
      </c>
      <c r="L4213" s="13" t="s">
        <v>419</v>
      </c>
      <c r="M4213" s="13" t="s">
        <v>442</v>
      </c>
      <c r="N4213" s="15">
        <v>0</v>
      </c>
      <c r="O4213" s="16">
        <v>370.80602469045323</v>
      </c>
      <c r="P4213" s="17">
        <v>0</v>
      </c>
      <c r="Q4213" s="17">
        <v>0</v>
      </c>
      <c r="R4213" s="13"/>
      <c r="S4213" s="13"/>
      <c r="T4213" s="13"/>
      <c r="U4213" s="13"/>
      <c r="V4213" s="13"/>
      <c r="W4213" s="13"/>
    </row>
    <row r="4214" spans="11:23" x14ac:dyDescent="0.2">
      <c r="K4214" s="13" t="s">
        <v>596</v>
      </c>
      <c r="L4214" s="13" t="s">
        <v>421</v>
      </c>
      <c r="M4214" s="13" t="s">
        <v>443</v>
      </c>
      <c r="N4214" s="15">
        <v>1</v>
      </c>
      <c r="O4214" s="16">
        <v>0</v>
      </c>
      <c r="P4214" s="17">
        <v>0</v>
      </c>
      <c r="Q4214" s="17">
        <v>0</v>
      </c>
      <c r="R4214" s="13"/>
      <c r="S4214" s="13"/>
      <c r="T4214" s="13"/>
      <c r="U4214" s="13"/>
      <c r="V4214" s="13"/>
      <c r="W4214" s="13"/>
    </row>
    <row r="4215" spans="11:23" x14ac:dyDescent="0.2">
      <c r="K4215" s="13" t="s">
        <v>596</v>
      </c>
      <c r="L4215" s="13" t="s">
        <v>383</v>
      </c>
      <c r="M4215" s="13" t="s">
        <v>420</v>
      </c>
      <c r="N4215" s="15">
        <v>1</v>
      </c>
      <c r="O4215" s="16">
        <v>0</v>
      </c>
      <c r="P4215" s="17">
        <v>0</v>
      </c>
      <c r="Q4215" s="17">
        <v>0</v>
      </c>
      <c r="R4215" s="13"/>
      <c r="S4215" s="13"/>
      <c r="T4215" s="13"/>
      <c r="U4215" s="13"/>
      <c r="V4215" s="13"/>
      <c r="W4215" s="13"/>
    </row>
    <row r="4216" spans="11:23" x14ac:dyDescent="0.2">
      <c r="K4216" s="13" t="s">
        <v>596</v>
      </c>
      <c r="L4216" s="13" t="s">
        <v>502</v>
      </c>
      <c r="M4216" s="13" t="s">
        <v>367</v>
      </c>
      <c r="N4216" s="15">
        <v>68</v>
      </c>
      <c r="O4216" s="16">
        <v>0</v>
      </c>
      <c r="P4216" s="17">
        <v>0</v>
      </c>
      <c r="Q4216" s="17">
        <v>0</v>
      </c>
      <c r="R4216" s="13"/>
      <c r="S4216" s="13"/>
      <c r="T4216" s="13"/>
      <c r="U4216" s="13"/>
      <c r="V4216" s="13"/>
      <c r="W4216" s="13"/>
    </row>
    <row r="4217" spans="11:23" x14ac:dyDescent="0.2">
      <c r="K4217" s="13" t="s">
        <v>596</v>
      </c>
      <c r="L4217" s="13" t="s">
        <v>433</v>
      </c>
      <c r="M4217" s="13" t="s">
        <v>434</v>
      </c>
      <c r="N4217" s="15">
        <v>0</v>
      </c>
      <c r="O4217" s="16">
        <v>0</v>
      </c>
      <c r="P4217" s="17">
        <v>854.70564999562794</v>
      </c>
      <c r="Q4217" s="17">
        <v>0</v>
      </c>
      <c r="R4217" s="13"/>
      <c r="S4217" s="13"/>
      <c r="T4217" s="13"/>
      <c r="U4217" s="13"/>
      <c r="V4217" s="13"/>
      <c r="W4217" s="13"/>
    </row>
    <row r="4218" spans="11:23" x14ac:dyDescent="0.2">
      <c r="K4218" s="13" t="s">
        <v>597</v>
      </c>
      <c r="L4218" s="13" t="s">
        <v>387</v>
      </c>
      <c r="M4218" s="13" t="s">
        <v>386</v>
      </c>
      <c r="N4218" s="15">
        <v>0</v>
      </c>
      <c r="O4218" s="16">
        <v>0</v>
      </c>
      <c r="P4218" s="17">
        <v>89.090450000885014</v>
      </c>
      <c r="Q4218" s="17">
        <v>0</v>
      </c>
      <c r="R4218" s="13"/>
      <c r="S4218" s="13"/>
      <c r="T4218" s="13"/>
      <c r="U4218" s="13"/>
      <c r="V4218" s="13"/>
      <c r="W4218" s="13"/>
    </row>
    <row r="4219" spans="11:23" x14ac:dyDescent="0.2">
      <c r="K4219" s="13" t="s">
        <v>597</v>
      </c>
      <c r="L4219" s="13" t="s">
        <v>389</v>
      </c>
      <c r="M4219" s="13" t="s">
        <v>388</v>
      </c>
      <c r="N4219" s="15">
        <v>0</v>
      </c>
      <c r="O4219" s="16">
        <v>0</v>
      </c>
      <c r="P4219" s="17">
        <v>8.4545500048926794</v>
      </c>
      <c r="Q4219" s="17">
        <v>0</v>
      </c>
      <c r="R4219" s="13"/>
      <c r="S4219" s="13"/>
      <c r="T4219" s="13"/>
      <c r="U4219" s="13"/>
      <c r="V4219" s="13"/>
      <c r="W4219" s="13"/>
    </row>
    <row r="4220" spans="11:23" x14ac:dyDescent="0.2">
      <c r="K4220" s="13" t="s">
        <v>597</v>
      </c>
      <c r="L4220" s="13" t="s">
        <v>542</v>
      </c>
      <c r="M4220" s="13" t="s">
        <v>390</v>
      </c>
      <c r="N4220" s="15">
        <v>0</v>
      </c>
      <c r="O4220" s="16">
        <v>0</v>
      </c>
      <c r="P4220" s="17">
        <v>70.944849994187109</v>
      </c>
      <c r="Q4220" s="17">
        <v>0</v>
      </c>
      <c r="R4220" s="13"/>
      <c r="S4220" s="13"/>
      <c r="T4220" s="13"/>
      <c r="U4220" s="13"/>
      <c r="V4220" s="13"/>
      <c r="W4220" s="13"/>
    </row>
    <row r="4221" spans="11:23" x14ac:dyDescent="0.2">
      <c r="K4221" s="13" t="s">
        <v>597</v>
      </c>
      <c r="L4221" s="13" t="s">
        <v>401</v>
      </c>
      <c r="M4221" s="13" t="s">
        <v>360</v>
      </c>
      <c r="N4221" s="15">
        <v>0</v>
      </c>
      <c r="O4221" s="16">
        <v>0</v>
      </c>
      <c r="P4221" s="17">
        <v>5777.0522498555738</v>
      </c>
      <c r="Q4221" s="17">
        <v>0</v>
      </c>
      <c r="R4221" s="13"/>
      <c r="S4221" s="13"/>
      <c r="T4221" s="13"/>
      <c r="U4221" s="13"/>
      <c r="V4221" s="13"/>
      <c r="W4221" s="13"/>
    </row>
    <row r="4222" spans="11:23" x14ac:dyDescent="0.2">
      <c r="K4222" s="13" t="s">
        <v>597</v>
      </c>
      <c r="L4222" s="13" t="s">
        <v>402</v>
      </c>
      <c r="M4222" s="13" t="s">
        <v>403</v>
      </c>
      <c r="N4222" s="15">
        <v>0</v>
      </c>
      <c r="O4222" s="16">
        <v>0</v>
      </c>
      <c r="P4222" s="17">
        <v>3198.4723499966112</v>
      </c>
      <c r="Q4222" s="17">
        <v>0</v>
      </c>
      <c r="R4222" s="13"/>
      <c r="S4222" s="13"/>
      <c r="T4222" s="13"/>
      <c r="U4222" s="13"/>
      <c r="V4222" s="13"/>
      <c r="W4222" s="13"/>
    </row>
    <row r="4223" spans="11:23" x14ac:dyDescent="0.2">
      <c r="K4223" s="13" t="s">
        <v>597</v>
      </c>
      <c r="L4223" s="13" t="s">
        <v>473</v>
      </c>
      <c r="M4223" s="13" t="s">
        <v>474</v>
      </c>
      <c r="N4223" s="15">
        <v>0</v>
      </c>
      <c r="O4223" s="16">
        <v>0</v>
      </c>
      <c r="P4223" s="17">
        <v>250.32080251254783</v>
      </c>
      <c r="Q4223" s="17">
        <v>0</v>
      </c>
      <c r="R4223" s="13"/>
      <c r="S4223" s="13"/>
      <c r="T4223" s="13"/>
      <c r="U4223" s="13"/>
      <c r="V4223" s="13"/>
      <c r="W4223" s="13"/>
    </row>
    <row r="4224" spans="11:23" x14ac:dyDescent="0.2">
      <c r="K4224" s="13" t="s">
        <v>597</v>
      </c>
      <c r="L4224" s="13" t="s">
        <v>448</v>
      </c>
      <c r="M4224" s="13" t="s">
        <v>366</v>
      </c>
      <c r="N4224" s="15">
        <v>0</v>
      </c>
      <c r="O4224" s="16">
        <v>0</v>
      </c>
      <c r="P4224" s="17">
        <v>2816.2460570829021</v>
      </c>
      <c r="Q4224" s="17">
        <v>0</v>
      </c>
      <c r="R4224" s="13"/>
      <c r="S4224" s="13"/>
      <c r="T4224" s="13"/>
      <c r="U4224" s="13"/>
      <c r="V4224" s="13"/>
      <c r="W4224" s="13"/>
    </row>
    <row r="4225" spans="11:23" x14ac:dyDescent="0.2">
      <c r="K4225" s="13" t="s">
        <v>597</v>
      </c>
      <c r="L4225" s="13" t="s">
        <v>462</v>
      </c>
      <c r="M4225" s="13" t="s">
        <v>370</v>
      </c>
      <c r="N4225" s="15">
        <v>0</v>
      </c>
      <c r="O4225" s="16">
        <v>0</v>
      </c>
      <c r="P4225" s="17">
        <v>39.801650005475182</v>
      </c>
      <c r="Q4225" s="17">
        <v>0</v>
      </c>
      <c r="R4225" s="13"/>
      <c r="S4225" s="13"/>
      <c r="T4225" s="13"/>
      <c r="U4225" s="13"/>
      <c r="V4225" s="13"/>
      <c r="W4225" s="13"/>
    </row>
    <row r="4226" spans="11:23" x14ac:dyDescent="0.2">
      <c r="K4226" s="13" t="s">
        <v>597</v>
      </c>
      <c r="L4226" s="13" t="s">
        <v>404</v>
      </c>
      <c r="M4226" s="13" t="s">
        <v>405</v>
      </c>
      <c r="N4226" s="15">
        <v>0</v>
      </c>
      <c r="O4226" s="16">
        <v>0</v>
      </c>
      <c r="P4226" s="17">
        <v>229.85509997355365</v>
      </c>
      <c r="Q4226" s="17">
        <v>629.99908578456575</v>
      </c>
      <c r="R4226" s="13"/>
      <c r="S4226" s="13"/>
      <c r="T4226" s="13"/>
      <c r="U4226" s="13"/>
      <c r="V4226" s="13"/>
      <c r="W4226" s="13"/>
    </row>
    <row r="4227" spans="11:23" x14ac:dyDescent="0.2">
      <c r="K4227" s="13" t="s">
        <v>597</v>
      </c>
      <c r="L4227" s="13" t="s">
        <v>463</v>
      </c>
      <c r="M4227" s="13" t="s">
        <v>372</v>
      </c>
      <c r="N4227" s="15">
        <v>0</v>
      </c>
      <c r="O4227" s="16">
        <v>0</v>
      </c>
      <c r="P4227" s="17">
        <v>12480.238059426625</v>
      </c>
      <c r="Q4227" s="17">
        <v>0</v>
      </c>
      <c r="R4227" s="13"/>
      <c r="S4227" s="13"/>
      <c r="T4227" s="13"/>
      <c r="U4227" s="13"/>
      <c r="V4227" s="13"/>
      <c r="W4227" s="13"/>
    </row>
    <row r="4228" spans="11:23" x14ac:dyDescent="0.2">
      <c r="K4228" s="13" t="s">
        <v>597</v>
      </c>
      <c r="L4228" s="13" t="s">
        <v>381</v>
      </c>
      <c r="M4228" s="13" t="s">
        <v>382</v>
      </c>
      <c r="N4228" s="15">
        <v>7</v>
      </c>
      <c r="O4228" s="16">
        <v>0</v>
      </c>
      <c r="P4228" s="17">
        <v>0</v>
      </c>
      <c r="Q4228" s="17">
        <v>0</v>
      </c>
      <c r="R4228" s="13"/>
      <c r="S4228" s="13"/>
      <c r="T4228" s="13"/>
      <c r="U4228" s="13"/>
      <c r="V4228" s="13"/>
      <c r="W4228" s="13"/>
    </row>
    <row r="4229" spans="11:23" x14ac:dyDescent="0.2">
      <c r="K4229" s="13" t="s">
        <v>597</v>
      </c>
      <c r="L4229" s="13" t="s">
        <v>407</v>
      </c>
      <c r="M4229" s="13" t="s">
        <v>408</v>
      </c>
      <c r="N4229" s="15">
        <v>171</v>
      </c>
      <c r="O4229" s="16">
        <v>0</v>
      </c>
      <c r="P4229" s="17">
        <v>0</v>
      </c>
      <c r="Q4229" s="17">
        <v>0</v>
      </c>
      <c r="R4229" s="13"/>
      <c r="S4229" s="13"/>
      <c r="T4229" s="13"/>
      <c r="U4229" s="13"/>
      <c r="V4229" s="13"/>
      <c r="W4229" s="13"/>
    </row>
    <row r="4230" spans="11:23" x14ac:dyDescent="0.2">
      <c r="K4230" s="13" t="s">
        <v>597</v>
      </c>
      <c r="L4230" s="13" t="s">
        <v>505</v>
      </c>
      <c r="M4230" s="13" t="s">
        <v>506</v>
      </c>
      <c r="N4230" s="15">
        <v>1</v>
      </c>
      <c r="O4230" s="16">
        <v>0</v>
      </c>
      <c r="P4230" s="17">
        <v>0</v>
      </c>
      <c r="Q4230" s="17">
        <v>0</v>
      </c>
      <c r="R4230" s="13"/>
      <c r="S4230" s="13"/>
      <c r="T4230" s="13"/>
      <c r="U4230" s="13"/>
      <c r="V4230" s="13"/>
      <c r="W4230" s="13"/>
    </row>
    <row r="4231" spans="11:23" x14ac:dyDescent="0.2">
      <c r="K4231" s="13" t="s">
        <v>597</v>
      </c>
      <c r="L4231" s="13" t="s">
        <v>540</v>
      </c>
      <c r="M4231" s="13" t="s">
        <v>541</v>
      </c>
      <c r="N4231" s="15">
        <v>158</v>
      </c>
      <c r="O4231" s="16">
        <v>0</v>
      </c>
      <c r="P4231" s="17">
        <v>0</v>
      </c>
      <c r="Q4231" s="17">
        <v>0</v>
      </c>
      <c r="R4231" s="13"/>
      <c r="S4231" s="13"/>
      <c r="T4231" s="13"/>
      <c r="U4231" s="13"/>
      <c r="V4231" s="13"/>
      <c r="W4231" s="13"/>
    </row>
    <row r="4232" spans="11:23" x14ac:dyDescent="0.2">
      <c r="K4232" s="13" t="s">
        <v>597</v>
      </c>
      <c r="L4232" s="13" t="s">
        <v>383</v>
      </c>
      <c r="M4232" s="13" t="s">
        <v>420</v>
      </c>
      <c r="N4232" s="15">
        <v>2</v>
      </c>
      <c r="O4232" s="16">
        <v>0</v>
      </c>
      <c r="P4232" s="17">
        <v>0</v>
      </c>
      <c r="Q4232" s="17">
        <v>0</v>
      </c>
      <c r="R4232" s="13"/>
      <c r="S4232" s="13"/>
      <c r="T4232" s="13"/>
      <c r="U4232" s="13"/>
      <c r="V4232" s="13"/>
      <c r="W4232" s="13"/>
    </row>
    <row r="4233" spans="11:23" x14ac:dyDescent="0.2">
      <c r="K4233" s="13" t="s">
        <v>597</v>
      </c>
      <c r="L4233" s="13" t="s">
        <v>614</v>
      </c>
      <c r="M4233" s="13" t="s">
        <v>447</v>
      </c>
      <c r="N4233" s="15">
        <v>2</v>
      </c>
      <c r="O4233" s="16">
        <v>0</v>
      </c>
      <c r="P4233" s="17">
        <v>0</v>
      </c>
      <c r="Q4233" s="17">
        <v>0</v>
      </c>
      <c r="R4233" s="13"/>
      <c r="S4233" s="13"/>
      <c r="T4233" s="13"/>
      <c r="U4233" s="13"/>
      <c r="V4233" s="13"/>
      <c r="W4233" s="13"/>
    </row>
    <row r="4234" spans="11:23" x14ac:dyDescent="0.2">
      <c r="K4234" s="13" t="s">
        <v>597</v>
      </c>
      <c r="L4234" s="13" t="s">
        <v>502</v>
      </c>
      <c r="M4234" s="13" t="s">
        <v>367</v>
      </c>
      <c r="N4234" s="15">
        <v>18</v>
      </c>
      <c r="O4234" s="16">
        <v>0</v>
      </c>
      <c r="P4234" s="17">
        <v>0</v>
      </c>
      <c r="Q4234" s="17">
        <v>0</v>
      </c>
      <c r="R4234" s="13"/>
      <c r="S4234" s="13"/>
      <c r="T4234" s="13"/>
      <c r="U4234" s="13"/>
      <c r="V4234" s="13"/>
      <c r="W4234" s="13"/>
    </row>
    <row r="4235" spans="11:23" x14ac:dyDescent="0.2">
      <c r="K4235" s="13" t="s">
        <v>306</v>
      </c>
      <c r="L4235" s="13" t="s">
        <v>435</v>
      </c>
      <c r="M4235" s="13" t="s">
        <v>364</v>
      </c>
      <c r="N4235" s="15">
        <v>0</v>
      </c>
      <c r="O4235" s="16">
        <v>33.164583030113931</v>
      </c>
      <c r="P4235" s="17">
        <v>0</v>
      </c>
      <c r="Q4235" s="17">
        <v>0</v>
      </c>
      <c r="R4235" s="13"/>
      <c r="S4235" s="13"/>
      <c r="T4235" s="13"/>
      <c r="U4235" s="13"/>
      <c r="V4235" s="13"/>
      <c r="W4235" s="13"/>
    </row>
    <row r="4236" spans="11:23" x14ac:dyDescent="0.2">
      <c r="K4236" s="13" t="s">
        <v>306</v>
      </c>
      <c r="L4236" s="13" t="s">
        <v>389</v>
      </c>
      <c r="M4236" s="13" t="s">
        <v>388</v>
      </c>
      <c r="N4236" s="15">
        <v>0</v>
      </c>
      <c r="O4236" s="16">
        <v>0</v>
      </c>
      <c r="P4236" s="17">
        <v>190.37254999542094</v>
      </c>
      <c r="Q4236" s="17">
        <v>0</v>
      </c>
      <c r="R4236" s="13"/>
      <c r="S4236" s="13"/>
      <c r="T4236" s="13"/>
      <c r="U4236" s="13"/>
      <c r="V4236" s="13"/>
      <c r="W4236" s="13"/>
    </row>
    <row r="4237" spans="11:23" x14ac:dyDescent="0.2">
      <c r="K4237" s="13" t="s">
        <v>306</v>
      </c>
      <c r="L4237" s="13" t="s">
        <v>486</v>
      </c>
      <c r="M4237" s="13" t="s">
        <v>439</v>
      </c>
      <c r="N4237" s="15">
        <v>0</v>
      </c>
      <c r="O4237" s="16">
        <v>0</v>
      </c>
      <c r="P4237" s="17">
        <v>17.014499991657338</v>
      </c>
      <c r="Q4237" s="17">
        <v>0</v>
      </c>
      <c r="R4237" s="13"/>
      <c r="S4237" s="13"/>
      <c r="T4237" s="13"/>
      <c r="U4237" s="13"/>
      <c r="V4237" s="13"/>
      <c r="W4237" s="13"/>
    </row>
    <row r="4238" spans="11:23" x14ac:dyDescent="0.2">
      <c r="K4238" s="13" t="s">
        <v>306</v>
      </c>
      <c r="L4238" s="13" t="s">
        <v>440</v>
      </c>
      <c r="M4238" s="13" t="s">
        <v>441</v>
      </c>
      <c r="N4238" s="15">
        <v>3</v>
      </c>
      <c r="O4238" s="16">
        <v>0</v>
      </c>
      <c r="P4238" s="17">
        <v>0</v>
      </c>
      <c r="Q4238" s="17">
        <v>0</v>
      </c>
      <c r="R4238" s="13"/>
      <c r="S4238" s="13"/>
      <c r="T4238" s="13"/>
      <c r="U4238" s="13"/>
      <c r="V4238" s="13"/>
      <c r="W4238" s="13"/>
    </row>
    <row r="4239" spans="11:23" x14ac:dyDescent="0.2">
      <c r="K4239" s="13" t="s">
        <v>306</v>
      </c>
      <c r="L4239" s="13" t="s">
        <v>397</v>
      </c>
      <c r="M4239" s="13" t="s">
        <v>398</v>
      </c>
      <c r="N4239" s="15">
        <v>0</v>
      </c>
      <c r="O4239" s="16">
        <v>0</v>
      </c>
      <c r="P4239" s="17">
        <v>13.456000001386622</v>
      </c>
      <c r="Q4239" s="17">
        <v>0</v>
      </c>
      <c r="R4239" s="13"/>
      <c r="S4239" s="13"/>
      <c r="T4239" s="13"/>
      <c r="U4239" s="13"/>
      <c r="V4239" s="13"/>
      <c r="W4239" s="13"/>
    </row>
    <row r="4240" spans="11:23" x14ac:dyDescent="0.2">
      <c r="K4240" s="13" t="s">
        <v>306</v>
      </c>
      <c r="L4240" s="13" t="s">
        <v>399</v>
      </c>
      <c r="M4240" s="13" t="s">
        <v>400</v>
      </c>
      <c r="N4240" s="15">
        <v>0</v>
      </c>
      <c r="O4240" s="16">
        <v>0</v>
      </c>
      <c r="P4240" s="17">
        <v>9.5259499996688213</v>
      </c>
      <c r="Q4240" s="17">
        <v>0</v>
      </c>
      <c r="R4240" s="13"/>
      <c r="S4240" s="13"/>
      <c r="T4240" s="13"/>
      <c r="U4240" s="13"/>
      <c r="V4240" s="13"/>
      <c r="W4240" s="13"/>
    </row>
    <row r="4241" spans="11:23" x14ac:dyDescent="0.2">
      <c r="K4241" s="13" t="s">
        <v>306</v>
      </c>
      <c r="L4241" s="13" t="s">
        <v>402</v>
      </c>
      <c r="M4241" s="13" t="s">
        <v>403</v>
      </c>
      <c r="N4241" s="15">
        <v>0</v>
      </c>
      <c r="O4241" s="16">
        <v>0</v>
      </c>
      <c r="P4241" s="17">
        <v>178.38295000322205</v>
      </c>
      <c r="Q4241" s="17">
        <v>0</v>
      </c>
      <c r="R4241" s="13"/>
      <c r="S4241" s="13"/>
      <c r="T4241" s="13"/>
      <c r="U4241" s="13"/>
      <c r="V4241" s="13"/>
      <c r="W4241" s="13"/>
    </row>
    <row r="4242" spans="11:23" x14ac:dyDescent="0.2">
      <c r="K4242" s="13" t="s">
        <v>306</v>
      </c>
      <c r="L4242" s="13" t="s">
        <v>448</v>
      </c>
      <c r="M4242" s="13" t="s">
        <v>366</v>
      </c>
      <c r="N4242" s="15">
        <v>0</v>
      </c>
      <c r="O4242" s="16">
        <v>0</v>
      </c>
      <c r="P4242" s="17">
        <v>73.423650003056295</v>
      </c>
      <c r="Q4242" s="17">
        <v>0</v>
      </c>
      <c r="R4242" s="13"/>
      <c r="S4242" s="13"/>
      <c r="T4242" s="13"/>
      <c r="U4242" s="13"/>
      <c r="V4242" s="13"/>
      <c r="W4242" s="13"/>
    </row>
    <row r="4243" spans="11:23" x14ac:dyDescent="0.2">
      <c r="K4243" s="13" t="s">
        <v>306</v>
      </c>
      <c r="L4243" s="13" t="s">
        <v>404</v>
      </c>
      <c r="M4243" s="13" t="s">
        <v>405</v>
      </c>
      <c r="N4243" s="15">
        <v>0</v>
      </c>
      <c r="O4243" s="16">
        <v>0</v>
      </c>
      <c r="P4243" s="17">
        <v>58.480599982595805</v>
      </c>
      <c r="Q4243" s="17">
        <v>242.02059602395988</v>
      </c>
      <c r="R4243" s="13"/>
      <c r="S4243" s="13"/>
      <c r="T4243" s="13"/>
      <c r="U4243" s="13"/>
      <c r="V4243" s="13"/>
      <c r="W4243" s="13"/>
    </row>
    <row r="4244" spans="11:23" x14ac:dyDescent="0.2">
      <c r="K4244" s="13" t="s">
        <v>306</v>
      </c>
      <c r="L4244" s="13" t="s">
        <v>381</v>
      </c>
      <c r="M4244" s="13" t="s">
        <v>382</v>
      </c>
      <c r="N4244" s="15">
        <v>4</v>
      </c>
      <c r="O4244" s="16">
        <v>0</v>
      </c>
      <c r="P4244" s="17">
        <v>0</v>
      </c>
      <c r="Q4244" s="17">
        <v>0</v>
      </c>
      <c r="R4244" s="13"/>
      <c r="S4244" s="13"/>
      <c r="T4244" s="13"/>
      <c r="U4244" s="13"/>
      <c r="V4244" s="13"/>
      <c r="W4244" s="13"/>
    </row>
    <row r="4245" spans="11:23" x14ac:dyDescent="0.2">
      <c r="K4245" s="13" t="s">
        <v>306</v>
      </c>
      <c r="L4245" s="13" t="s">
        <v>409</v>
      </c>
      <c r="M4245" s="13" t="s">
        <v>410</v>
      </c>
      <c r="N4245" s="15">
        <v>2</v>
      </c>
      <c r="O4245" s="16">
        <v>0</v>
      </c>
      <c r="P4245" s="17">
        <v>0</v>
      </c>
      <c r="Q4245" s="17">
        <v>0</v>
      </c>
      <c r="R4245" s="13"/>
      <c r="S4245" s="13"/>
      <c r="T4245" s="13"/>
      <c r="U4245" s="13"/>
      <c r="V4245" s="13"/>
      <c r="W4245" s="13"/>
    </row>
    <row r="4246" spans="11:23" x14ac:dyDescent="0.2">
      <c r="K4246" s="13" t="s">
        <v>306</v>
      </c>
      <c r="L4246" s="13" t="s">
        <v>411</v>
      </c>
      <c r="M4246" s="13" t="s">
        <v>362</v>
      </c>
      <c r="N4246" s="15">
        <v>0</v>
      </c>
      <c r="O4246" s="16">
        <v>8.6086514666846767</v>
      </c>
      <c r="P4246" s="17">
        <v>0</v>
      </c>
      <c r="Q4246" s="17">
        <v>0</v>
      </c>
      <c r="R4246" s="13"/>
      <c r="S4246" s="13"/>
      <c r="T4246" s="13"/>
      <c r="U4246" s="13"/>
      <c r="V4246" s="13"/>
      <c r="W4246" s="13"/>
    </row>
    <row r="4247" spans="11:23" x14ac:dyDescent="0.2">
      <c r="K4247" s="13" t="s">
        <v>306</v>
      </c>
      <c r="L4247" s="13" t="s">
        <v>623</v>
      </c>
      <c r="M4247" s="13" t="s">
        <v>530</v>
      </c>
      <c r="N4247" s="15">
        <v>0</v>
      </c>
      <c r="O4247" s="16">
        <v>38.162335626315311</v>
      </c>
      <c r="P4247" s="17">
        <v>0</v>
      </c>
      <c r="Q4247" s="17">
        <v>0</v>
      </c>
      <c r="R4247" s="13"/>
      <c r="S4247" s="13"/>
      <c r="T4247" s="13"/>
      <c r="U4247" s="13"/>
      <c r="V4247" s="13"/>
      <c r="W4247" s="13"/>
    </row>
    <row r="4248" spans="11:23" x14ac:dyDescent="0.2">
      <c r="K4248" s="13" t="s">
        <v>306</v>
      </c>
      <c r="L4248" s="13" t="s">
        <v>607</v>
      </c>
      <c r="M4248" s="13" t="s">
        <v>431</v>
      </c>
      <c r="N4248" s="15">
        <v>2</v>
      </c>
      <c r="O4248" s="16">
        <v>0</v>
      </c>
      <c r="P4248" s="17">
        <v>0</v>
      </c>
      <c r="Q4248" s="17">
        <v>0</v>
      </c>
      <c r="R4248" s="13"/>
      <c r="S4248" s="13"/>
      <c r="T4248" s="13"/>
      <c r="U4248" s="13"/>
      <c r="V4248" s="13"/>
      <c r="W4248" s="13"/>
    </row>
    <row r="4249" spans="11:23" x14ac:dyDescent="0.2">
      <c r="K4249" s="13" t="s">
        <v>306</v>
      </c>
      <c r="L4249" s="13" t="s">
        <v>615</v>
      </c>
      <c r="M4249" s="13" t="s">
        <v>449</v>
      </c>
      <c r="N4249" s="15">
        <v>1</v>
      </c>
      <c r="O4249" s="16">
        <v>0</v>
      </c>
      <c r="P4249" s="17">
        <v>0</v>
      </c>
      <c r="Q4249" s="17">
        <v>0</v>
      </c>
      <c r="R4249" s="13"/>
      <c r="S4249" s="13"/>
      <c r="T4249" s="13"/>
      <c r="U4249" s="13"/>
      <c r="V4249" s="13"/>
      <c r="W4249" s="13"/>
    </row>
    <row r="4250" spans="11:23" x14ac:dyDescent="0.2">
      <c r="K4250" s="13" t="s">
        <v>306</v>
      </c>
      <c r="L4250" s="13" t="s">
        <v>528</v>
      </c>
      <c r="M4250" s="13" t="s">
        <v>384</v>
      </c>
      <c r="N4250" s="15">
        <v>0</v>
      </c>
      <c r="O4250" s="16">
        <v>1.7216561784133455</v>
      </c>
      <c r="P4250" s="17">
        <v>0</v>
      </c>
      <c r="Q4250" s="17">
        <v>0</v>
      </c>
      <c r="R4250" s="13"/>
      <c r="S4250" s="13"/>
      <c r="T4250" s="13"/>
      <c r="U4250" s="13"/>
      <c r="V4250" s="13"/>
      <c r="W4250" s="13"/>
    </row>
    <row r="4251" spans="11:23" x14ac:dyDescent="0.2">
      <c r="K4251" s="13" t="s">
        <v>306</v>
      </c>
      <c r="L4251" s="13" t="s">
        <v>446</v>
      </c>
      <c r="M4251" s="13" t="s">
        <v>371</v>
      </c>
      <c r="N4251" s="15">
        <v>4</v>
      </c>
      <c r="O4251" s="16">
        <v>0</v>
      </c>
      <c r="P4251" s="17">
        <v>0</v>
      </c>
      <c r="Q4251" s="17">
        <v>0</v>
      </c>
      <c r="R4251" s="13"/>
      <c r="S4251" s="13"/>
      <c r="T4251" s="13"/>
      <c r="U4251" s="13"/>
      <c r="V4251" s="13"/>
      <c r="W4251" s="13"/>
    </row>
    <row r="4252" spans="11:23" x14ac:dyDescent="0.2">
      <c r="K4252" s="13" t="s">
        <v>589</v>
      </c>
      <c r="L4252" s="13" t="s">
        <v>435</v>
      </c>
      <c r="M4252" s="13" t="s">
        <v>364</v>
      </c>
      <c r="N4252" s="15">
        <v>0</v>
      </c>
      <c r="O4252" s="16">
        <v>0</v>
      </c>
      <c r="P4252" s="17">
        <v>144.62939999378989</v>
      </c>
      <c r="Q4252" s="17">
        <v>0</v>
      </c>
      <c r="R4252" s="13"/>
      <c r="S4252" s="13"/>
      <c r="T4252" s="13"/>
      <c r="U4252" s="13"/>
      <c r="V4252" s="13"/>
      <c r="W4252" s="13"/>
    </row>
    <row r="4253" spans="11:23" x14ac:dyDescent="0.2">
      <c r="K4253" s="13" t="s">
        <v>589</v>
      </c>
      <c r="L4253" s="13" t="s">
        <v>481</v>
      </c>
      <c r="M4253" s="13" t="s">
        <v>374</v>
      </c>
      <c r="N4253" s="15">
        <v>0</v>
      </c>
      <c r="O4253" s="16">
        <v>0</v>
      </c>
      <c r="P4253" s="17">
        <v>13.767150002555828</v>
      </c>
      <c r="Q4253" s="17">
        <v>0</v>
      </c>
      <c r="R4253" s="13"/>
      <c r="S4253" s="13"/>
      <c r="T4253" s="13"/>
      <c r="U4253" s="13"/>
      <c r="V4253" s="13"/>
      <c r="W4253" s="13"/>
    </row>
    <row r="4254" spans="11:23" x14ac:dyDescent="0.2">
      <c r="K4254" s="13" t="s">
        <v>589</v>
      </c>
      <c r="L4254" s="13" t="s">
        <v>389</v>
      </c>
      <c r="M4254" s="13" t="s">
        <v>388</v>
      </c>
      <c r="N4254" s="15">
        <v>0</v>
      </c>
      <c r="O4254" s="16">
        <v>0</v>
      </c>
      <c r="P4254" s="17">
        <v>165.26870000430031</v>
      </c>
      <c r="Q4254" s="17">
        <v>0</v>
      </c>
      <c r="R4254" s="13"/>
      <c r="S4254" s="13"/>
      <c r="T4254" s="13"/>
      <c r="U4254" s="13"/>
      <c r="V4254" s="13"/>
      <c r="W4254" s="13"/>
    </row>
    <row r="4255" spans="11:23" x14ac:dyDescent="0.2">
      <c r="K4255" s="13" t="s">
        <v>589</v>
      </c>
      <c r="L4255" s="13" t="s">
        <v>542</v>
      </c>
      <c r="M4255" s="13" t="s">
        <v>390</v>
      </c>
      <c r="N4255" s="15">
        <v>0</v>
      </c>
      <c r="O4255" s="16">
        <v>0</v>
      </c>
      <c r="P4255" s="17">
        <v>804.13353437127125</v>
      </c>
      <c r="Q4255" s="17">
        <v>0</v>
      </c>
      <c r="R4255" s="13"/>
      <c r="S4255" s="13"/>
      <c r="T4255" s="13"/>
      <c r="U4255" s="13"/>
      <c r="V4255" s="13"/>
      <c r="W4255" s="13"/>
    </row>
    <row r="4256" spans="11:23" x14ac:dyDescent="0.2">
      <c r="K4256" s="13" t="s">
        <v>589</v>
      </c>
      <c r="L4256" s="13" t="s">
        <v>626</v>
      </c>
      <c r="M4256" s="13" t="s">
        <v>543</v>
      </c>
      <c r="N4256" s="15">
        <v>0</v>
      </c>
      <c r="O4256" s="16">
        <v>0</v>
      </c>
      <c r="P4256" s="17">
        <v>59.296150005926521</v>
      </c>
      <c r="Q4256" s="17">
        <v>0</v>
      </c>
      <c r="R4256" s="13"/>
      <c r="S4256" s="13"/>
      <c r="T4256" s="13"/>
      <c r="U4256" s="13"/>
      <c r="V4256" s="13"/>
      <c r="W4256" s="13"/>
    </row>
    <row r="4257" spans="11:23" x14ac:dyDescent="0.2">
      <c r="K4257" s="13" t="s">
        <v>589</v>
      </c>
      <c r="L4257" s="13" t="s">
        <v>391</v>
      </c>
      <c r="M4257" s="13" t="s">
        <v>358</v>
      </c>
      <c r="N4257" s="15">
        <v>0</v>
      </c>
      <c r="O4257" s="16">
        <v>0</v>
      </c>
      <c r="P4257" s="17">
        <v>2317.3824499556349</v>
      </c>
      <c r="Q4257" s="17">
        <v>0</v>
      </c>
      <c r="R4257" s="13"/>
      <c r="S4257" s="13"/>
      <c r="T4257" s="13"/>
      <c r="U4257" s="13"/>
      <c r="V4257" s="13"/>
      <c r="W4257" s="13"/>
    </row>
    <row r="4258" spans="11:23" x14ac:dyDescent="0.2">
      <c r="K4258" s="13" t="s">
        <v>589</v>
      </c>
      <c r="L4258" s="13" t="s">
        <v>450</v>
      </c>
      <c r="M4258" s="13" t="s">
        <v>368</v>
      </c>
      <c r="N4258" s="15">
        <v>0</v>
      </c>
      <c r="O4258" s="16">
        <v>0</v>
      </c>
      <c r="P4258" s="17">
        <v>774.66778478914125</v>
      </c>
      <c r="Q4258" s="17">
        <v>0</v>
      </c>
      <c r="R4258" s="13"/>
      <c r="S4258" s="13"/>
      <c r="T4258" s="13"/>
      <c r="U4258" s="13"/>
      <c r="V4258" s="13"/>
      <c r="W4258" s="13"/>
    </row>
    <row r="4259" spans="11:23" x14ac:dyDescent="0.2">
      <c r="K4259" s="13" t="s">
        <v>589</v>
      </c>
      <c r="L4259" s="13" t="s">
        <v>392</v>
      </c>
      <c r="M4259" s="13" t="s">
        <v>437</v>
      </c>
      <c r="N4259" s="15">
        <v>0</v>
      </c>
      <c r="O4259" s="16">
        <v>0</v>
      </c>
      <c r="P4259" s="17">
        <v>44.46658154225365</v>
      </c>
      <c r="Q4259" s="17">
        <v>0</v>
      </c>
      <c r="R4259" s="13"/>
      <c r="S4259" s="13"/>
      <c r="T4259" s="13"/>
      <c r="U4259" s="13"/>
      <c r="V4259" s="13"/>
      <c r="W4259" s="13"/>
    </row>
    <row r="4260" spans="11:23" x14ac:dyDescent="0.2">
      <c r="K4260" s="13" t="s">
        <v>589</v>
      </c>
      <c r="L4260" s="13" t="s">
        <v>486</v>
      </c>
      <c r="M4260" s="13" t="s">
        <v>439</v>
      </c>
      <c r="N4260" s="15">
        <v>0</v>
      </c>
      <c r="O4260" s="16">
        <v>0</v>
      </c>
      <c r="P4260" s="17">
        <v>610.33035899593006</v>
      </c>
      <c r="Q4260" s="17">
        <v>0</v>
      </c>
      <c r="R4260" s="13"/>
      <c r="S4260" s="13"/>
      <c r="T4260" s="13"/>
      <c r="U4260" s="13"/>
      <c r="V4260" s="13"/>
      <c r="W4260" s="13"/>
    </row>
    <row r="4261" spans="11:23" x14ac:dyDescent="0.2">
      <c r="K4261" s="13" t="s">
        <v>589</v>
      </c>
      <c r="L4261" s="13" t="s">
        <v>394</v>
      </c>
      <c r="M4261" s="13" t="s">
        <v>359</v>
      </c>
      <c r="N4261" s="15">
        <v>0</v>
      </c>
      <c r="O4261" s="16">
        <v>0</v>
      </c>
      <c r="P4261" s="17">
        <v>0.75625000017869726</v>
      </c>
      <c r="Q4261" s="17">
        <v>0</v>
      </c>
      <c r="R4261" s="13"/>
      <c r="S4261" s="13"/>
      <c r="T4261" s="13"/>
      <c r="U4261" s="13"/>
      <c r="V4261" s="13"/>
      <c r="W4261" s="13"/>
    </row>
    <row r="4262" spans="11:23" x14ac:dyDescent="0.2">
      <c r="K4262" s="13" t="s">
        <v>589</v>
      </c>
      <c r="L4262" s="13" t="s">
        <v>397</v>
      </c>
      <c r="M4262" s="13" t="s">
        <v>398</v>
      </c>
      <c r="N4262" s="15">
        <v>0</v>
      </c>
      <c r="O4262" s="16">
        <v>0</v>
      </c>
      <c r="P4262" s="17">
        <v>68.686800005108168</v>
      </c>
      <c r="Q4262" s="17">
        <v>0</v>
      </c>
      <c r="R4262" s="13"/>
      <c r="S4262" s="13"/>
      <c r="T4262" s="13"/>
      <c r="U4262" s="13"/>
      <c r="V4262" s="13"/>
      <c r="W4262" s="13"/>
    </row>
    <row r="4263" spans="11:23" x14ac:dyDescent="0.2">
      <c r="K4263" s="13" t="s">
        <v>589</v>
      </c>
      <c r="L4263" s="13" t="s">
        <v>399</v>
      </c>
      <c r="M4263" s="13" t="s">
        <v>400</v>
      </c>
      <c r="N4263" s="15">
        <v>0</v>
      </c>
      <c r="O4263" s="16">
        <v>0</v>
      </c>
      <c r="P4263" s="17">
        <v>49.33460000022859</v>
      </c>
      <c r="Q4263" s="17">
        <v>0</v>
      </c>
      <c r="R4263" s="13"/>
      <c r="S4263" s="13"/>
      <c r="T4263" s="13"/>
      <c r="U4263" s="13"/>
      <c r="V4263" s="13"/>
      <c r="W4263" s="13"/>
    </row>
    <row r="4264" spans="11:23" x14ac:dyDescent="0.2">
      <c r="K4264" s="13" t="s">
        <v>589</v>
      </c>
      <c r="L4264" s="13" t="s">
        <v>401</v>
      </c>
      <c r="M4264" s="13" t="s">
        <v>360</v>
      </c>
      <c r="N4264" s="15">
        <v>0</v>
      </c>
      <c r="O4264" s="16">
        <v>0</v>
      </c>
      <c r="P4264" s="17">
        <v>6697.1679685847439</v>
      </c>
      <c r="Q4264" s="17">
        <v>0</v>
      </c>
      <c r="R4264" s="13"/>
      <c r="S4264" s="13"/>
      <c r="T4264" s="13"/>
      <c r="U4264" s="13"/>
      <c r="V4264" s="13"/>
      <c r="W4264" s="13"/>
    </row>
    <row r="4265" spans="11:23" x14ac:dyDescent="0.2">
      <c r="K4265" s="13" t="s">
        <v>589</v>
      </c>
      <c r="L4265" s="13" t="s">
        <v>511</v>
      </c>
      <c r="M4265" s="13" t="s">
        <v>377</v>
      </c>
      <c r="N4265" s="15">
        <v>0</v>
      </c>
      <c r="O4265" s="16">
        <v>0</v>
      </c>
      <c r="P4265" s="17">
        <v>89.550700005565375</v>
      </c>
      <c r="Q4265" s="17">
        <v>0</v>
      </c>
      <c r="R4265" s="13"/>
      <c r="S4265" s="13"/>
      <c r="T4265" s="13"/>
      <c r="U4265" s="13"/>
      <c r="V4265" s="13"/>
      <c r="W4265" s="13"/>
    </row>
    <row r="4266" spans="11:23" x14ac:dyDescent="0.2">
      <c r="K4266" s="13" t="s">
        <v>589</v>
      </c>
      <c r="L4266" s="13" t="s">
        <v>402</v>
      </c>
      <c r="M4266" s="13" t="s">
        <v>403</v>
      </c>
      <c r="N4266" s="15">
        <v>0</v>
      </c>
      <c r="O4266" s="16">
        <v>0</v>
      </c>
      <c r="P4266" s="17">
        <v>13127.499843125017</v>
      </c>
      <c r="Q4266" s="17">
        <v>0</v>
      </c>
      <c r="R4266" s="13"/>
      <c r="S4266" s="13"/>
      <c r="T4266" s="13"/>
      <c r="U4266" s="13"/>
      <c r="V4266" s="13"/>
      <c r="W4266" s="13"/>
    </row>
    <row r="4267" spans="11:23" x14ac:dyDescent="0.2">
      <c r="K4267" s="13" t="s">
        <v>589</v>
      </c>
      <c r="L4267" s="13" t="s">
        <v>473</v>
      </c>
      <c r="M4267" s="13" t="s">
        <v>474</v>
      </c>
      <c r="N4267" s="15">
        <v>0</v>
      </c>
      <c r="O4267" s="16">
        <v>0</v>
      </c>
      <c r="P4267" s="17">
        <v>1122.0084999841883</v>
      </c>
      <c r="Q4267" s="17">
        <v>0</v>
      </c>
      <c r="R4267" s="13"/>
      <c r="S4267" s="13"/>
      <c r="T4267" s="13"/>
      <c r="U4267" s="13"/>
      <c r="V4267" s="13"/>
      <c r="W4267" s="13"/>
    </row>
    <row r="4268" spans="11:23" x14ac:dyDescent="0.2">
      <c r="K4268" s="13" t="s">
        <v>589</v>
      </c>
      <c r="L4268" s="13" t="s">
        <v>448</v>
      </c>
      <c r="M4268" s="13" t="s">
        <v>366</v>
      </c>
      <c r="N4268" s="15">
        <v>0</v>
      </c>
      <c r="O4268" s="16">
        <v>0</v>
      </c>
      <c r="P4268" s="17">
        <v>957.76984693443103</v>
      </c>
      <c r="Q4268" s="17">
        <v>0</v>
      </c>
      <c r="R4268" s="13"/>
      <c r="S4268" s="13"/>
      <c r="T4268" s="13"/>
      <c r="U4268" s="13"/>
      <c r="V4268" s="13"/>
      <c r="W4268" s="13"/>
    </row>
    <row r="4269" spans="11:23" x14ac:dyDescent="0.2">
      <c r="K4269" s="13" t="s">
        <v>589</v>
      </c>
      <c r="L4269" s="13" t="s">
        <v>456</v>
      </c>
      <c r="M4269" s="13" t="s">
        <v>457</v>
      </c>
      <c r="N4269" s="15">
        <v>0</v>
      </c>
      <c r="O4269" s="16">
        <v>0</v>
      </c>
      <c r="P4269" s="17">
        <v>4390.9262894322628</v>
      </c>
      <c r="Q4269" s="17">
        <v>0</v>
      </c>
      <c r="R4269" s="13"/>
      <c r="S4269" s="13"/>
      <c r="T4269" s="13"/>
      <c r="U4269" s="13"/>
      <c r="V4269" s="13"/>
      <c r="W4269" s="13"/>
    </row>
    <row r="4270" spans="11:23" x14ac:dyDescent="0.2">
      <c r="K4270" s="13" t="s">
        <v>589</v>
      </c>
      <c r="L4270" s="13" t="s">
        <v>404</v>
      </c>
      <c r="M4270" s="13" t="s">
        <v>405</v>
      </c>
      <c r="N4270" s="15">
        <v>0</v>
      </c>
      <c r="O4270" s="16">
        <v>0</v>
      </c>
      <c r="P4270" s="17">
        <v>140.94309999171236</v>
      </c>
      <c r="Q4270" s="17">
        <v>425.67897781527154</v>
      </c>
      <c r="R4270" s="13"/>
      <c r="S4270" s="13"/>
      <c r="T4270" s="13"/>
      <c r="U4270" s="13"/>
      <c r="V4270" s="13"/>
      <c r="W4270" s="13"/>
    </row>
    <row r="4271" spans="11:23" x14ac:dyDescent="0.2">
      <c r="K4271" s="13" t="s">
        <v>589</v>
      </c>
      <c r="L4271" s="13" t="s">
        <v>381</v>
      </c>
      <c r="M4271" s="13" t="s">
        <v>382</v>
      </c>
      <c r="N4271" s="15">
        <v>117</v>
      </c>
      <c r="O4271" s="16">
        <v>0</v>
      </c>
      <c r="P4271" s="17">
        <v>0</v>
      </c>
      <c r="Q4271" s="17">
        <v>0</v>
      </c>
      <c r="R4271" s="13"/>
      <c r="S4271" s="13"/>
      <c r="T4271" s="13"/>
      <c r="U4271" s="13"/>
      <c r="V4271" s="13"/>
      <c r="W4271" s="13"/>
    </row>
    <row r="4272" spans="11:23" x14ac:dyDescent="0.2">
      <c r="K4272" s="13" t="s">
        <v>589</v>
      </c>
      <c r="L4272" s="13" t="s">
        <v>471</v>
      </c>
      <c r="M4272" s="13" t="s">
        <v>472</v>
      </c>
      <c r="N4272" s="15">
        <v>0</v>
      </c>
      <c r="O4272" s="16">
        <v>0</v>
      </c>
      <c r="P4272" s="17">
        <v>6229.6540194379941</v>
      </c>
      <c r="Q4272" s="17">
        <v>0</v>
      </c>
      <c r="R4272" s="13"/>
      <c r="S4272" s="13"/>
      <c r="T4272" s="13"/>
      <c r="U4272" s="13"/>
      <c r="V4272" s="13"/>
      <c r="W4272" s="13"/>
    </row>
    <row r="4273" spans="11:23" x14ac:dyDescent="0.2">
      <c r="K4273" s="13" t="s">
        <v>589</v>
      </c>
      <c r="L4273" s="13" t="s">
        <v>411</v>
      </c>
      <c r="M4273" s="13" t="s">
        <v>362</v>
      </c>
      <c r="N4273" s="15">
        <v>1</v>
      </c>
      <c r="O4273" s="16">
        <v>0</v>
      </c>
      <c r="P4273" s="17">
        <v>0</v>
      </c>
      <c r="Q4273" s="17">
        <v>0</v>
      </c>
      <c r="R4273" s="13"/>
      <c r="S4273" s="13"/>
      <c r="T4273" s="13"/>
      <c r="U4273" s="13"/>
      <c r="V4273" s="13"/>
      <c r="W4273" s="13"/>
    </row>
    <row r="4274" spans="11:23" x14ac:dyDescent="0.2">
      <c r="K4274" s="13" t="s">
        <v>589</v>
      </c>
      <c r="L4274" s="13" t="s">
        <v>606</v>
      </c>
      <c r="M4274" s="13" t="s">
        <v>430</v>
      </c>
      <c r="N4274" s="15">
        <v>11</v>
      </c>
      <c r="O4274" s="16">
        <v>0</v>
      </c>
      <c r="P4274" s="17">
        <v>0</v>
      </c>
      <c r="Q4274" s="17">
        <v>0</v>
      </c>
      <c r="R4274" s="13"/>
      <c r="S4274" s="13"/>
      <c r="T4274" s="13"/>
      <c r="U4274" s="13"/>
      <c r="V4274" s="13"/>
      <c r="W4274" s="13"/>
    </row>
    <row r="4275" spans="11:23" x14ac:dyDescent="0.2">
      <c r="K4275" s="13" t="s">
        <v>589</v>
      </c>
      <c r="L4275" s="13" t="s">
        <v>608</v>
      </c>
      <c r="M4275" s="13" t="s">
        <v>432</v>
      </c>
      <c r="N4275" s="15">
        <v>38</v>
      </c>
      <c r="O4275" s="16">
        <v>0</v>
      </c>
      <c r="P4275" s="17">
        <v>0</v>
      </c>
      <c r="Q4275" s="17">
        <v>0</v>
      </c>
      <c r="R4275" s="13"/>
      <c r="S4275" s="13"/>
      <c r="T4275" s="13"/>
      <c r="U4275" s="13"/>
      <c r="V4275" s="13"/>
      <c r="W4275" s="13"/>
    </row>
    <row r="4276" spans="11:23" x14ac:dyDescent="0.2">
      <c r="K4276" s="13" t="s">
        <v>589</v>
      </c>
      <c r="L4276" s="13" t="s">
        <v>615</v>
      </c>
      <c r="M4276" s="13" t="s">
        <v>449</v>
      </c>
      <c r="N4276" s="15">
        <v>1</v>
      </c>
      <c r="O4276" s="16">
        <v>0</v>
      </c>
      <c r="P4276" s="17">
        <v>0</v>
      </c>
      <c r="Q4276" s="17">
        <v>0</v>
      </c>
      <c r="R4276" s="13"/>
      <c r="S4276" s="13"/>
      <c r="T4276" s="13"/>
      <c r="U4276" s="13"/>
      <c r="V4276" s="13"/>
      <c r="W4276" s="13"/>
    </row>
    <row r="4277" spans="11:23" x14ac:dyDescent="0.2">
      <c r="K4277" s="13" t="s">
        <v>589</v>
      </c>
      <c r="L4277" s="13" t="s">
        <v>415</v>
      </c>
      <c r="M4277" s="13" t="s">
        <v>412</v>
      </c>
      <c r="N4277" s="15">
        <v>0</v>
      </c>
      <c r="O4277" s="16">
        <v>0</v>
      </c>
      <c r="P4277" s="17">
        <v>3.6149499981163071</v>
      </c>
      <c r="Q4277" s="17">
        <v>0</v>
      </c>
      <c r="R4277" s="13"/>
      <c r="S4277" s="13"/>
      <c r="T4277" s="13"/>
      <c r="U4277" s="13"/>
      <c r="V4277" s="13"/>
      <c r="W4277" s="13"/>
    </row>
    <row r="4278" spans="11:23" x14ac:dyDescent="0.2">
      <c r="K4278" s="13" t="s">
        <v>589</v>
      </c>
      <c r="L4278" s="13" t="s">
        <v>523</v>
      </c>
      <c r="M4278" s="13" t="s">
        <v>476</v>
      </c>
      <c r="N4278" s="15">
        <v>0</v>
      </c>
      <c r="O4278" s="16">
        <v>0</v>
      </c>
      <c r="P4278" s="17">
        <v>4.5813000013522576</v>
      </c>
      <c r="Q4278" s="17">
        <v>0</v>
      </c>
      <c r="R4278" s="13"/>
      <c r="S4278" s="13"/>
      <c r="T4278" s="13"/>
      <c r="U4278" s="13"/>
      <c r="V4278" s="13"/>
      <c r="W4278" s="13"/>
    </row>
    <row r="4279" spans="11:23" x14ac:dyDescent="0.2">
      <c r="K4279" s="13" t="s">
        <v>589</v>
      </c>
      <c r="L4279" s="13" t="s">
        <v>383</v>
      </c>
      <c r="M4279" s="13" t="s">
        <v>420</v>
      </c>
      <c r="N4279" s="15">
        <v>2</v>
      </c>
      <c r="O4279" s="16">
        <v>0</v>
      </c>
      <c r="P4279" s="17">
        <v>0</v>
      </c>
      <c r="Q4279" s="17">
        <v>0</v>
      </c>
      <c r="R4279" s="13"/>
      <c r="S4279" s="13"/>
      <c r="T4279" s="13"/>
      <c r="U4279" s="13"/>
      <c r="V4279" s="13"/>
      <c r="W4279" s="13"/>
    </row>
    <row r="4280" spans="11:23" x14ac:dyDescent="0.2">
      <c r="K4280" s="13" t="s">
        <v>589</v>
      </c>
      <c r="L4280" s="13" t="s">
        <v>613</v>
      </c>
      <c r="M4280" s="13" t="s">
        <v>444</v>
      </c>
      <c r="N4280" s="15">
        <v>0</v>
      </c>
      <c r="O4280" s="16">
        <v>17.698810770243458</v>
      </c>
      <c r="P4280" s="17">
        <v>0</v>
      </c>
      <c r="Q4280" s="17">
        <v>0</v>
      </c>
      <c r="R4280" s="13"/>
      <c r="S4280" s="13"/>
      <c r="T4280" s="13"/>
      <c r="U4280" s="13"/>
      <c r="V4280" s="13"/>
      <c r="W4280" s="13"/>
    </row>
    <row r="4281" spans="11:23" x14ac:dyDescent="0.2">
      <c r="K4281" s="13" t="s">
        <v>589</v>
      </c>
      <c r="L4281" s="13" t="s">
        <v>458</v>
      </c>
      <c r="M4281" s="13" t="s">
        <v>459</v>
      </c>
      <c r="N4281" s="15">
        <v>0</v>
      </c>
      <c r="O4281" s="16">
        <v>0</v>
      </c>
      <c r="P4281" s="17">
        <v>334.40944998034331</v>
      </c>
      <c r="Q4281" s="17">
        <v>0</v>
      </c>
      <c r="R4281" s="13"/>
      <c r="S4281" s="13"/>
      <c r="T4281" s="13"/>
      <c r="U4281" s="13"/>
      <c r="V4281" s="13"/>
      <c r="W4281" s="13"/>
    </row>
    <row r="4282" spans="11:23" x14ac:dyDescent="0.2">
      <c r="K4282" s="13" t="s">
        <v>310</v>
      </c>
      <c r="L4282" s="13" t="s">
        <v>387</v>
      </c>
      <c r="M4282" s="13" t="s">
        <v>386</v>
      </c>
      <c r="N4282" s="15">
        <v>0</v>
      </c>
      <c r="O4282" s="16">
        <v>0</v>
      </c>
      <c r="P4282" s="17">
        <v>788.23790002493286</v>
      </c>
      <c r="Q4282" s="17">
        <v>0</v>
      </c>
      <c r="R4282" s="13"/>
      <c r="S4282" s="13"/>
      <c r="T4282" s="13"/>
      <c r="U4282" s="13"/>
      <c r="V4282" s="13"/>
      <c r="W4282" s="13"/>
    </row>
    <row r="4283" spans="11:23" x14ac:dyDescent="0.2">
      <c r="K4283" s="13" t="s">
        <v>310</v>
      </c>
      <c r="L4283" s="13" t="s">
        <v>389</v>
      </c>
      <c r="M4283" s="13" t="s">
        <v>388</v>
      </c>
      <c r="N4283" s="15">
        <v>0</v>
      </c>
      <c r="O4283" s="16">
        <v>0</v>
      </c>
      <c r="P4283" s="17">
        <v>486.81664999634245</v>
      </c>
      <c r="Q4283" s="17">
        <v>0</v>
      </c>
      <c r="R4283" s="13"/>
      <c r="S4283" s="13"/>
      <c r="T4283" s="13"/>
      <c r="U4283" s="13"/>
      <c r="V4283" s="13"/>
      <c r="W4283" s="13"/>
    </row>
    <row r="4284" spans="11:23" x14ac:dyDescent="0.2">
      <c r="K4284" s="13" t="s">
        <v>310</v>
      </c>
      <c r="L4284" s="13" t="s">
        <v>486</v>
      </c>
      <c r="M4284" s="13" t="s">
        <v>439</v>
      </c>
      <c r="N4284" s="15">
        <v>0</v>
      </c>
      <c r="O4284" s="16">
        <v>0</v>
      </c>
      <c r="P4284" s="17">
        <v>3.2001500000619796</v>
      </c>
      <c r="Q4284" s="17">
        <v>0</v>
      </c>
      <c r="R4284" s="13"/>
      <c r="S4284" s="13"/>
      <c r="T4284" s="13"/>
      <c r="U4284" s="13"/>
      <c r="V4284" s="13"/>
      <c r="W4284" s="13"/>
    </row>
    <row r="4285" spans="11:23" x14ac:dyDescent="0.2">
      <c r="K4285" s="13" t="s">
        <v>310</v>
      </c>
      <c r="L4285" s="13" t="s">
        <v>512</v>
      </c>
      <c r="M4285" s="13" t="s">
        <v>466</v>
      </c>
      <c r="N4285" s="15">
        <v>0</v>
      </c>
      <c r="O4285" s="16">
        <v>0</v>
      </c>
      <c r="P4285" s="17">
        <v>82.883700000180937</v>
      </c>
      <c r="Q4285" s="17">
        <v>0</v>
      </c>
      <c r="R4285" s="13"/>
      <c r="S4285" s="13"/>
      <c r="T4285" s="13"/>
      <c r="U4285" s="13"/>
      <c r="V4285" s="13"/>
      <c r="W4285" s="13"/>
    </row>
    <row r="4286" spans="11:23" x14ac:dyDescent="0.2">
      <c r="K4286" s="13" t="s">
        <v>310</v>
      </c>
      <c r="L4286" s="13" t="s">
        <v>440</v>
      </c>
      <c r="M4286" s="13" t="s">
        <v>441</v>
      </c>
      <c r="N4286" s="15">
        <v>4</v>
      </c>
      <c r="O4286" s="16">
        <v>0</v>
      </c>
      <c r="P4286" s="17">
        <v>0</v>
      </c>
      <c r="Q4286" s="17">
        <v>0</v>
      </c>
      <c r="R4286" s="13"/>
      <c r="S4286" s="13"/>
      <c r="T4286" s="13"/>
      <c r="U4286" s="13"/>
      <c r="V4286" s="13"/>
      <c r="W4286" s="13"/>
    </row>
    <row r="4287" spans="11:23" x14ac:dyDescent="0.2">
      <c r="K4287" s="13" t="s">
        <v>310</v>
      </c>
      <c r="L4287" s="13" t="s">
        <v>395</v>
      </c>
      <c r="M4287" s="13" t="s">
        <v>602</v>
      </c>
      <c r="N4287" s="15">
        <v>5</v>
      </c>
      <c r="O4287" s="16">
        <v>0</v>
      </c>
      <c r="P4287" s="17">
        <v>0</v>
      </c>
      <c r="Q4287" s="17">
        <v>0</v>
      </c>
      <c r="R4287" s="13"/>
      <c r="S4287" s="13"/>
      <c r="T4287" s="13"/>
      <c r="U4287" s="13"/>
      <c r="V4287" s="13"/>
      <c r="W4287" s="13"/>
    </row>
    <row r="4288" spans="11:23" x14ac:dyDescent="0.2">
      <c r="K4288" s="13" t="s">
        <v>310</v>
      </c>
      <c r="L4288" s="13" t="s">
        <v>399</v>
      </c>
      <c r="M4288" s="13" t="s">
        <v>400</v>
      </c>
      <c r="N4288" s="15">
        <v>0</v>
      </c>
      <c r="O4288" s="16">
        <v>0</v>
      </c>
      <c r="P4288" s="17">
        <v>41.703349991049834</v>
      </c>
      <c r="Q4288" s="17">
        <v>0</v>
      </c>
      <c r="R4288" s="13"/>
      <c r="S4288" s="13"/>
      <c r="T4288" s="13"/>
      <c r="U4288" s="13"/>
      <c r="V4288" s="13"/>
      <c r="W4288" s="13"/>
    </row>
    <row r="4289" spans="11:23" x14ac:dyDescent="0.2">
      <c r="K4289" s="13" t="s">
        <v>310</v>
      </c>
      <c r="L4289" s="13" t="s">
        <v>401</v>
      </c>
      <c r="M4289" s="13" t="s">
        <v>360</v>
      </c>
      <c r="N4289" s="15">
        <v>0</v>
      </c>
      <c r="O4289" s="16">
        <v>0</v>
      </c>
      <c r="P4289" s="17">
        <v>59.256449992076568</v>
      </c>
      <c r="Q4289" s="17">
        <v>0</v>
      </c>
      <c r="R4289" s="13"/>
      <c r="S4289" s="13"/>
      <c r="T4289" s="13"/>
      <c r="U4289" s="13"/>
      <c r="V4289" s="13"/>
      <c r="W4289" s="13"/>
    </row>
    <row r="4290" spans="11:23" x14ac:dyDescent="0.2">
      <c r="K4290" s="13" t="s">
        <v>310</v>
      </c>
      <c r="L4290" s="13" t="s">
        <v>402</v>
      </c>
      <c r="M4290" s="13" t="s">
        <v>403</v>
      </c>
      <c r="N4290" s="15">
        <v>0</v>
      </c>
      <c r="O4290" s="16">
        <v>0</v>
      </c>
      <c r="P4290" s="17">
        <v>1357.4988499473343</v>
      </c>
      <c r="Q4290" s="17">
        <v>0</v>
      </c>
      <c r="R4290" s="13"/>
      <c r="S4290" s="13"/>
      <c r="T4290" s="13"/>
      <c r="U4290" s="13"/>
      <c r="V4290" s="13"/>
      <c r="W4290" s="13"/>
    </row>
    <row r="4291" spans="11:23" x14ac:dyDescent="0.2">
      <c r="K4291" s="13" t="s">
        <v>310</v>
      </c>
      <c r="L4291" s="13" t="s">
        <v>404</v>
      </c>
      <c r="M4291" s="13" t="s">
        <v>405</v>
      </c>
      <c r="N4291" s="15">
        <v>0</v>
      </c>
      <c r="O4291" s="16">
        <v>0</v>
      </c>
      <c r="P4291" s="17">
        <v>41.669550001056216</v>
      </c>
      <c r="Q4291" s="17">
        <v>103.25990685615093</v>
      </c>
      <c r="R4291" s="13"/>
      <c r="S4291" s="13"/>
      <c r="T4291" s="13"/>
      <c r="U4291" s="13"/>
      <c r="V4291" s="13"/>
      <c r="W4291" s="13"/>
    </row>
    <row r="4292" spans="11:23" x14ac:dyDescent="0.2">
      <c r="K4292" s="13" t="s">
        <v>310</v>
      </c>
      <c r="L4292" s="13" t="s">
        <v>381</v>
      </c>
      <c r="M4292" s="13" t="s">
        <v>382</v>
      </c>
      <c r="N4292" s="15">
        <v>6</v>
      </c>
      <c r="O4292" s="16">
        <v>0</v>
      </c>
      <c r="P4292" s="17">
        <v>0</v>
      </c>
      <c r="Q4292" s="17">
        <v>0</v>
      </c>
      <c r="R4292" s="13"/>
      <c r="S4292" s="13"/>
      <c r="T4292" s="13"/>
      <c r="U4292" s="13"/>
      <c r="V4292" s="13"/>
      <c r="W4292" s="13"/>
    </row>
    <row r="4293" spans="11:23" x14ac:dyDescent="0.2">
      <c r="K4293" s="13" t="s">
        <v>310</v>
      </c>
      <c r="L4293" s="13" t="s">
        <v>505</v>
      </c>
      <c r="M4293" s="13" t="s">
        <v>506</v>
      </c>
      <c r="N4293" s="15">
        <v>2</v>
      </c>
      <c r="O4293" s="16">
        <v>0</v>
      </c>
      <c r="P4293" s="17">
        <v>0</v>
      </c>
      <c r="Q4293" s="17">
        <v>0</v>
      </c>
      <c r="R4293" s="13"/>
      <c r="S4293" s="13"/>
      <c r="T4293" s="13"/>
      <c r="U4293" s="13"/>
      <c r="V4293" s="13"/>
      <c r="W4293" s="13"/>
    </row>
    <row r="4294" spans="11:23" x14ac:dyDescent="0.2">
      <c r="K4294" s="13" t="s">
        <v>310</v>
      </c>
      <c r="L4294" s="13" t="s">
        <v>411</v>
      </c>
      <c r="M4294" s="13" t="s">
        <v>362</v>
      </c>
      <c r="N4294" s="15">
        <v>0</v>
      </c>
      <c r="O4294" s="16">
        <v>0</v>
      </c>
      <c r="P4294" s="17">
        <v>16.896499999345632</v>
      </c>
      <c r="Q4294" s="17">
        <v>0</v>
      </c>
      <c r="R4294" s="13"/>
      <c r="S4294" s="13"/>
      <c r="T4294" s="13"/>
      <c r="U4294" s="13"/>
      <c r="V4294" s="13"/>
      <c r="W4294" s="13"/>
    </row>
    <row r="4295" spans="11:23" x14ac:dyDescent="0.2">
      <c r="K4295" s="13" t="s">
        <v>310</v>
      </c>
      <c r="L4295" s="13" t="s">
        <v>411</v>
      </c>
      <c r="M4295" s="13" t="s">
        <v>362</v>
      </c>
      <c r="N4295" s="15">
        <v>0</v>
      </c>
      <c r="O4295" s="16">
        <v>25.429995073434757</v>
      </c>
      <c r="P4295" s="17">
        <v>0</v>
      </c>
      <c r="Q4295" s="17">
        <v>0</v>
      </c>
      <c r="R4295" s="13"/>
      <c r="S4295" s="13"/>
      <c r="T4295" s="13"/>
      <c r="U4295" s="13"/>
      <c r="V4295" s="13"/>
      <c r="W4295" s="13"/>
    </row>
    <row r="4296" spans="11:23" x14ac:dyDescent="0.2">
      <c r="K4296" s="13" t="s">
        <v>310</v>
      </c>
      <c r="L4296" s="13" t="s">
        <v>606</v>
      </c>
      <c r="M4296" s="13" t="s">
        <v>430</v>
      </c>
      <c r="N4296" s="15">
        <v>3</v>
      </c>
      <c r="O4296" s="16">
        <v>0</v>
      </c>
      <c r="P4296" s="17">
        <v>0</v>
      </c>
      <c r="Q4296" s="17">
        <v>0</v>
      </c>
      <c r="R4296" s="13"/>
      <c r="S4296" s="13"/>
      <c r="T4296" s="13"/>
      <c r="U4296" s="13"/>
      <c r="V4296" s="13"/>
      <c r="W4296" s="13"/>
    </row>
    <row r="4297" spans="11:23" x14ac:dyDescent="0.2">
      <c r="K4297" s="13" t="s">
        <v>310</v>
      </c>
      <c r="L4297" s="13" t="s">
        <v>607</v>
      </c>
      <c r="M4297" s="13" t="s">
        <v>431</v>
      </c>
      <c r="N4297" s="15">
        <v>3</v>
      </c>
      <c r="O4297" s="16">
        <v>0</v>
      </c>
      <c r="P4297" s="17">
        <v>0</v>
      </c>
      <c r="Q4297" s="17">
        <v>0</v>
      </c>
      <c r="R4297" s="13"/>
      <c r="S4297" s="13"/>
      <c r="T4297" s="13"/>
      <c r="U4297" s="13"/>
      <c r="V4297" s="13"/>
      <c r="W4297" s="13"/>
    </row>
    <row r="4298" spans="11:23" x14ac:dyDescent="0.2">
      <c r="K4298" s="13" t="s">
        <v>310</v>
      </c>
      <c r="L4298" s="13" t="s">
        <v>608</v>
      </c>
      <c r="M4298" s="13" t="s">
        <v>432</v>
      </c>
      <c r="N4298" s="15">
        <v>1</v>
      </c>
      <c r="O4298" s="16">
        <v>0</v>
      </c>
      <c r="P4298" s="17">
        <v>0</v>
      </c>
      <c r="Q4298" s="17">
        <v>0</v>
      </c>
      <c r="R4298" s="13"/>
      <c r="S4298" s="13"/>
      <c r="T4298" s="13"/>
      <c r="U4298" s="13"/>
      <c r="V4298" s="13"/>
      <c r="W4298" s="13"/>
    </row>
    <row r="4299" spans="11:23" x14ac:dyDescent="0.2">
      <c r="K4299" s="13" t="s">
        <v>310</v>
      </c>
      <c r="L4299" s="13" t="s">
        <v>415</v>
      </c>
      <c r="M4299" s="13" t="s">
        <v>412</v>
      </c>
      <c r="N4299" s="15">
        <v>0</v>
      </c>
      <c r="O4299" s="16">
        <v>0</v>
      </c>
      <c r="P4299" s="17">
        <v>4.7700000016216659</v>
      </c>
      <c r="Q4299" s="17">
        <v>0</v>
      </c>
      <c r="R4299" s="13"/>
      <c r="S4299" s="13"/>
      <c r="T4299" s="13"/>
      <c r="U4299" s="13"/>
      <c r="V4299" s="13"/>
      <c r="W4299" s="13"/>
    </row>
    <row r="4300" spans="11:23" x14ac:dyDescent="0.2">
      <c r="K4300" s="13" t="s">
        <v>310</v>
      </c>
      <c r="L4300" s="13" t="s">
        <v>421</v>
      </c>
      <c r="M4300" s="13" t="s">
        <v>443</v>
      </c>
      <c r="N4300" s="15">
        <v>3</v>
      </c>
      <c r="O4300" s="16">
        <v>0</v>
      </c>
      <c r="P4300" s="17">
        <v>0</v>
      </c>
      <c r="Q4300" s="17">
        <v>0</v>
      </c>
      <c r="R4300" s="13"/>
      <c r="S4300" s="13"/>
      <c r="T4300" s="13"/>
      <c r="U4300" s="13"/>
      <c r="V4300" s="13"/>
      <c r="W4300" s="13"/>
    </row>
    <row r="4301" spans="11:23" x14ac:dyDescent="0.2">
      <c r="K4301" s="13" t="s">
        <v>310</v>
      </c>
      <c r="L4301" s="13" t="s">
        <v>383</v>
      </c>
      <c r="M4301" s="13" t="s">
        <v>420</v>
      </c>
      <c r="N4301" s="15">
        <v>1</v>
      </c>
      <c r="O4301" s="16">
        <v>0</v>
      </c>
      <c r="P4301" s="17">
        <v>0</v>
      </c>
      <c r="Q4301" s="17">
        <v>0</v>
      </c>
      <c r="R4301" s="13"/>
      <c r="S4301" s="13"/>
      <c r="T4301" s="13"/>
      <c r="U4301" s="13"/>
      <c r="V4301" s="13"/>
      <c r="W4301" s="13"/>
    </row>
    <row r="4302" spans="11:23" x14ac:dyDescent="0.2">
      <c r="K4302" s="13" t="s">
        <v>310</v>
      </c>
      <c r="L4302" s="13" t="s">
        <v>528</v>
      </c>
      <c r="M4302" s="13" t="s">
        <v>384</v>
      </c>
      <c r="N4302" s="15">
        <v>0</v>
      </c>
      <c r="O4302" s="16">
        <v>142.73973282805042</v>
      </c>
      <c r="P4302" s="17">
        <v>0</v>
      </c>
      <c r="Q4302" s="17">
        <v>0</v>
      </c>
      <c r="R4302" s="13"/>
      <c r="S4302" s="13"/>
      <c r="T4302" s="13"/>
      <c r="U4302" s="13"/>
      <c r="V4302" s="13"/>
      <c r="W4302" s="13"/>
    </row>
    <row r="4303" spans="11:23" x14ac:dyDescent="0.2">
      <c r="K4303" s="13" t="s">
        <v>310</v>
      </c>
      <c r="L4303" s="13" t="s">
        <v>613</v>
      </c>
      <c r="M4303" s="13" t="s">
        <v>444</v>
      </c>
      <c r="N4303" s="15">
        <v>0</v>
      </c>
      <c r="O4303" s="16">
        <v>186.2113070438175</v>
      </c>
      <c r="P4303" s="17">
        <v>0</v>
      </c>
      <c r="Q4303" s="17">
        <v>0</v>
      </c>
      <c r="R4303" s="13"/>
      <c r="S4303" s="13"/>
      <c r="T4303" s="13"/>
      <c r="U4303" s="13"/>
      <c r="V4303" s="13"/>
      <c r="W4303" s="13"/>
    </row>
    <row r="4304" spans="11:23" x14ac:dyDescent="0.2">
      <c r="K4304" s="13" t="s">
        <v>310</v>
      </c>
      <c r="L4304" s="13" t="s">
        <v>446</v>
      </c>
      <c r="M4304" s="13" t="s">
        <v>371</v>
      </c>
      <c r="N4304" s="15">
        <v>4</v>
      </c>
      <c r="O4304" s="16">
        <v>0</v>
      </c>
      <c r="P4304" s="17">
        <v>0</v>
      </c>
      <c r="Q4304" s="17">
        <v>0</v>
      </c>
      <c r="R4304" s="13"/>
      <c r="S4304" s="13"/>
      <c r="T4304" s="13"/>
      <c r="U4304" s="13"/>
      <c r="V4304" s="13"/>
      <c r="W4304" s="13"/>
    </row>
    <row r="4305" spans="11:23" x14ac:dyDescent="0.2">
      <c r="K4305" s="13" t="s">
        <v>310</v>
      </c>
      <c r="L4305" s="13" t="s">
        <v>424</v>
      </c>
      <c r="M4305" s="13" t="s">
        <v>468</v>
      </c>
      <c r="N4305" s="15">
        <v>0</v>
      </c>
      <c r="O4305" s="16">
        <v>0</v>
      </c>
      <c r="P4305" s="17">
        <v>10.325700000750437</v>
      </c>
      <c r="Q4305" s="17">
        <v>0</v>
      </c>
      <c r="R4305" s="13"/>
      <c r="S4305" s="13"/>
      <c r="T4305" s="13"/>
      <c r="U4305" s="13"/>
      <c r="V4305" s="13"/>
      <c r="W4305" s="13"/>
    </row>
    <row r="4306" spans="11:23" x14ac:dyDescent="0.2">
      <c r="K4306" s="13" t="s">
        <v>310</v>
      </c>
      <c r="L4306" s="13" t="s">
        <v>612</v>
      </c>
      <c r="M4306" s="13" t="s">
        <v>425</v>
      </c>
      <c r="N4306" s="15">
        <v>1</v>
      </c>
      <c r="O4306" s="16">
        <v>0</v>
      </c>
      <c r="P4306" s="17">
        <v>0</v>
      </c>
      <c r="Q4306" s="17">
        <v>0</v>
      </c>
      <c r="R4306" s="13"/>
      <c r="S4306" s="13"/>
      <c r="T4306" s="13"/>
      <c r="U4306" s="13"/>
      <c r="V4306" s="13"/>
      <c r="W4306" s="13"/>
    </row>
    <row r="4307" spans="11:23" x14ac:dyDescent="0.2">
      <c r="K4307" s="13" t="s">
        <v>598</v>
      </c>
      <c r="L4307" s="13" t="s">
        <v>435</v>
      </c>
      <c r="M4307" s="13" t="s">
        <v>364</v>
      </c>
      <c r="N4307" s="15">
        <v>0</v>
      </c>
      <c r="O4307" s="16">
        <v>0</v>
      </c>
      <c r="P4307" s="17">
        <v>1470.233199913001</v>
      </c>
      <c r="Q4307" s="17">
        <v>0</v>
      </c>
      <c r="R4307" s="13"/>
      <c r="S4307" s="13"/>
      <c r="T4307" s="13"/>
      <c r="U4307" s="13"/>
      <c r="V4307" s="13"/>
      <c r="W4307" s="13"/>
    </row>
    <row r="4308" spans="11:23" x14ac:dyDescent="0.2">
      <c r="K4308" s="13" t="s">
        <v>598</v>
      </c>
      <c r="L4308" s="13" t="s">
        <v>481</v>
      </c>
      <c r="M4308" s="13" t="s">
        <v>374</v>
      </c>
      <c r="N4308" s="15">
        <v>0</v>
      </c>
      <c r="O4308" s="16">
        <v>0</v>
      </c>
      <c r="P4308" s="17">
        <v>101577.09593286492</v>
      </c>
      <c r="Q4308" s="17">
        <v>0</v>
      </c>
      <c r="R4308" s="13"/>
      <c r="S4308" s="13"/>
      <c r="T4308" s="13"/>
      <c r="U4308" s="13"/>
      <c r="V4308" s="13"/>
      <c r="W4308" s="13"/>
    </row>
    <row r="4309" spans="11:23" x14ac:dyDescent="0.2">
      <c r="K4309" s="13" t="s">
        <v>598</v>
      </c>
      <c r="L4309" s="13" t="s">
        <v>536</v>
      </c>
      <c r="M4309" s="13" t="s">
        <v>378</v>
      </c>
      <c r="N4309" s="15">
        <v>0</v>
      </c>
      <c r="O4309" s="16">
        <v>575.96894027154622</v>
      </c>
      <c r="P4309" s="17">
        <v>0</v>
      </c>
      <c r="Q4309" s="17">
        <v>0</v>
      </c>
      <c r="R4309" s="13"/>
      <c r="S4309" s="13"/>
      <c r="T4309" s="13"/>
      <c r="U4309" s="13"/>
      <c r="V4309" s="13"/>
      <c r="W4309" s="13"/>
    </row>
    <row r="4310" spans="11:23" x14ac:dyDescent="0.2">
      <c r="K4310" s="13" t="s">
        <v>598</v>
      </c>
      <c r="L4310" s="13" t="s">
        <v>387</v>
      </c>
      <c r="M4310" s="13" t="s">
        <v>386</v>
      </c>
      <c r="N4310" s="15">
        <v>0</v>
      </c>
      <c r="O4310" s="16">
        <v>0</v>
      </c>
      <c r="P4310" s="17">
        <v>303.2601499671589</v>
      </c>
      <c r="Q4310" s="17">
        <v>0</v>
      </c>
      <c r="R4310" s="13"/>
      <c r="S4310" s="13"/>
      <c r="T4310" s="13"/>
      <c r="U4310" s="13"/>
      <c r="V4310" s="13"/>
      <c r="W4310" s="13"/>
    </row>
    <row r="4311" spans="11:23" x14ac:dyDescent="0.2">
      <c r="K4311" s="13" t="s">
        <v>598</v>
      </c>
      <c r="L4311" s="13" t="s">
        <v>389</v>
      </c>
      <c r="M4311" s="13" t="s">
        <v>388</v>
      </c>
      <c r="N4311" s="15">
        <v>0</v>
      </c>
      <c r="O4311" s="16">
        <v>0</v>
      </c>
      <c r="P4311" s="17">
        <v>6.8841000022410652</v>
      </c>
      <c r="Q4311" s="17">
        <v>0</v>
      </c>
      <c r="R4311" s="13"/>
      <c r="S4311" s="13"/>
      <c r="T4311" s="13"/>
      <c r="U4311" s="13"/>
      <c r="V4311" s="13"/>
      <c r="W4311" s="13"/>
    </row>
    <row r="4312" spans="11:23" x14ac:dyDescent="0.2">
      <c r="K4312" s="13" t="s">
        <v>598</v>
      </c>
      <c r="L4312" s="13" t="s">
        <v>542</v>
      </c>
      <c r="M4312" s="13" t="s">
        <v>390</v>
      </c>
      <c r="N4312" s="15">
        <v>0</v>
      </c>
      <c r="O4312" s="16">
        <v>0</v>
      </c>
      <c r="P4312" s="17">
        <v>492.4361383941029</v>
      </c>
      <c r="Q4312" s="17">
        <v>0</v>
      </c>
      <c r="R4312" s="13"/>
      <c r="S4312" s="13"/>
      <c r="T4312" s="13"/>
      <c r="U4312" s="13"/>
      <c r="V4312" s="13"/>
      <c r="W4312" s="13"/>
    </row>
    <row r="4313" spans="11:23" x14ac:dyDescent="0.2">
      <c r="K4313" s="13" t="s">
        <v>598</v>
      </c>
      <c r="L4313" s="13" t="s">
        <v>391</v>
      </c>
      <c r="M4313" s="13" t="s">
        <v>358</v>
      </c>
      <c r="N4313" s="15">
        <v>0</v>
      </c>
      <c r="O4313" s="16">
        <v>0</v>
      </c>
      <c r="P4313" s="17">
        <v>368.86550000253408</v>
      </c>
      <c r="Q4313" s="17">
        <v>0</v>
      </c>
      <c r="R4313" s="13"/>
      <c r="S4313" s="13"/>
      <c r="T4313" s="13"/>
      <c r="U4313" s="13"/>
      <c r="V4313" s="13"/>
      <c r="W4313" s="13"/>
    </row>
    <row r="4314" spans="11:23" x14ac:dyDescent="0.2">
      <c r="K4314" s="13" t="s">
        <v>598</v>
      </c>
      <c r="L4314" s="13" t="s">
        <v>440</v>
      </c>
      <c r="M4314" s="13" t="s">
        <v>441</v>
      </c>
      <c r="N4314" s="15">
        <v>3</v>
      </c>
      <c r="O4314" s="16">
        <v>0</v>
      </c>
      <c r="P4314" s="17">
        <v>0</v>
      </c>
      <c r="Q4314" s="17">
        <v>0</v>
      </c>
      <c r="R4314" s="13"/>
      <c r="S4314" s="13"/>
      <c r="T4314" s="13"/>
      <c r="U4314" s="13"/>
      <c r="V4314" s="13"/>
      <c r="W4314" s="13"/>
    </row>
    <row r="4315" spans="11:23" x14ac:dyDescent="0.2">
      <c r="K4315" s="13" t="s">
        <v>598</v>
      </c>
      <c r="L4315" s="13" t="s">
        <v>397</v>
      </c>
      <c r="M4315" s="13" t="s">
        <v>398</v>
      </c>
      <c r="N4315" s="15">
        <v>0</v>
      </c>
      <c r="O4315" s="16">
        <v>0</v>
      </c>
      <c r="P4315" s="17">
        <v>1080.3553499520569</v>
      </c>
      <c r="Q4315" s="17">
        <v>0</v>
      </c>
      <c r="R4315" s="13"/>
      <c r="S4315" s="13"/>
      <c r="T4315" s="13"/>
      <c r="U4315" s="13"/>
      <c r="V4315" s="13"/>
      <c r="W4315" s="13"/>
    </row>
    <row r="4316" spans="11:23" x14ac:dyDescent="0.2">
      <c r="K4316" s="13" t="s">
        <v>598</v>
      </c>
      <c r="L4316" s="13" t="s">
        <v>399</v>
      </c>
      <c r="M4316" s="13" t="s">
        <v>400</v>
      </c>
      <c r="N4316" s="15">
        <v>0</v>
      </c>
      <c r="O4316" s="16">
        <v>0</v>
      </c>
      <c r="P4316" s="17">
        <v>392.34809998952954</v>
      </c>
      <c r="Q4316" s="17">
        <v>0</v>
      </c>
      <c r="R4316" s="13"/>
      <c r="S4316" s="13"/>
      <c r="T4316" s="13"/>
      <c r="U4316" s="13"/>
      <c r="V4316" s="13"/>
      <c r="W4316" s="13"/>
    </row>
    <row r="4317" spans="11:23" x14ac:dyDescent="0.2">
      <c r="K4317" s="13" t="s">
        <v>598</v>
      </c>
      <c r="L4317" s="13" t="s">
        <v>401</v>
      </c>
      <c r="M4317" s="13" t="s">
        <v>360</v>
      </c>
      <c r="N4317" s="15">
        <v>0</v>
      </c>
      <c r="O4317" s="16">
        <v>0</v>
      </c>
      <c r="P4317" s="17">
        <v>203.87865000447073</v>
      </c>
      <c r="Q4317" s="17">
        <v>0</v>
      </c>
      <c r="R4317" s="13"/>
      <c r="S4317" s="13"/>
      <c r="T4317" s="13"/>
      <c r="U4317" s="13"/>
      <c r="V4317" s="13"/>
      <c r="W4317" s="13"/>
    </row>
    <row r="4318" spans="11:23" x14ac:dyDescent="0.2">
      <c r="K4318" s="13" t="s">
        <v>598</v>
      </c>
      <c r="L4318" s="13" t="s">
        <v>402</v>
      </c>
      <c r="M4318" s="13" t="s">
        <v>403</v>
      </c>
      <c r="N4318" s="15">
        <v>0</v>
      </c>
      <c r="O4318" s="16">
        <v>0</v>
      </c>
      <c r="P4318" s="17">
        <v>6708.9195031174004</v>
      </c>
      <c r="Q4318" s="17">
        <v>0</v>
      </c>
      <c r="R4318" s="13"/>
      <c r="S4318" s="13"/>
      <c r="T4318" s="13"/>
      <c r="U4318" s="13"/>
      <c r="V4318" s="13"/>
      <c r="W4318" s="13"/>
    </row>
    <row r="4319" spans="11:23" x14ac:dyDescent="0.2">
      <c r="K4319" s="13" t="s">
        <v>598</v>
      </c>
      <c r="L4319" s="13" t="s">
        <v>448</v>
      </c>
      <c r="M4319" s="13" t="s">
        <v>366</v>
      </c>
      <c r="N4319" s="15">
        <v>0</v>
      </c>
      <c r="O4319" s="16">
        <v>0</v>
      </c>
      <c r="P4319" s="17">
        <v>39618.720631480122</v>
      </c>
      <c r="Q4319" s="17">
        <v>0</v>
      </c>
      <c r="R4319" s="13"/>
      <c r="S4319" s="13"/>
      <c r="T4319" s="13"/>
      <c r="U4319" s="13"/>
      <c r="V4319" s="13"/>
      <c r="W4319" s="13"/>
    </row>
    <row r="4320" spans="11:23" x14ac:dyDescent="0.2">
      <c r="K4320" s="13" t="s">
        <v>598</v>
      </c>
      <c r="L4320" s="13" t="s">
        <v>404</v>
      </c>
      <c r="M4320" s="13" t="s">
        <v>405</v>
      </c>
      <c r="N4320" s="15">
        <v>0</v>
      </c>
      <c r="O4320" s="16">
        <v>0</v>
      </c>
      <c r="P4320" s="17">
        <v>104.20554999773792</v>
      </c>
      <c r="Q4320" s="17">
        <v>206.83434894875217</v>
      </c>
      <c r="R4320" s="13"/>
      <c r="S4320" s="13"/>
      <c r="T4320" s="13"/>
      <c r="U4320" s="13"/>
      <c r="V4320" s="13"/>
      <c r="W4320" s="13"/>
    </row>
    <row r="4321" spans="11:23" x14ac:dyDescent="0.2">
      <c r="K4321" s="13" t="s">
        <v>598</v>
      </c>
      <c r="L4321" s="13" t="s">
        <v>629</v>
      </c>
      <c r="M4321" s="13" t="s">
        <v>630</v>
      </c>
      <c r="N4321" s="15">
        <v>0</v>
      </c>
      <c r="O4321" s="16">
        <v>0</v>
      </c>
      <c r="P4321" s="17">
        <v>149.33995001027179</v>
      </c>
      <c r="Q4321" s="17">
        <v>149.33995001027179</v>
      </c>
      <c r="R4321" s="13"/>
      <c r="S4321" s="13"/>
      <c r="T4321" s="13"/>
      <c r="U4321" s="13"/>
      <c r="V4321" s="13"/>
      <c r="W4321" s="13"/>
    </row>
    <row r="4322" spans="11:23" x14ac:dyDescent="0.2">
      <c r="K4322" s="13" t="s">
        <v>598</v>
      </c>
      <c r="L4322" s="13" t="s">
        <v>463</v>
      </c>
      <c r="M4322" s="13" t="s">
        <v>372</v>
      </c>
      <c r="N4322" s="15">
        <v>0</v>
      </c>
      <c r="O4322" s="16">
        <v>0</v>
      </c>
      <c r="P4322" s="17">
        <v>49429.213622917618</v>
      </c>
      <c r="Q4322" s="17">
        <v>0</v>
      </c>
      <c r="R4322" s="13"/>
      <c r="S4322" s="13"/>
      <c r="T4322" s="13"/>
      <c r="U4322" s="13"/>
      <c r="V4322" s="13"/>
      <c r="W4322" s="13"/>
    </row>
    <row r="4323" spans="11:23" x14ac:dyDescent="0.2">
      <c r="K4323" s="13" t="s">
        <v>598</v>
      </c>
      <c r="L4323" s="13" t="s">
        <v>381</v>
      </c>
      <c r="M4323" s="13" t="s">
        <v>382</v>
      </c>
      <c r="N4323" s="15">
        <v>20</v>
      </c>
      <c r="O4323" s="16">
        <v>0</v>
      </c>
      <c r="P4323" s="17">
        <v>0</v>
      </c>
      <c r="Q4323" s="17">
        <v>0</v>
      </c>
      <c r="R4323" s="13"/>
      <c r="S4323" s="13"/>
      <c r="T4323" s="13"/>
      <c r="U4323" s="13"/>
      <c r="V4323" s="13"/>
      <c r="W4323" s="13"/>
    </row>
    <row r="4324" spans="11:23" x14ac:dyDescent="0.2">
      <c r="K4324" s="13" t="s">
        <v>598</v>
      </c>
      <c r="L4324" s="13" t="s">
        <v>407</v>
      </c>
      <c r="M4324" s="13" t="s">
        <v>408</v>
      </c>
      <c r="N4324" s="15">
        <v>84</v>
      </c>
      <c r="O4324" s="16">
        <v>0</v>
      </c>
      <c r="P4324" s="17">
        <v>0</v>
      </c>
      <c r="Q4324" s="17">
        <v>0</v>
      </c>
      <c r="R4324" s="13"/>
      <c r="S4324" s="13"/>
      <c r="T4324" s="13"/>
      <c r="U4324" s="13"/>
      <c r="V4324" s="13"/>
      <c r="W4324" s="13"/>
    </row>
    <row r="4325" spans="11:23" x14ac:dyDescent="0.2">
      <c r="K4325" s="13" t="s">
        <v>598</v>
      </c>
      <c r="L4325" s="13" t="s">
        <v>411</v>
      </c>
      <c r="M4325" s="13" t="s">
        <v>362</v>
      </c>
      <c r="N4325" s="15">
        <v>1</v>
      </c>
      <c r="O4325" s="16">
        <v>0</v>
      </c>
      <c r="P4325" s="17">
        <v>0</v>
      </c>
      <c r="Q4325" s="17">
        <v>0</v>
      </c>
      <c r="R4325" s="13"/>
      <c r="S4325" s="13"/>
      <c r="T4325" s="13"/>
      <c r="U4325" s="13"/>
      <c r="V4325" s="13"/>
      <c r="W4325" s="13"/>
    </row>
    <row r="4326" spans="11:23" x14ac:dyDescent="0.2">
      <c r="K4326" s="13" t="s">
        <v>598</v>
      </c>
      <c r="L4326" s="13" t="s">
        <v>421</v>
      </c>
      <c r="M4326" s="13" t="s">
        <v>443</v>
      </c>
      <c r="N4326" s="15">
        <v>1</v>
      </c>
      <c r="O4326" s="16">
        <v>0</v>
      </c>
      <c r="P4326" s="17">
        <v>0</v>
      </c>
      <c r="Q4326" s="17">
        <v>0</v>
      </c>
      <c r="R4326" s="13"/>
      <c r="S4326" s="13"/>
      <c r="T4326" s="13"/>
      <c r="U4326" s="13"/>
      <c r="V4326" s="13"/>
      <c r="W4326" s="13"/>
    </row>
    <row r="4327" spans="11:23" x14ac:dyDescent="0.2">
      <c r="K4327" s="13" t="s">
        <v>598</v>
      </c>
      <c r="L4327" s="13" t="s">
        <v>502</v>
      </c>
      <c r="M4327" s="13" t="s">
        <v>367</v>
      </c>
      <c r="N4327" s="15">
        <v>32</v>
      </c>
      <c r="O4327" s="16">
        <v>0</v>
      </c>
      <c r="P4327" s="17">
        <v>0</v>
      </c>
      <c r="Q4327" s="17">
        <v>0</v>
      </c>
      <c r="R4327" s="13"/>
      <c r="S4327" s="13"/>
      <c r="T4327" s="13"/>
      <c r="U4327" s="13"/>
      <c r="V4327" s="13"/>
      <c r="W4327" s="13"/>
    </row>
    <row r="4328" spans="11:23" x14ac:dyDescent="0.2">
      <c r="K4328" s="13" t="s">
        <v>599</v>
      </c>
      <c r="L4328" s="13" t="s">
        <v>435</v>
      </c>
      <c r="M4328" s="13" t="s">
        <v>364</v>
      </c>
      <c r="N4328" s="15">
        <v>0</v>
      </c>
      <c r="O4328" s="16">
        <v>0</v>
      </c>
      <c r="P4328" s="17">
        <v>3588.2802499806494</v>
      </c>
      <c r="Q4328" s="17">
        <v>0</v>
      </c>
      <c r="R4328" s="13"/>
      <c r="S4328" s="13"/>
      <c r="T4328" s="13"/>
      <c r="U4328" s="13"/>
      <c r="V4328" s="13"/>
      <c r="W4328" s="13"/>
    </row>
    <row r="4329" spans="11:23" x14ac:dyDescent="0.2">
      <c r="K4329" s="13" t="s">
        <v>599</v>
      </c>
      <c r="L4329" s="13" t="s">
        <v>389</v>
      </c>
      <c r="M4329" s="13" t="s">
        <v>388</v>
      </c>
      <c r="N4329" s="15">
        <v>0</v>
      </c>
      <c r="O4329" s="16">
        <v>0</v>
      </c>
      <c r="P4329" s="17">
        <v>10.311700001756964</v>
      </c>
      <c r="Q4329" s="17">
        <v>0</v>
      </c>
      <c r="R4329" s="13"/>
      <c r="S4329" s="13"/>
      <c r="T4329" s="13"/>
      <c r="U4329" s="13"/>
      <c r="V4329" s="13"/>
      <c r="W4329" s="13"/>
    </row>
    <row r="4330" spans="11:23" x14ac:dyDescent="0.2">
      <c r="K4330" s="13" t="s">
        <v>599</v>
      </c>
      <c r="L4330" s="13" t="s">
        <v>542</v>
      </c>
      <c r="M4330" s="13" t="s">
        <v>390</v>
      </c>
      <c r="N4330" s="15">
        <v>0</v>
      </c>
      <c r="O4330" s="16">
        <v>0</v>
      </c>
      <c r="P4330" s="17">
        <v>23.706500006208316</v>
      </c>
      <c r="Q4330" s="17">
        <v>0</v>
      </c>
      <c r="R4330" s="13"/>
      <c r="S4330" s="13"/>
      <c r="T4330" s="13"/>
      <c r="U4330" s="13"/>
      <c r="V4330" s="13"/>
      <c r="W4330" s="13"/>
    </row>
    <row r="4331" spans="11:23" x14ac:dyDescent="0.2">
      <c r="K4331" s="13" t="s">
        <v>599</v>
      </c>
      <c r="L4331" s="13" t="s">
        <v>401</v>
      </c>
      <c r="M4331" s="13" t="s">
        <v>360</v>
      </c>
      <c r="N4331" s="15">
        <v>0</v>
      </c>
      <c r="O4331" s="16">
        <v>0</v>
      </c>
      <c r="P4331" s="17">
        <v>426.50885000320721</v>
      </c>
      <c r="Q4331" s="17">
        <v>0</v>
      </c>
      <c r="R4331" s="13"/>
      <c r="S4331" s="13"/>
      <c r="T4331" s="13"/>
      <c r="U4331" s="13"/>
      <c r="V4331" s="13"/>
      <c r="W4331" s="13"/>
    </row>
    <row r="4332" spans="11:23" x14ac:dyDescent="0.2">
      <c r="K4332" s="13" t="s">
        <v>599</v>
      </c>
      <c r="L4332" s="13" t="s">
        <v>402</v>
      </c>
      <c r="M4332" s="13" t="s">
        <v>403</v>
      </c>
      <c r="N4332" s="15">
        <v>0</v>
      </c>
      <c r="O4332" s="16">
        <v>0</v>
      </c>
      <c r="P4332" s="17">
        <v>1190.0518999593239</v>
      </c>
      <c r="Q4332" s="17">
        <v>0</v>
      </c>
      <c r="R4332" s="13"/>
      <c r="S4332" s="13"/>
      <c r="T4332" s="13"/>
      <c r="U4332" s="13"/>
      <c r="V4332" s="13"/>
      <c r="W4332" s="13"/>
    </row>
    <row r="4333" spans="11:23" x14ac:dyDescent="0.2">
      <c r="K4333" s="13" t="s">
        <v>599</v>
      </c>
      <c r="L4333" s="13" t="s">
        <v>448</v>
      </c>
      <c r="M4333" s="13" t="s">
        <v>366</v>
      </c>
      <c r="N4333" s="15">
        <v>0</v>
      </c>
      <c r="O4333" s="16">
        <v>0</v>
      </c>
      <c r="P4333" s="17">
        <v>7214.0020990732519</v>
      </c>
      <c r="Q4333" s="17">
        <v>0</v>
      </c>
      <c r="R4333" s="13"/>
      <c r="S4333" s="13"/>
      <c r="T4333" s="13"/>
      <c r="U4333" s="13"/>
      <c r="V4333" s="13"/>
      <c r="W4333" s="13"/>
    </row>
    <row r="4334" spans="11:23" x14ac:dyDescent="0.2">
      <c r="K4334" s="13" t="s">
        <v>599</v>
      </c>
      <c r="L4334" s="13" t="s">
        <v>406</v>
      </c>
      <c r="M4334" s="13" t="s">
        <v>361</v>
      </c>
      <c r="N4334" s="15">
        <v>0</v>
      </c>
      <c r="O4334" s="16">
        <v>0</v>
      </c>
      <c r="P4334" s="17">
        <v>304.6304500437501</v>
      </c>
      <c r="Q4334" s="17">
        <v>626.53205738245401</v>
      </c>
      <c r="R4334" s="13"/>
      <c r="S4334" s="13"/>
      <c r="T4334" s="13"/>
      <c r="U4334" s="13"/>
      <c r="V4334" s="13"/>
      <c r="W4334" s="13"/>
    </row>
    <row r="4335" spans="11:23" x14ac:dyDescent="0.2">
      <c r="K4335" s="13" t="s">
        <v>599</v>
      </c>
      <c r="L4335" s="13" t="s">
        <v>463</v>
      </c>
      <c r="M4335" s="13" t="s">
        <v>372</v>
      </c>
      <c r="N4335" s="15">
        <v>0</v>
      </c>
      <c r="O4335" s="16">
        <v>0</v>
      </c>
      <c r="P4335" s="17">
        <v>9169.2114990874998</v>
      </c>
      <c r="Q4335" s="17">
        <v>0</v>
      </c>
      <c r="R4335" s="13"/>
      <c r="S4335" s="13"/>
      <c r="T4335" s="13"/>
      <c r="U4335" s="13"/>
      <c r="V4335" s="13"/>
      <c r="W4335" s="13"/>
    </row>
    <row r="4336" spans="11:23" x14ac:dyDescent="0.2">
      <c r="K4336" s="13" t="s">
        <v>599</v>
      </c>
      <c r="L4336" s="13" t="s">
        <v>381</v>
      </c>
      <c r="M4336" s="13" t="s">
        <v>382</v>
      </c>
      <c r="N4336" s="15">
        <v>4</v>
      </c>
      <c r="O4336" s="16">
        <v>0</v>
      </c>
      <c r="P4336" s="17">
        <v>0</v>
      </c>
      <c r="Q4336" s="17">
        <v>0</v>
      </c>
      <c r="R4336" s="13"/>
      <c r="S4336" s="13"/>
      <c r="T4336" s="13"/>
      <c r="U4336" s="13"/>
      <c r="V4336" s="13"/>
      <c r="W4336" s="13"/>
    </row>
    <row r="4337" spans="11:23" x14ac:dyDescent="0.2">
      <c r="K4337" s="13" t="s">
        <v>599</v>
      </c>
      <c r="L4337" s="13" t="s">
        <v>407</v>
      </c>
      <c r="M4337" s="13" t="s">
        <v>408</v>
      </c>
      <c r="N4337" s="15">
        <v>108</v>
      </c>
      <c r="O4337" s="16">
        <v>0</v>
      </c>
      <c r="P4337" s="17">
        <v>0</v>
      </c>
      <c r="Q4337" s="17">
        <v>0</v>
      </c>
      <c r="R4337" s="13"/>
      <c r="S4337" s="13"/>
      <c r="T4337" s="13"/>
      <c r="U4337" s="13"/>
      <c r="V4337" s="13"/>
      <c r="W4337" s="13"/>
    </row>
    <row r="4338" spans="11:23" x14ac:dyDescent="0.2">
      <c r="K4338" s="13" t="s">
        <v>599</v>
      </c>
      <c r="L4338" s="13" t="s">
        <v>383</v>
      </c>
      <c r="M4338" s="13" t="s">
        <v>420</v>
      </c>
      <c r="N4338" s="15">
        <v>2</v>
      </c>
      <c r="O4338" s="16">
        <v>0</v>
      </c>
      <c r="P4338" s="17">
        <v>0</v>
      </c>
      <c r="Q4338" s="17">
        <v>0</v>
      </c>
      <c r="R4338" s="13"/>
      <c r="S4338" s="13"/>
      <c r="T4338" s="13"/>
      <c r="U4338" s="13"/>
      <c r="V4338" s="13"/>
      <c r="W4338" s="13"/>
    </row>
    <row r="4339" spans="11:23" x14ac:dyDescent="0.2">
      <c r="K4339" s="13" t="s">
        <v>599</v>
      </c>
      <c r="L4339" s="13" t="s">
        <v>502</v>
      </c>
      <c r="M4339" s="13" t="s">
        <v>367</v>
      </c>
      <c r="N4339" s="15">
        <v>7</v>
      </c>
      <c r="O4339" s="16">
        <v>0</v>
      </c>
      <c r="P4339" s="17">
        <v>0</v>
      </c>
      <c r="Q4339" s="17">
        <v>0</v>
      </c>
      <c r="R4339" s="13"/>
      <c r="S4339" s="13"/>
      <c r="T4339" s="13"/>
      <c r="U4339" s="13"/>
      <c r="V4339" s="13"/>
      <c r="W4339" s="13"/>
    </row>
    <row r="4340" spans="11:23" x14ac:dyDescent="0.2">
      <c r="K4340" s="13" t="s">
        <v>312</v>
      </c>
      <c r="L4340" s="13" t="s">
        <v>387</v>
      </c>
      <c r="M4340" s="13" t="s">
        <v>386</v>
      </c>
      <c r="N4340" s="15">
        <v>0</v>
      </c>
      <c r="O4340" s="16">
        <v>0</v>
      </c>
      <c r="P4340" s="17">
        <v>430.67060000655476</v>
      </c>
      <c r="Q4340" s="17">
        <v>0</v>
      </c>
      <c r="R4340" s="13"/>
      <c r="S4340" s="13"/>
      <c r="T4340" s="13"/>
      <c r="U4340" s="13"/>
      <c r="V4340" s="13"/>
      <c r="W4340" s="13"/>
    </row>
    <row r="4341" spans="11:23" x14ac:dyDescent="0.2">
      <c r="K4341" s="13" t="s">
        <v>312</v>
      </c>
      <c r="L4341" s="13" t="s">
        <v>389</v>
      </c>
      <c r="M4341" s="13" t="s">
        <v>388</v>
      </c>
      <c r="N4341" s="15">
        <v>0</v>
      </c>
      <c r="O4341" s="16">
        <v>0</v>
      </c>
      <c r="P4341" s="17">
        <v>179.83641816575263</v>
      </c>
      <c r="Q4341" s="17">
        <v>0</v>
      </c>
      <c r="R4341" s="13"/>
      <c r="S4341" s="13"/>
      <c r="T4341" s="13"/>
      <c r="U4341" s="13"/>
      <c r="V4341" s="13"/>
      <c r="W4341" s="13"/>
    </row>
    <row r="4342" spans="11:23" x14ac:dyDescent="0.2">
      <c r="K4342" s="13" t="s">
        <v>312</v>
      </c>
      <c r="L4342" s="13" t="s">
        <v>391</v>
      </c>
      <c r="M4342" s="13" t="s">
        <v>358</v>
      </c>
      <c r="N4342" s="15">
        <v>0</v>
      </c>
      <c r="O4342" s="16">
        <v>0</v>
      </c>
      <c r="P4342" s="17">
        <v>18.096350000660845</v>
      </c>
      <c r="Q4342" s="17">
        <v>0</v>
      </c>
      <c r="R4342" s="13"/>
      <c r="S4342" s="13"/>
      <c r="T4342" s="13"/>
      <c r="U4342" s="13"/>
      <c r="V4342" s="13"/>
      <c r="W4342" s="13"/>
    </row>
    <row r="4343" spans="11:23" x14ac:dyDescent="0.2">
      <c r="K4343" s="13" t="s">
        <v>312</v>
      </c>
      <c r="L4343" s="13" t="s">
        <v>436</v>
      </c>
      <c r="M4343" s="13" t="s">
        <v>487</v>
      </c>
      <c r="N4343" s="15">
        <v>0</v>
      </c>
      <c r="O4343" s="16">
        <v>0</v>
      </c>
      <c r="P4343" s="17">
        <v>28.151750009722196</v>
      </c>
      <c r="Q4343" s="17">
        <v>0</v>
      </c>
      <c r="R4343" s="13"/>
      <c r="S4343" s="13"/>
      <c r="T4343" s="13"/>
      <c r="U4343" s="13"/>
      <c r="V4343" s="13"/>
      <c r="W4343" s="13"/>
    </row>
    <row r="4344" spans="11:23" x14ac:dyDescent="0.2">
      <c r="K4344" s="13" t="s">
        <v>312</v>
      </c>
      <c r="L4344" s="13" t="s">
        <v>392</v>
      </c>
      <c r="M4344" s="13" t="s">
        <v>437</v>
      </c>
      <c r="N4344" s="15">
        <v>0</v>
      </c>
      <c r="O4344" s="16">
        <v>0</v>
      </c>
      <c r="P4344" s="17">
        <v>7.8171499990232043</v>
      </c>
      <c r="Q4344" s="17">
        <v>0</v>
      </c>
      <c r="R4344" s="13"/>
      <c r="S4344" s="13"/>
      <c r="T4344" s="13"/>
      <c r="U4344" s="13"/>
      <c r="V4344" s="13"/>
      <c r="W4344" s="13"/>
    </row>
    <row r="4345" spans="11:23" x14ac:dyDescent="0.2">
      <c r="K4345" s="13" t="s">
        <v>312</v>
      </c>
      <c r="L4345" s="13" t="s">
        <v>440</v>
      </c>
      <c r="M4345" s="13" t="s">
        <v>441</v>
      </c>
      <c r="N4345" s="15">
        <v>6</v>
      </c>
      <c r="O4345" s="16">
        <v>0</v>
      </c>
      <c r="P4345" s="17">
        <v>0</v>
      </c>
      <c r="Q4345" s="17">
        <v>0</v>
      </c>
      <c r="R4345" s="13"/>
      <c r="S4345" s="13"/>
      <c r="T4345" s="13"/>
      <c r="U4345" s="13"/>
      <c r="V4345" s="13"/>
      <c r="W4345" s="13"/>
    </row>
    <row r="4346" spans="11:23" x14ac:dyDescent="0.2">
      <c r="K4346" s="13" t="s">
        <v>312</v>
      </c>
      <c r="L4346" s="13" t="s">
        <v>394</v>
      </c>
      <c r="M4346" s="13" t="s">
        <v>359</v>
      </c>
      <c r="N4346" s="15">
        <v>0</v>
      </c>
      <c r="O4346" s="16">
        <v>0</v>
      </c>
      <c r="P4346" s="17">
        <v>8.3009500006065462</v>
      </c>
      <c r="Q4346" s="17">
        <v>0</v>
      </c>
      <c r="R4346" s="13"/>
      <c r="S4346" s="13"/>
      <c r="T4346" s="13"/>
      <c r="U4346" s="13"/>
      <c r="V4346" s="13"/>
      <c r="W4346" s="13"/>
    </row>
    <row r="4347" spans="11:23" x14ac:dyDescent="0.2">
      <c r="K4347" s="13" t="s">
        <v>312</v>
      </c>
      <c r="L4347" s="13" t="s">
        <v>395</v>
      </c>
      <c r="M4347" s="13" t="s">
        <v>602</v>
      </c>
      <c r="N4347" s="15">
        <v>20</v>
      </c>
      <c r="O4347" s="16">
        <v>0</v>
      </c>
      <c r="P4347" s="17">
        <v>0</v>
      </c>
      <c r="Q4347" s="17">
        <v>0</v>
      </c>
      <c r="R4347" s="13"/>
      <c r="S4347" s="13"/>
      <c r="T4347" s="13"/>
      <c r="U4347" s="13"/>
      <c r="V4347" s="13"/>
      <c r="W4347" s="13"/>
    </row>
    <row r="4348" spans="11:23" x14ac:dyDescent="0.2">
      <c r="K4348" s="13" t="s">
        <v>312</v>
      </c>
      <c r="L4348" s="13" t="s">
        <v>397</v>
      </c>
      <c r="M4348" s="13" t="s">
        <v>398</v>
      </c>
      <c r="N4348" s="15">
        <v>0</v>
      </c>
      <c r="O4348" s="16">
        <v>0</v>
      </c>
      <c r="P4348" s="17">
        <v>25.00834999749808</v>
      </c>
      <c r="Q4348" s="17">
        <v>0</v>
      </c>
      <c r="R4348" s="13"/>
      <c r="S4348" s="13"/>
      <c r="T4348" s="13"/>
      <c r="U4348" s="13"/>
      <c r="V4348" s="13"/>
      <c r="W4348" s="13"/>
    </row>
    <row r="4349" spans="11:23" x14ac:dyDescent="0.2">
      <c r="K4349" s="13" t="s">
        <v>312</v>
      </c>
      <c r="L4349" s="13" t="s">
        <v>399</v>
      </c>
      <c r="M4349" s="13" t="s">
        <v>400</v>
      </c>
      <c r="N4349" s="15">
        <v>0</v>
      </c>
      <c r="O4349" s="16">
        <v>0</v>
      </c>
      <c r="P4349" s="17">
        <v>35.230500003120859</v>
      </c>
      <c r="Q4349" s="17">
        <v>0</v>
      </c>
      <c r="R4349" s="13"/>
      <c r="S4349" s="13"/>
      <c r="T4349" s="13"/>
      <c r="U4349" s="13"/>
      <c r="V4349" s="13"/>
      <c r="W4349" s="13"/>
    </row>
    <row r="4350" spans="11:23" x14ac:dyDescent="0.2">
      <c r="K4350" s="13" t="s">
        <v>312</v>
      </c>
      <c r="L4350" s="13" t="s">
        <v>401</v>
      </c>
      <c r="M4350" s="13" t="s">
        <v>360</v>
      </c>
      <c r="N4350" s="15">
        <v>0</v>
      </c>
      <c r="O4350" s="16">
        <v>0</v>
      </c>
      <c r="P4350" s="17">
        <v>431.07300002964428</v>
      </c>
      <c r="Q4350" s="17">
        <v>0</v>
      </c>
      <c r="R4350" s="13"/>
      <c r="S4350" s="13"/>
      <c r="T4350" s="13"/>
      <c r="U4350" s="13"/>
      <c r="V4350" s="13"/>
      <c r="W4350" s="13"/>
    </row>
    <row r="4351" spans="11:23" x14ac:dyDescent="0.2">
      <c r="K4351" s="13" t="s">
        <v>312</v>
      </c>
      <c r="L4351" s="13" t="s">
        <v>402</v>
      </c>
      <c r="M4351" s="13" t="s">
        <v>403</v>
      </c>
      <c r="N4351" s="15">
        <v>0</v>
      </c>
      <c r="O4351" s="16">
        <v>0</v>
      </c>
      <c r="P4351" s="17">
        <v>553.92687628304657</v>
      </c>
      <c r="Q4351" s="17">
        <v>0</v>
      </c>
      <c r="R4351" s="13"/>
      <c r="S4351" s="13"/>
      <c r="T4351" s="13"/>
      <c r="U4351" s="13"/>
      <c r="V4351" s="13"/>
      <c r="W4351" s="13"/>
    </row>
    <row r="4352" spans="11:23" x14ac:dyDescent="0.2">
      <c r="K4352" s="13" t="s">
        <v>312</v>
      </c>
      <c r="L4352" s="13" t="s">
        <v>381</v>
      </c>
      <c r="M4352" s="13" t="s">
        <v>382</v>
      </c>
      <c r="N4352" s="15">
        <v>3</v>
      </c>
      <c r="O4352" s="16">
        <v>0</v>
      </c>
      <c r="P4352" s="17">
        <v>0</v>
      </c>
      <c r="Q4352" s="17">
        <v>0</v>
      </c>
      <c r="R4352" s="13"/>
      <c r="S4352" s="13"/>
      <c r="T4352" s="13"/>
      <c r="U4352" s="13"/>
      <c r="V4352" s="13"/>
      <c r="W4352" s="13"/>
    </row>
    <row r="4353" spans="11:23" x14ac:dyDescent="0.2">
      <c r="K4353" s="13" t="s">
        <v>312</v>
      </c>
      <c r="L4353" s="13" t="s">
        <v>409</v>
      </c>
      <c r="M4353" s="13" t="s">
        <v>410</v>
      </c>
      <c r="N4353" s="15">
        <v>1</v>
      </c>
      <c r="O4353" s="16">
        <v>0</v>
      </c>
      <c r="P4353" s="17">
        <v>0</v>
      </c>
      <c r="Q4353" s="17">
        <v>0</v>
      </c>
      <c r="R4353" s="13"/>
      <c r="S4353" s="13"/>
      <c r="T4353" s="13"/>
      <c r="U4353" s="13"/>
      <c r="V4353" s="13"/>
      <c r="W4353" s="13"/>
    </row>
    <row r="4354" spans="11:23" x14ac:dyDescent="0.2">
      <c r="K4354" s="13" t="s">
        <v>312</v>
      </c>
      <c r="L4354" s="13" t="s">
        <v>411</v>
      </c>
      <c r="M4354" s="13" t="s">
        <v>362</v>
      </c>
      <c r="N4354" s="15">
        <v>0</v>
      </c>
      <c r="O4354" s="16">
        <v>13.512444036341799</v>
      </c>
      <c r="P4354" s="17">
        <v>0</v>
      </c>
      <c r="Q4354" s="17">
        <v>0</v>
      </c>
      <c r="R4354" s="13"/>
      <c r="S4354" s="13"/>
      <c r="T4354" s="13"/>
      <c r="U4354" s="13"/>
      <c r="V4354" s="13"/>
      <c r="W4354" s="13"/>
    </row>
    <row r="4355" spans="11:23" x14ac:dyDescent="0.2">
      <c r="K4355" s="13" t="s">
        <v>312</v>
      </c>
      <c r="L4355" s="13" t="s">
        <v>624</v>
      </c>
      <c r="M4355" s="13" t="s">
        <v>531</v>
      </c>
      <c r="N4355" s="15">
        <v>1</v>
      </c>
      <c r="O4355" s="16">
        <v>0</v>
      </c>
      <c r="P4355" s="17">
        <v>0</v>
      </c>
      <c r="Q4355" s="17">
        <v>0</v>
      </c>
      <c r="R4355" s="13"/>
      <c r="S4355" s="13"/>
      <c r="T4355" s="13"/>
      <c r="U4355" s="13"/>
      <c r="V4355" s="13"/>
      <c r="W4355" s="13"/>
    </row>
    <row r="4356" spans="11:23" x14ac:dyDescent="0.2">
      <c r="K4356" s="13" t="s">
        <v>312</v>
      </c>
      <c r="L4356" s="13" t="s">
        <v>608</v>
      </c>
      <c r="M4356" s="13" t="s">
        <v>432</v>
      </c>
      <c r="N4356" s="15">
        <v>2</v>
      </c>
      <c r="O4356" s="16">
        <v>0</v>
      </c>
      <c r="P4356" s="17">
        <v>0</v>
      </c>
      <c r="Q4356" s="17">
        <v>0</v>
      </c>
      <c r="R4356" s="13"/>
      <c r="S4356" s="13"/>
      <c r="T4356" s="13"/>
      <c r="U4356" s="13"/>
      <c r="V4356" s="13"/>
      <c r="W4356" s="13"/>
    </row>
    <row r="4357" spans="11:23" x14ac:dyDescent="0.2">
      <c r="K4357" s="13" t="s">
        <v>312</v>
      </c>
      <c r="L4357" s="13" t="s">
        <v>415</v>
      </c>
      <c r="M4357" s="13" t="s">
        <v>412</v>
      </c>
      <c r="N4357" s="15">
        <v>0</v>
      </c>
      <c r="O4357" s="16">
        <v>0</v>
      </c>
      <c r="P4357" s="17">
        <v>1.7655000008076895</v>
      </c>
      <c r="Q4357" s="17">
        <v>0</v>
      </c>
      <c r="R4357" s="13"/>
      <c r="S4357" s="13"/>
      <c r="T4357" s="13"/>
      <c r="U4357" s="13"/>
      <c r="V4357" s="13"/>
      <c r="W4357" s="13"/>
    </row>
    <row r="4358" spans="11:23" x14ac:dyDescent="0.2">
      <c r="K4358" s="13" t="s">
        <v>312</v>
      </c>
      <c r="L4358" s="13" t="s">
        <v>609</v>
      </c>
      <c r="M4358" s="13" t="s">
        <v>416</v>
      </c>
      <c r="N4358" s="15">
        <v>0</v>
      </c>
      <c r="O4358" s="16">
        <v>72.544083367097571</v>
      </c>
      <c r="P4358" s="17">
        <v>0</v>
      </c>
      <c r="Q4358" s="17">
        <v>0</v>
      </c>
      <c r="R4358" s="13"/>
      <c r="S4358" s="13"/>
      <c r="T4358" s="13"/>
      <c r="U4358" s="13"/>
      <c r="V4358" s="13"/>
      <c r="W4358" s="13"/>
    </row>
    <row r="4359" spans="11:23" x14ac:dyDescent="0.2">
      <c r="K4359" s="13" t="s">
        <v>312</v>
      </c>
      <c r="L4359" s="13" t="s">
        <v>610</v>
      </c>
      <c r="M4359" s="13" t="s">
        <v>418</v>
      </c>
      <c r="N4359" s="15">
        <v>0</v>
      </c>
      <c r="O4359" s="16">
        <v>19.315301160546479</v>
      </c>
      <c r="P4359" s="17">
        <v>0</v>
      </c>
      <c r="Q4359" s="17">
        <v>0</v>
      </c>
      <c r="R4359" s="13"/>
      <c r="S4359" s="13"/>
      <c r="T4359" s="13"/>
      <c r="U4359" s="13"/>
      <c r="V4359" s="13"/>
      <c r="W4359" s="13"/>
    </row>
    <row r="4360" spans="11:23" x14ac:dyDescent="0.2">
      <c r="K4360" s="13" t="s">
        <v>312</v>
      </c>
      <c r="L4360" s="13" t="s">
        <v>421</v>
      </c>
      <c r="M4360" s="13" t="s">
        <v>443</v>
      </c>
      <c r="N4360" s="15">
        <v>3</v>
      </c>
      <c r="O4360" s="16">
        <v>0</v>
      </c>
      <c r="P4360" s="17">
        <v>0</v>
      </c>
      <c r="Q4360" s="17">
        <v>0</v>
      </c>
      <c r="R4360" s="13"/>
      <c r="S4360" s="13"/>
      <c r="T4360" s="13"/>
      <c r="U4360" s="13"/>
      <c r="V4360" s="13"/>
      <c r="W4360" s="13"/>
    </row>
    <row r="4361" spans="11:23" x14ac:dyDescent="0.2">
      <c r="K4361" s="13" t="s">
        <v>312</v>
      </c>
      <c r="L4361" s="13" t="s">
        <v>383</v>
      </c>
      <c r="M4361" s="13" t="s">
        <v>420</v>
      </c>
      <c r="N4361" s="15">
        <v>3</v>
      </c>
      <c r="O4361" s="16">
        <v>0</v>
      </c>
      <c r="P4361" s="17">
        <v>0</v>
      </c>
      <c r="Q4361" s="17">
        <v>0</v>
      </c>
      <c r="R4361" s="13"/>
      <c r="S4361" s="13"/>
      <c r="T4361" s="13"/>
      <c r="U4361" s="13"/>
      <c r="V4361" s="13"/>
      <c r="W4361" s="13"/>
    </row>
    <row r="4362" spans="11:23" x14ac:dyDescent="0.2">
      <c r="K4362" s="13" t="s">
        <v>312</v>
      </c>
      <c r="L4362" s="13" t="s">
        <v>613</v>
      </c>
      <c r="M4362" s="13" t="s">
        <v>444</v>
      </c>
      <c r="N4362" s="15">
        <v>0</v>
      </c>
      <c r="O4362" s="16">
        <v>88.465486846491785</v>
      </c>
      <c r="P4362" s="17">
        <v>0</v>
      </c>
      <c r="Q4362" s="17">
        <v>0</v>
      </c>
      <c r="R4362" s="13"/>
      <c r="S4362" s="13"/>
      <c r="T4362" s="13"/>
      <c r="U4362" s="13"/>
      <c r="V4362" s="13"/>
      <c r="W4362" s="13"/>
    </row>
    <row r="4363" spans="11:23" x14ac:dyDescent="0.2">
      <c r="K4363" s="13" t="s">
        <v>315</v>
      </c>
      <c r="L4363" s="13" t="s">
        <v>389</v>
      </c>
      <c r="M4363" s="13" t="s">
        <v>388</v>
      </c>
      <c r="N4363" s="15">
        <v>0</v>
      </c>
      <c r="O4363" s="16">
        <v>0</v>
      </c>
      <c r="P4363" s="17">
        <v>201.18509998817515</v>
      </c>
      <c r="Q4363" s="17">
        <v>0</v>
      </c>
      <c r="R4363" s="13"/>
      <c r="S4363" s="13"/>
      <c r="T4363" s="13"/>
      <c r="U4363" s="13"/>
      <c r="V4363" s="13"/>
      <c r="W4363" s="13"/>
    </row>
    <row r="4364" spans="11:23" x14ac:dyDescent="0.2">
      <c r="K4364" s="13" t="s">
        <v>315</v>
      </c>
      <c r="L4364" s="13" t="s">
        <v>399</v>
      </c>
      <c r="M4364" s="13" t="s">
        <v>400</v>
      </c>
      <c r="N4364" s="15">
        <v>0</v>
      </c>
      <c r="O4364" s="16">
        <v>0</v>
      </c>
      <c r="P4364" s="17">
        <v>6.697950001609116</v>
      </c>
      <c r="Q4364" s="17">
        <v>0</v>
      </c>
      <c r="R4364" s="13"/>
      <c r="S4364" s="13"/>
      <c r="T4364" s="13"/>
      <c r="U4364" s="13"/>
      <c r="V4364" s="13"/>
      <c r="W4364" s="13"/>
    </row>
    <row r="4365" spans="11:23" x14ac:dyDescent="0.2">
      <c r="K4365" s="13" t="s">
        <v>315</v>
      </c>
      <c r="L4365" s="13" t="s">
        <v>402</v>
      </c>
      <c r="M4365" s="13" t="s">
        <v>403</v>
      </c>
      <c r="N4365" s="15">
        <v>0</v>
      </c>
      <c r="O4365" s="16">
        <v>0</v>
      </c>
      <c r="P4365" s="17">
        <v>429.94000000730796</v>
      </c>
      <c r="Q4365" s="17">
        <v>0</v>
      </c>
      <c r="R4365" s="13"/>
      <c r="S4365" s="13"/>
      <c r="T4365" s="13"/>
      <c r="U4365" s="13"/>
      <c r="V4365" s="13"/>
      <c r="W4365" s="13"/>
    </row>
    <row r="4366" spans="11:23" x14ac:dyDescent="0.2">
      <c r="K4366" s="13" t="s">
        <v>315</v>
      </c>
      <c r="L4366" s="13" t="s">
        <v>404</v>
      </c>
      <c r="M4366" s="13" t="s">
        <v>405</v>
      </c>
      <c r="N4366" s="15">
        <v>0</v>
      </c>
      <c r="O4366" s="16">
        <v>0</v>
      </c>
      <c r="P4366" s="17">
        <v>25.306313480179483</v>
      </c>
      <c r="Q4366" s="17">
        <v>121.59962831246062</v>
      </c>
      <c r="R4366" s="13"/>
      <c r="S4366" s="13"/>
      <c r="T4366" s="13"/>
      <c r="U4366" s="13"/>
      <c r="V4366" s="13"/>
      <c r="W4366" s="13"/>
    </row>
    <row r="4367" spans="11:23" x14ac:dyDescent="0.2">
      <c r="K4367" s="13" t="s">
        <v>315</v>
      </c>
      <c r="L4367" s="13" t="s">
        <v>381</v>
      </c>
      <c r="M4367" s="13" t="s">
        <v>382</v>
      </c>
      <c r="N4367" s="15">
        <v>6</v>
      </c>
      <c r="O4367" s="16">
        <v>0</v>
      </c>
      <c r="P4367" s="17">
        <v>0</v>
      </c>
      <c r="Q4367" s="17">
        <v>0</v>
      </c>
      <c r="R4367" s="13"/>
      <c r="S4367" s="13"/>
      <c r="T4367" s="13"/>
      <c r="U4367" s="13"/>
      <c r="V4367" s="13"/>
      <c r="W4367" s="13"/>
    </row>
    <row r="4368" spans="11:23" x14ac:dyDescent="0.2">
      <c r="K4368" s="13" t="s">
        <v>315</v>
      </c>
      <c r="L4368" s="13" t="s">
        <v>610</v>
      </c>
      <c r="M4368" s="13" t="s">
        <v>418</v>
      </c>
      <c r="N4368" s="15">
        <v>0</v>
      </c>
      <c r="O4368" s="16">
        <v>9.0270855874155149</v>
      </c>
      <c r="P4368" s="17">
        <v>0</v>
      </c>
      <c r="Q4368" s="17">
        <v>0</v>
      </c>
      <c r="R4368" s="13"/>
      <c r="S4368" s="13"/>
      <c r="T4368" s="13"/>
      <c r="U4368" s="13"/>
      <c r="V4368" s="13"/>
      <c r="W4368" s="13"/>
    </row>
    <row r="4369" spans="11:23" x14ac:dyDescent="0.2">
      <c r="K4369" s="13" t="s">
        <v>315</v>
      </c>
      <c r="L4369" s="13" t="s">
        <v>613</v>
      </c>
      <c r="M4369" s="13" t="s">
        <v>444</v>
      </c>
      <c r="N4369" s="15">
        <v>0</v>
      </c>
      <c r="O4369" s="16">
        <v>6.2269173762398964</v>
      </c>
      <c r="P4369" s="17">
        <v>0</v>
      </c>
      <c r="Q4369" s="17">
        <v>0</v>
      </c>
      <c r="R4369" s="13"/>
      <c r="S4369" s="13"/>
      <c r="T4369" s="13"/>
      <c r="U4369" s="13"/>
      <c r="V4369" s="13"/>
      <c r="W4369" s="13"/>
    </row>
    <row r="4370" spans="11:23" x14ac:dyDescent="0.2">
      <c r="K4370" s="13" t="s">
        <v>317</v>
      </c>
      <c r="L4370" s="13" t="s">
        <v>435</v>
      </c>
      <c r="M4370" s="13" t="s">
        <v>364</v>
      </c>
      <c r="N4370" s="15">
        <v>0</v>
      </c>
      <c r="O4370" s="16">
        <v>0</v>
      </c>
      <c r="P4370" s="17">
        <v>2.3432000000152735</v>
      </c>
      <c r="Q4370" s="17">
        <v>0</v>
      </c>
      <c r="R4370" s="13"/>
      <c r="S4370" s="13"/>
      <c r="T4370" s="13"/>
      <c r="U4370" s="13"/>
      <c r="V4370" s="13"/>
      <c r="W4370" s="13"/>
    </row>
    <row r="4371" spans="11:23" x14ac:dyDescent="0.2">
      <c r="K4371" s="13" t="s">
        <v>317</v>
      </c>
      <c r="L4371" s="13" t="s">
        <v>389</v>
      </c>
      <c r="M4371" s="13" t="s">
        <v>388</v>
      </c>
      <c r="N4371" s="15">
        <v>0</v>
      </c>
      <c r="O4371" s="16">
        <v>0</v>
      </c>
      <c r="P4371" s="17">
        <v>114.0628499977911</v>
      </c>
      <c r="Q4371" s="17">
        <v>0</v>
      </c>
      <c r="R4371" s="13"/>
      <c r="S4371" s="13"/>
      <c r="T4371" s="13"/>
      <c r="U4371" s="13"/>
      <c r="V4371" s="13"/>
      <c r="W4371" s="13"/>
    </row>
    <row r="4372" spans="11:23" x14ac:dyDescent="0.2">
      <c r="K4372" s="13" t="s">
        <v>317</v>
      </c>
      <c r="L4372" s="13" t="s">
        <v>394</v>
      </c>
      <c r="M4372" s="13" t="s">
        <v>359</v>
      </c>
      <c r="N4372" s="15">
        <v>0</v>
      </c>
      <c r="O4372" s="16">
        <v>0</v>
      </c>
      <c r="P4372" s="17">
        <v>9.3693000036308547</v>
      </c>
      <c r="Q4372" s="17">
        <v>0</v>
      </c>
      <c r="R4372" s="13"/>
      <c r="S4372" s="13"/>
      <c r="T4372" s="13"/>
      <c r="U4372" s="13"/>
      <c r="V4372" s="13"/>
      <c r="W4372" s="13"/>
    </row>
    <row r="4373" spans="11:23" x14ac:dyDescent="0.2">
      <c r="K4373" s="13" t="s">
        <v>317</v>
      </c>
      <c r="L4373" s="13" t="s">
        <v>402</v>
      </c>
      <c r="M4373" s="13" t="s">
        <v>403</v>
      </c>
      <c r="N4373" s="15">
        <v>0</v>
      </c>
      <c r="O4373" s="16">
        <v>0</v>
      </c>
      <c r="P4373" s="17">
        <v>91.446045304005423</v>
      </c>
      <c r="Q4373" s="17">
        <v>0</v>
      </c>
      <c r="R4373" s="13"/>
      <c r="S4373" s="13"/>
      <c r="T4373" s="13"/>
      <c r="U4373" s="13"/>
      <c r="V4373" s="13"/>
      <c r="W4373" s="13"/>
    </row>
    <row r="4374" spans="11:23" x14ac:dyDescent="0.2">
      <c r="K4374" s="13" t="s">
        <v>317</v>
      </c>
      <c r="L4374" s="13" t="s">
        <v>404</v>
      </c>
      <c r="M4374" s="13" t="s">
        <v>405</v>
      </c>
      <c r="N4374" s="15">
        <v>0</v>
      </c>
      <c r="O4374" s="16">
        <v>0</v>
      </c>
      <c r="P4374" s="17">
        <v>14.645150002070142</v>
      </c>
      <c r="Q4374" s="17">
        <v>31.516386752610277</v>
      </c>
      <c r="R4374" s="13"/>
      <c r="S4374" s="13"/>
      <c r="T4374" s="13"/>
      <c r="U4374" s="13"/>
      <c r="V4374" s="13"/>
      <c r="W4374" s="13"/>
    </row>
    <row r="4375" spans="11:23" x14ac:dyDescent="0.2">
      <c r="K4375" s="13" t="s">
        <v>317</v>
      </c>
      <c r="L4375" s="13" t="s">
        <v>381</v>
      </c>
      <c r="M4375" s="13" t="s">
        <v>382</v>
      </c>
      <c r="N4375" s="15">
        <v>1</v>
      </c>
      <c r="O4375" s="16">
        <v>0</v>
      </c>
      <c r="P4375" s="17">
        <v>0</v>
      </c>
      <c r="Q4375" s="17">
        <v>0</v>
      </c>
      <c r="R4375" s="13"/>
      <c r="S4375" s="13"/>
      <c r="T4375" s="13"/>
      <c r="U4375" s="13"/>
      <c r="V4375" s="13"/>
      <c r="W4375" s="13"/>
    </row>
    <row r="4376" spans="11:23" x14ac:dyDescent="0.2">
      <c r="K4376" s="13" t="s">
        <v>317</v>
      </c>
      <c r="L4376" s="13" t="s">
        <v>610</v>
      </c>
      <c r="M4376" s="13" t="s">
        <v>418</v>
      </c>
      <c r="N4376" s="15">
        <v>0</v>
      </c>
      <c r="O4376" s="16">
        <v>6.2257931218199456</v>
      </c>
      <c r="P4376" s="17">
        <v>0</v>
      </c>
      <c r="Q4376" s="17">
        <v>0</v>
      </c>
      <c r="R4376" s="13"/>
      <c r="S4376" s="13"/>
      <c r="T4376" s="13"/>
      <c r="U4376" s="13"/>
      <c r="V4376" s="13"/>
      <c r="W4376" s="13"/>
    </row>
    <row r="4377" spans="11:23" x14ac:dyDescent="0.2">
      <c r="K4377" s="13" t="s">
        <v>319</v>
      </c>
      <c r="L4377" s="13" t="s">
        <v>544</v>
      </c>
      <c r="M4377" s="13" t="s">
        <v>545</v>
      </c>
      <c r="N4377" s="15">
        <v>0</v>
      </c>
      <c r="O4377" s="16">
        <v>0</v>
      </c>
      <c r="P4377" s="17">
        <v>22.175849994592348</v>
      </c>
      <c r="Q4377" s="17">
        <v>0</v>
      </c>
      <c r="R4377" s="13"/>
      <c r="S4377" s="13"/>
      <c r="T4377" s="13"/>
      <c r="U4377" s="13"/>
      <c r="V4377" s="13"/>
      <c r="W4377" s="13"/>
    </row>
    <row r="4378" spans="11:23" x14ac:dyDescent="0.2">
      <c r="K4378" s="13" t="s">
        <v>319</v>
      </c>
      <c r="L4378" s="13" t="s">
        <v>387</v>
      </c>
      <c r="M4378" s="13" t="s">
        <v>386</v>
      </c>
      <c r="N4378" s="15">
        <v>0</v>
      </c>
      <c r="O4378" s="16">
        <v>0</v>
      </c>
      <c r="P4378" s="17">
        <v>26.155049998969236</v>
      </c>
      <c r="Q4378" s="17">
        <v>0</v>
      </c>
      <c r="R4378" s="13"/>
      <c r="S4378" s="13"/>
      <c r="T4378" s="13"/>
      <c r="U4378" s="13"/>
      <c r="V4378" s="13"/>
      <c r="W4378" s="13"/>
    </row>
    <row r="4379" spans="11:23" x14ac:dyDescent="0.2">
      <c r="K4379" s="13" t="s">
        <v>319</v>
      </c>
      <c r="L4379" s="13" t="s">
        <v>389</v>
      </c>
      <c r="M4379" s="13" t="s">
        <v>388</v>
      </c>
      <c r="N4379" s="15">
        <v>0</v>
      </c>
      <c r="O4379" s="16">
        <v>0</v>
      </c>
      <c r="P4379" s="17">
        <v>168.98854997697734</v>
      </c>
      <c r="Q4379" s="17">
        <v>0</v>
      </c>
      <c r="R4379" s="13"/>
      <c r="S4379" s="13"/>
      <c r="T4379" s="13"/>
      <c r="U4379" s="13"/>
      <c r="V4379" s="13"/>
      <c r="W4379" s="13"/>
    </row>
    <row r="4380" spans="11:23" x14ac:dyDescent="0.2">
      <c r="K4380" s="13" t="s">
        <v>319</v>
      </c>
      <c r="L4380" s="13" t="s">
        <v>399</v>
      </c>
      <c r="M4380" s="13" t="s">
        <v>400</v>
      </c>
      <c r="N4380" s="15">
        <v>0</v>
      </c>
      <c r="O4380" s="16">
        <v>0</v>
      </c>
      <c r="P4380" s="17">
        <v>5.6589500003781401</v>
      </c>
      <c r="Q4380" s="17">
        <v>0</v>
      </c>
      <c r="R4380" s="13"/>
      <c r="S4380" s="13"/>
      <c r="T4380" s="13"/>
      <c r="U4380" s="13"/>
      <c r="V4380" s="13"/>
      <c r="W4380" s="13"/>
    </row>
    <row r="4381" spans="11:23" x14ac:dyDescent="0.2">
      <c r="K4381" s="13" t="s">
        <v>319</v>
      </c>
      <c r="L4381" s="13" t="s">
        <v>402</v>
      </c>
      <c r="M4381" s="13" t="s">
        <v>403</v>
      </c>
      <c r="N4381" s="15">
        <v>0</v>
      </c>
      <c r="O4381" s="16">
        <v>0</v>
      </c>
      <c r="P4381" s="17">
        <v>382.73714859943885</v>
      </c>
      <c r="Q4381" s="17">
        <v>0</v>
      </c>
      <c r="R4381" s="13"/>
      <c r="S4381" s="13"/>
      <c r="T4381" s="13"/>
      <c r="U4381" s="13"/>
      <c r="V4381" s="13"/>
      <c r="W4381" s="13"/>
    </row>
    <row r="4382" spans="11:23" x14ac:dyDescent="0.2">
      <c r="K4382" s="13" t="s">
        <v>319</v>
      </c>
      <c r="L4382" s="13" t="s">
        <v>404</v>
      </c>
      <c r="M4382" s="13" t="s">
        <v>405</v>
      </c>
      <c r="N4382" s="15">
        <v>0</v>
      </c>
      <c r="O4382" s="16">
        <v>0</v>
      </c>
      <c r="P4382" s="17">
        <v>67.152632945716221</v>
      </c>
      <c r="Q4382" s="17">
        <v>331.45818492032896</v>
      </c>
      <c r="R4382" s="13"/>
      <c r="S4382" s="13"/>
      <c r="T4382" s="13"/>
      <c r="U4382" s="13"/>
      <c r="V4382" s="13"/>
      <c r="W4382" s="13"/>
    </row>
    <row r="4383" spans="11:23" x14ac:dyDescent="0.2">
      <c r="K4383" s="13" t="s">
        <v>319</v>
      </c>
      <c r="L4383" s="13" t="s">
        <v>381</v>
      </c>
      <c r="M4383" s="13" t="s">
        <v>382</v>
      </c>
      <c r="N4383" s="15">
        <v>9</v>
      </c>
      <c r="O4383" s="16">
        <v>0</v>
      </c>
      <c r="P4383" s="17">
        <v>0</v>
      </c>
      <c r="Q4383" s="17">
        <v>0</v>
      </c>
      <c r="R4383" s="13"/>
      <c r="S4383" s="13"/>
      <c r="T4383" s="13"/>
      <c r="U4383" s="13"/>
      <c r="V4383" s="13"/>
      <c r="W4383" s="13"/>
    </row>
    <row r="4384" spans="11:23" x14ac:dyDescent="0.2">
      <c r="K4384" s="13" t="s">
        <v>319</v>
      </c>
      <c r="L4384" s="13" t="s">
        <v>409</v>
      </c>
      <c r="M4384" s="13" t="s">
        <v>410</v>
      </c>
      <c r="N4384" s="15">
        <v>1</v>
      </c>
      <c r="O4384" s="16">
        <v>0</v>
      </c>
      <c r="P4384" s="17">
        <v>0</v>
      </c>
      <c r="Q4384" s="17">
        <v>0</v>
      </c>
      <c r="R4384" s="13"/>
      <c r="S4384" s="13"/>
      <c r="T4384" s="13"/>
      <c r="U4384" s="13"/>
      <c r="V4384" s="13"/>
      <c r="W4384" s="13"/>
    </row>
    <row r="4385" spans="11:23" x14ac:dyDescent="0.2">
      <c r="K4385" s="13" t="s">
        <v>319</v>
      </c>
      <c r="L4385" s="13" t="s">
        <v>411</v>
      </c>
      <c r="M4385" s="13" t="s">
        <v>362</v>
      </c>
      <c r="N4385" s="15">
        <v>0</v>
      </c>
      <c r="O4385" s="16">
        <v>0</v>
      </c>
      <c r="P4385" s="17">
        <v>6.0922499984442249</v>
      </c>
      <c r="Q4385" s="17">
        <v>0</v>
      </c>
      <c r="R4385" s="13"/>
      <c r="S4385" s="13"/>
      <c r="T4385" s="13"/>
      <c r="U4385" s="13"/>
      <c r="V4385" s="13"/>
      <c r="W4385" s="13"/>
    </row>
    <row r="4386" spans="11:23" x14ac:dyDescent="0.2">
      <c r="K4386" s="13" t="s">
        <v>319</v>
      </c>
      <c r="L4386" s="13" t="s">
        <v>411</v>
      </c>
      <c r="M4386" s="13" t="s">
        <v>362</v>
      </c>
      <c r="N4386" s="15">
        <v>0</v>
      </c>
      <c r="O4386" s="16">
        <v>15.225221949608201</v>
      </c>
      <c r="P4386" s="17">
        <v>0</v>
      </c>
      <c r="Q4386" s="17">
        <v>0</v>
      </c>
      <c r="R4386" s="13"/>
      <c r="S4386" s="13"/>
      <c r="T4386" s="13"/>
      <c r="U4386" s="13"/>
      <c r="V4386" s="13"/>
      <c r="W4386" s="13"/>
    </row>
    <row r="4387" spans="11:23" x14ac:dyDescent="0.2">
      <c r="K4387" s="13" t="s">
        <v>319</v>
      </c>
      <c r="L4387" s="13" t="s">
        <v>606</v>
      </c>
      <c r="M4387" s="13" t="s">
        <v>430</v>
      </c>
      <c r="N4387" s="15">
        <v>5</v>
      </c>
      <c r="O4387" s="16">
        <v>0</v>
      </c>
      <c r="P4387" s="17">
        <v>0</v>
      </c>
      <c r="Q4387" s="17">
        <v>0</v>
      </c>
      <c r="R4387" s="13"/>
      <c r="S4387" s="13"/>
      <c r="T4387" s="13"/>
      <c r="U4387" s="13"/>
      <c r="V4387" s="13"/>
      <c r="W4387" s="13"/>
    </row>
    <row r="4388" spans="11:23" x14ac:dyDescent="0.2">
      <c r="K4388" s="13" t="s">
        <v>319</v>
      </c>
      <c r="L4388" s="13" t="s">
        <v>607</v>
      </c>
      <c r="M4388" s="13" t="s">
        <v>431</v>
      </c>
      <c r="N4388" s="15">
        <v>3</v>
      </c>
      <c r="O4388" s="16">
        <v>0</v>
      </c>
      <c r="P4388" s="17">
        <v>0</v>
      </c>
      <c r="Q4388" s="17">
        <v>0</v>
      </c>
      <c r="R4388" s="13"/>
      <c r="S4388" s="13"/>
      <c r="T4388" s="13"/>
      <c r="U4388" s="13"/>
      <c r="V4388" s="13"/>
      <c r="W4388" s="13"/>
    </row>
    <row r="4389" spans="11:23" x14ac:dyDescent="0.2">
      <c r="K4389" s="13" t="s">
        <v>319</v>
      </c>
      <c r="L4389" s="13" t="s">
        <v>613</v>
      </c>
      <c r="M4389" s="13" t="s">
        <v>444</v>
      </c>
      <c r="N4389" s="15">
        <v>0</v>
      </c>
      <c r="O4389" s="16">
        <v>22.03858429286338</v>
      </c>
      <c r="P4389" s="17">
        <v>0</v>
      </c>
      <c r="Q4389" s="17">
        <v>0</v>
      </c>
      <c r="R4389" s="13"/>
      <c r="S4389" s="13"/>
      <c r="T4389" s="13"/>
      <c r="U4389" s="13"/>
      <c r="V4389" s="13"/>
      <c r="W4389" s="13"/>
    </row>
    <row r="4390" spans="11:23" x14ac:dyDescent="0.2">
      <c r="K4390" s="13" t="s">
        <v>321</v>
      </c>
      <c r="L4390" s="13" t="s">
        <v>435</v>
      </c>
      <c r="M4390" s="13" t="s">
        <v>364</v>
      </c>
      <c r="N4390" s="15">
        <v>0</v>
      </c>
      <c r="O4390" s="16">
        <v>0</v>
      </c>
      <c r="P4390" s="17">
        <v>21.54397843485005</v>
      </c>
      <c r="Q4390" s="17">
        <v>0</v>
      </c>
      <c r="R4390" s="13"/>
      <c r="S4390" s="13"/>
      <c r="T4390" s="13"/>
      <c r="U4390" s="13"/>
      <c r="V4390" s="13"/>
      <c r="W4390" s="13"/>
    </row>
    <row r="4391" spans="11:23" x14ac:dyDescent="0.2">
      <c r="K4391" s="13" t="s">
        <v>321</v>
      </c>
      <c r="L4391" s="13" t="s">
        <v>389</v>
      </c>
      <c r="M4391" s="13" t="s">
        <v>388</v>
      </c>
      <c r="N4391" s="15">
        <v>0</v>
      </c>
      <c r="O4391" s="16">
        <v>0</v>
      </c>
      <c r="P4391" s="17">
        <v>151.31068583826087</v>
      </c>
      <c r="Q4391" s="17">
        <v>0</v>
      </c>
      <c r="R4391" s="13"/>
      <c r="S4391" s="13"/>
      <c r="T4391" s="13"/>
      <c r="U4391" s="13"/>
      <c r="V4391" s="13"/>
      <c r="W4391" s="13"/>
    </row>
    <row r="4392" spans="11:23" x14ac:dyDescent="0.2">
      <c r="K4392" s="13" t="s">
        <v>321</v>
      </c>
      <c r="L4392" s="13" t="s">
        <v>394</v>
      </c>
      <c r="M4392" s="13" t="s">
        <v>359</v>
      </c>
      <c r="N4392" s="15">
        <v>0</v>
      </c>
      <c r="O4392" s="16">
        <v>0</v>
      </c>
      <c r="P4392" s="17">
        <v>5.8772499996683329</v>
      </c>
      <c r="Q4392" s="17">
        <v>0</v>
      </c>
      <c r="R4392" s="13"/>
      <c r="S4392" s="13"/>
      <c r="T4392" s="13"/>
      <c r="U4392" s="13"/>
      <c r="V4392" s="13"/>
      <c r="W4392" s="13"/>
    </row>
    <row r="4393" spans="11:23" x14ac:dyDescent="0.2">
      <c r="K4393" s="13" t="s">
        <v>321</v>
      </c>
      <c r="L4393" s="13" t="s">
        <v>395</v>
      </c>
      <c r="M4393" s="13" t="s">
        <v>602</v>
      </c>
      <c r="N4393" s="15">
        <v>4</v>
      </c>
      <c r="O4393" s="16">
        <v>0</v>
      </c>
      <c r="P4393" s="17">
        <v>0</v>
      </c>
      <c r="Q4393" s="17">
        <v>0</v>
      </c>
      <c r="R4393" s="13"/>
      <c r="S4393" s="13"/>
      <c r="T4393" s="13"/>
      <c r="U4393" s="13"/>
      <c r="V4393" s="13"/>
      <c r="W4393" s="13"/>
    </row>
    <row r="4394" spans="11:23" x14ac:dyDescent="0.2">
      <c r="K4394" s="13" t="s">
        <v>321</v>
      </c>
      <c r="L4394" s="13" t="s">
        <v>399</v>
      </c>
      <c r="M4394" s="13" t="s">
        <v>400</v>
      </c>
      <c r="N4394" s="15">
        <v>0</v>
      </c>
      <c r="O4394" s="16">
        <v>0</v>
      </c>
      <c r="P4394" s="17">
        <v>8.6898500036819364</v>
      </c>
      <c r="Q4394" s="17">
        <v>0</v>
      </c>
      <c r="R4394" s="13"/>
      <c r="S4394" s="13"/>
      <c r="T4394" s="13"/>
      <c r="U4394" s="13"/>
      <c r="V4394" s="13"/>
      <c r="W4394" s="13"/>
    </row>
    <row r="4395" spans="11:23" x14ac:dyDescent="0.2">
      <c r="K4395" s="13" t="s">
        <v>321</v>
      </c>
      <c r="L4395" s="13" t="s">
        <v>402</v>
      </c>
      <c r="M4395" s="13" t="s">
        <v>403</v>
      </c>
      <c r="N4395" s="15">
        <v>0</v>
      </c>
      <c r="O4395" s="16">
        <v>0</v>
      </c>
      <c r="P4395" s="17">
        <v>150.57820497482365</v>
      </c>
      <c r="Q4395" s="17">
        <v>0</v>
      </c>
      <c r="R4395" s="13"/>
      <c r="S4395" s="13"/>
      <c r="T4395" s="13"/>
      <c r="U4395" s="13"/>
      <c r="V4395" s="13"/>
      <c r="W4395" s="13"/>
    </row>
    <row r="4396" spans="11:23" x14ac:dyDescent="0.2">
      <c r="K4396" s="13" t="s">
        <v>321</v>
      </c>
      <c r="L4396" s="13" t="s">
        <v>404</v>
      </c>
      <c r="M4396" s="13" t="s">
        <v>405</v>
      </c>
      <c r="N4396" s="15">
        <v>0</v>
      </c>
      <c r="O4396" s="16">
        <v>0</v>
      </c>
      <c r="P4396" s="17">
        <v>84.832709986265215</v>
      </c>
      <c r="Q4396" s="17">
        <v>416.7971829097396</v>
      </c>
      <c r="R4396" s="13"/>
      <c r="S4396" s="13"/>
      <c r="T4396" s="13"/>
      <c r="U4396" s="13"/>
      <c r="V4396" s="13"/>
      <c r="W4396" s="13"/>
    </row>
    <row r="4397" spans="11:23" x14ac:dyDescent="0.2">
      <c r="K4397" s="13" t="s">
        <v>321</v>
      </c>
      <c r="L4397" s="13" t="s">
        <v>406</v>
      </c>
      <c r="M4397" s="13" t="s">
        <v>361</v>
      </c>
      <c r="N4397" s="15">
        <v>0</v>
      </c>
      <c r="O4397" s="16">
        <v>0</v>
      </c>
      <c r="P4397" s="17">
        <v>1.176050001516519</v>
      </c>
      <c r="Q4397" s="17">
        <v>1.176050001516519</v>
      </c>
      <c r="R4397" s="13"/>
      <c r="S4397" s="13"/>
      <c r="T4397" s="13"/>
      <c r="U4397" s="13"/>
      <c r="V4397" s="13"/>
      <c r="W4397" s="13"/>
    </row>
    <row r="4398" spans="11:23" x14ac:dyDescent="0.2">
      <c r="K4398" s="13" t="s">
        <v>321</v>
      </c>
      <c r="L4398" s="13" t="s">
        <v>409</v>
      </c>
      <c r="M4398" s="13" t="s">
        <v>410</v>
      </c>
      <c r="N4398" s="15">
        <v>7</v>
      </c>
      <c r="O4398" s="16">
        <v>0</v>
      </c>
      <c r="P4398" s="17">
        <v>0</v>
      </c>
      <c r="Q4398" s="17">
        <v>0</v>
      </c>
      <c r="R4398" s="13"/>
      <c r="S4398" s="13"/>
      <c r="T4398" s="13"/>
      <c r="U4398" s="13"/>
      <c r="V4398" s="13"/>
      <c r="W4398" s="13"/>
    </row>
    <row r="4399" spans="11:23" x14ac:dyDescent="0.2">
      <c r="K4399" s="13" t="s">
        <v>323</v>
      </c>
      <c r="L4399" s="13" t="s">
        <v>435</v>
      </c>
      <c r="M4399" s="13" t="s">
        <v>364</v>
      </c>
      <c r="N4399" s="15">
        <v>0</v>
      </c>
      <c r="O4399" s="16">
        <v>134.74631718999791</v>
      </c>
      <c r="P4399" s="17">
        <v>0</v>
      </c>
      <c r="Q4399" s="17">
        <v>0</v>
      </c>
      <c r="R4399" s="13"/>
      <c r="S4399" s="13"/>
      <c r="T4399" s="13"/>
      <c r="U4399" s="13"/>
      <c r="V4399" s="13"/>
      <c r="W4399" s="13"/>
    </row>
    <row r="4400" spans="11:23" x14ac:dyDescent="0.2">
      <c r="K4400" s="13" t="s">
        <v>323</v>
      </c>
      <c r="L4400" s="13" t="s">
        <v>544</v>
      </c>
      <c r="M4400" s="13" t="s">
        <v>545</v>
      </c>
      <c r="N4400" s="15">
        <v>0</v>
      </c>
      <c r="O4400" s="16">
        <v>0</v>
      </c>
      <c r="P4400" s="17">
        <v>129.90434999880148</v>
      </c>
      <c r="Q4400" s="17">
        <v>0</v>
      </c>
      <c r="R4400" s="13"/>
      <c r="S4400" s="13"/>
      <c r="T4400" s="13"/>
      <c r="U4400" s="13"/>
      <c r="V4400" s="13"/>
      <c r="W4400" s="13"/>
    </row>
    <row r="4401" spans="11:23" x14ac:dyDescent="0.2">
      <c r="K4401" s="13" t="s">
        <v>323</v>
      </c>
      <c r="L4401" s="13" t="s">
        <v>387</v>
      </c>
      <c r="M4401" s="13" t="s">
        <v>386</v>
      </c>
      <c r="N4401" s="15">
        <v>0</v>
      </c>
      <c r="O4401" s="16">
        <v>0</v>
      </c>
      <c r="P4401" s="17">
        <v>1547.6068999534377</v>
      </c>
      <c r="Q4401" s="17">
        <v>0</v>
      </c>
      <c r="R4401" s="13"/>
      <c r="S4401" s="13"/>
      <c r="T4401" s="13"/>
      <c r="U4401" s="13"/>
      <c r="V4401" s="13"/>
      <c r="W4401" s="13"/>
    </row>
    <row r="4402" spans="11:23" x14ac:dyDescent="0.2">
      <c r="K4402" s="13" t="s">
        <v>323</v>
      </c>
      <c r="L4402" s="13" t="s">
        <v>389</v>
      </c>
      <c r="M4402" s="13" t="s">
        <v>388</v>
      </c>
      <c r="N4402" s="15">
        <v>0</v>
      </c>
      <c r="O4402" s="16">
        <v>0</v>
      </c>
      <c r="P4402" s="17">
        <v>2713.984583920625</v>
      </c>
      <c r="Q4402" s="17">
        <v>0</v>
      </c>
      <c r="R4402" s="13"/>
      <c r="S4402" s="13"/>
      <c r="T4402" s="13"/>
      <c r="U4402" s="13"/>
      <c r="V4402" s="13"/>
      <c r="W4402" s="13"/>
    </row>
    <row r="4403" spans="11:23" x14ac:dyDescent="0.2">
      <c r="K4403" s="13" t="s">
        <v>323</v>
      </c>
      <c r="L4403" s="13" t="s">
        <v>542</v>
      </c>
      <c r="M4403" s="13" t="s">
        <v>390</v>
      </c>
      <c r="N4403" s="15">
        <v>0</v>
      </c>
      <c r="O4403" s="16">
        <v>0</v>
      </c>
      <c r="P4403" s="17">
        <v>16.94259999731856</v>
      </c>
      <c r="Q4403" s="17">
        <v>0</v>
      </c>
      <c r="R4403" s="13"/>
      <c r="S4403" s="13"/>
      <c r="T4403" s="13"/>
      <c r="U4403" s="13"/>
      <c r="V4403" s="13"/>
      <c r="W4403" s="13"/>
    </row>
    <row r="4404" spans="11:23" x14ac:dyDescent="0.2">
      <c r="K4404" s="13" t="s">
        <v>323</v>
      </c>
      <c r="L4404" s="13" t="s">
        <v>391</v>
      </c>
      <c r="M4404" s="13" t="s">
        <v>358</v>
      </c>
      <c r="N4404" s="15">
        <v>0</v>
      </c>
      <c r="O4404" s="16">
        <v>0</v>
      </c>
      <c r="P4404" s="17">
        <v>9.542049998528837</v>
      </c>
      <c r="Q4404" s="17">
        <v>0</v>
      </c>
      <c r="R4404" s="13"/>
      <c r="S4404" s="13"/>
      <c r="T4404" s="13"/>
      <c r="U4404" s="13"/>
      <c r="V4404" s="13"/>
      <c r="W4404" s="13"/>
    </row>
    <row r="4405" spans="11:23" x14ac:dyDescent="0.2">
      <c r="K4405" s="13" t="s">
        <v>323</v>
      </c>
      <c r="L4405" s="13" t="s">
        <v>392</v>
      </c>
      <c r="M4405" s="13" t="s">
        <v>437</v>
      </c>
      <c r="N4405" s="15">
        <v>0</v>
      </c>
      <c r="O4405" s="16">
        <v>0</v>
      </c>
      <c r="P4405" s="17">
        <v>16.224999998681014</v>
      </c>
      <c r="Q4405" s="17">
        <v>0</v>
      </c>
      <c r="R4405" s="13"/>
      <c r="S4405" s="13"/>
      <c r="T4405" s="13"/>
      <c r="U4405" s="13"/>
      <c r="V4405" s="13"/>
      <c r="W4405" s="13"/>
    </row>
    <row r="4406" spans="11:23" x14ac:dyDescent="0.2">
      <c r="K4406" s="13" t="s">
        <v>323</v>
      </c>
      <c r="L4406" s="13" t="s">
        <v>460</v>
      </c>
      <c r="M4406" s="13" t="s">
        <v>393</v>
      </c>
      <c r="N4406" s="15">
        <v>0</v>
      </c>
      <c r="O4406" s="16">
        <v>0</v>
      </c>
      <c r="P4406" s="17">
        <v>34.745899934342859</v>
      </c>
      <c r="Q4406" s="17">
        <v>0</v>
      </c>
      <c r="R4406" s="13"/>
      <c r="S4406" s="13"/>
      <c r="T4406" s="13"/>
      <c r="U4406" s="13"/>
      <c r="V4406" s="13"/>
      <c r="W4406" s="13"/>
    </row>
    <row r="4407" spans="11:23" x14ac:dyDescent="0.2">
      <c r="K4407" s="13" t="s">
        <v>323</v>
      </c>
      <c r="L4407" s="13" t="s">
        <v>440</v>
      </c>
      <c r="M4407" s="13" t="s">
        <v>441</v>
      </c>
      <c r="N4407" s="15">
        <v>8</v>
      </c>
      <c r="O4407" s="16">
        <v>0</v>
      </c>
      <c r="P4407" s="17">
        <v>0</v>
      </c>
      <c r="Q4407" s="17">
        <v>0</v>
      </c>
      <c r="R4407" s="13"/>
      <c r="S4407" s="13"/>
      <c r="T4407" s="13"/>
      <c r="U4407" s="13"/>
      <c r="V4407" s="13"/>
      <c r="W4407" s="13"/>
    </row>
    <row r="4408" spans="11:23" x14ac:dyDescent="0.2">
      <c r="K4408" s="13" t="s">
        <v>323</v>
      </c>
      <c r="L4408" s="13" t="s">
        <v>394</v>
      </c>
      <c r="M4408" s="13" t="s">
        <v>359</v>
      </c>
      <c r="N4408" s="15">
        <v>0</v>
      </c>
      <c r="O4408" s="16">
        <v>0</v>
      </c>
      <c r="P4408" s="17">
        <v>126.15729998243023</v>
      </c>
      <c r="Q4408" s="17">
        <v>0</v>
      </c>
      <c r="R4408" s="13"/>
      <c r="S4408" s="13"/>
      <c r="T4408" s="13"/>
      <c r="U4408" s="13"/>
      <c r="V4408" s="13"/>
      <c r="W4408" s="13"/>
    </row>
    <row r="4409" spans="11:23" x14ac:dyDescent="0.2">
      <c r="K4409" s="13" t="s">
        <v>323</v>
      </c>
      <c r="L4409" s="13" t="s">
        <v>395</v>
      </c>
      <c r="M4409" s="13" t="s">
        <v>602</v>
      </c>
      <c r="N4409" s="15">
        <v>13</v>
      </c>
      <c r="O4409" s="16">
        <v>0</v>
      </c>
      <c r="P4409" s="17">
        <v>0</v>
      </c>
      <c r="Q4409" s="17">
        <v>0</v>
      </c>
      <c r="R4409" s="13"/>
      <c r="S4409" s="13"/>
      <c r="T4409" s="13"/>
      <c r="U4409" s="13"/>
      <c r="V4409" s="13"/>
      <c r="W4409" s="13"/>
    </row>
    <row r="4410" spans="11:23" x14ac:dyDescent="0.2">
      <c r="K4410" s="13" t="s">
        <v>323</v>
      </c>
      <c r="L4410" s="13" t="s">
        <v>397</v>
      </c>
      <c r="M4410" s="13" t="s">
        <v>398</v>
      </c>
      <c r="N4410" s="15">
        <v>0</v>
      </c>
      <c r="O4410" s="16">
        <v>0</v>
      </c>
      <c r="P4410" s="17">
        <v>190.69604999104317</v>
      </c>
      <c r="Q4410" s="17">
        <v>0</v>
      </c>
      <c r="R4410" s="13"/>
      <c r="S4410" s="13"/>
      <c r="T4410" s="13"/>
      <c r="U4410" s="13"/>
      <c r="V4410" s="13"/>
      <c r="W4410" s="13"/>
    </row>
    <row r="4411" spans="11:23" x14ac:dyDescent="0.2">
      <c r="K4411" s="13" t="s">
        <v>323</v>
      </c>
      <c r="L4411" s="13" t="s">
        <v>399</v>
      </c>
      <c r="M4411" s="13" t="s">
        <v>400</v>
      </c>
      <c r="N4411" s="15">
        <v>0</v>
      </c>
      <c r="O4411" s="16">
        <v>0</v>
      </c>
      <c r="P4411" s="17">
        <v>182.01095004498643</v>
      </c>
      <c r="Q4411" s="17">
        <v>0</v>
      </c>
      <c r="R4411" s="13"/>
      <c r="S4411" s="13"/>
      <c r="T4411" s="13"/>
      <c r="U4411" s="13"/>
      <c r="V4411" s="13"/>
      <c r="W4411" s="13"/>
    </row>
    <row r="4412" spans="11:23" x14ac:dyDescent="0.2">
      <c r="K4412" s="13" t="s">
        <v>323</v>
      </c>
      <c r="L4412" s="13" t="s">
        <v>401</v>
      </c>
      <c r="M4412" s="13" t="s">
        <v>360</v>
      </c>
      <c r="N4412" s="15">
        <v>0</v>
      </c>
      <c r="O4412" s="16">
        <v>0</v>
      </c>
      <c r="P4412" s="17">
        <v>22.399799992386068</v>
      </c>
      <c r="Q4412" s="17">
        <v>0</v>
      </c>
      <c r="R4412" s="13"/>
      <c r="S4412" s="13"/>
      <c r="T4412" s="13"/>
      <c r="U4412" s="13"/>
      <c r="V4412" s="13"/>
      <c r="W4412" s="13"/>
    </row>
    <row r="4413" spans="11:23" x14ac:dyDescent="0.2">
      <c r="K4413" s="13" t="s">
        <v>323</v>
      </c>
      <c r="L4413" s="13" t="s">
        <v>511</v>
      </c>
      <c r="M4413" s="13" t="s">
        <v>377</v>
      </c>
      <c r="N4413" s="15">
        <v>0</v>
      </c>
      <c r="O4413" s="16">
        <v>0</v>
      </c>
      <c r="P4413" s="17">
        <v>222.98084998497936</v>
      </c>
      <c r="Q4413" s="17">
        <v>0</v>
      </c>
      <c r="R4413" s="13"/>
      <c r="S4413" s="13"/>
      <c r="T4413" s="13"/>
      <c r="U4413" s="13"/>
      <c r="V4413" s="13"/>
      <c r="W4413" s="13"/>
    </row>
    <row r="4414" spans="11:23" x14ac:dyDescent="0.2">
      <c r="K4414" s="13" t="s">
        <v>323</v>
      </c>
      <c r="L4414" s="13" t="s">
        <v>402</v>
      </c>
      <c r="M4414" s="13" t="s">
        <v>403</v>
      </c>
      <c r="N4414" s="15">
        <v>0</v>
      </c>
      <c r="O4414" s="16">
        <v>0</v>
      </c>
      <c r="P4414" s="17">
        <v>1528.9658531261796</v>
      </c>
      <c r="Q4414" s="17">
        <v>0</v>
      </c>
      <c r="R4414" s="13"/>
      <c r="S4414" s="13"/>
      <c r="T4414" s="13"/>
      <c r="U4414" s="13"/>
      <c r="V4414" s="13"/>
      <c r="W4414" s="13"/>
    </row>
    <row r="4415" spans="11:23" x14ac:dyDescent="0.2">
      <c r="K4415" s="13" t="s">
        <v>323</v>
      </c>
      <c r="L4415" s="13" t="s">
        <v>404</v>
      </c>
      <c r="M4415" s="13" t="s">
        <v>405</v>
      </c>
      <c r="N4415" s="15">
        <v>0</v>
      </c>
      <c r="O4415" s="16">
        <v>0</v>
      </c>
      <c r="P4415" s="17">
        <v>280.50275000757841</v>
      </c>
      <c r="Q4415" s="17">
        <v>913.9850144515699</v>
      </c>
      <c r="R4415" s="13"/>
      <c r="S4415" s="13"/>
      <c r="T4415" s="13"/>
      <c r="U4415" s="13"/>
      <c r="V4415" s="13"/>
      <c r="W4415" s="13"/>
    </row>
    <row r="4416" spans="11:23" x14ac:dyDescent="0.2">
      <c r="K4416" s="13" t="s">
        <v>323</v>
      </c>
      <c r="L4416" s="13" t="s">
        <v>406</v>
      </c>
      <c r="M4416" s="13" t="s">
        <v>361</v>
      </c>
      <c r="N4416" s="15">
        <v>0</v>
      </c>
      <c r="O4416" s="16">
        <v>0</v>
      </c>
      <c r="P4416" s="17">
        <v>305.37594996749226</v>
      </c>
      <c r="Q4416" s="17">
        <v>573.93909904111945</v>
      </c>
      <c r="R4416" s="13"/>
      <c r="S4416" s="13"/>
      <c r="T4416" s="13"/>
      <c r="U4416" s="13"/>
      <c r="V4416" s="13"/>
      <c r="W4416" s="13"/>
    </row>
    <row r="4417" spans="11:23" x14ac:dyDescent="0.2">
      <c r="K4417" s="13" t="s">
        <v>323</v>
      </c>
      <c r="L4417" s="13" t="s">
        <v>381</v>
      </c>
      <c r="M4417" s="13" t="s">
        <v>382</v>
      </c>
      <c r="N4417" s="15">
        <v>38</v>
      </c>
      <c r="O4417" s="16">
        <v>0</v>
      </c>
      <c r="P4417" s="17">
        <v>0</v>
      </c>
      <c r="Q4417" s="17">
        <v>0</v>
      </c>
      <c r="R4417" s="13"/>
      <c r="S4417" s="13"/>
      <c r="T4417" s="13"/>
      <c r="U4417" s="13"/>
      <c r="V4417" s="13"/>
      <c r="W4417" s="13"/>
    </row>
    <row r="4418" spans="11:23" x14ac:dyDescent="0.2">
      <c r="K4418" s="13" t="s">
        <v>323</v>
      </c>
      <c r="L4418" s="13" t="s">
        <v>411</v>
      </c>
      <c r="M4418" s="13" t="s">
        <v>362</v>
      </c>
      <c r="N4418" s="15">
        <v>0</v>
      </c>
      <c r="O4418" s="16">
        <v>0</v>
      </c>
      <c r="P4418" s="17">
        <v>3.3326500000817703</v>
      </c>
      <c r="Q4418" s="17">
        <v>0</v>
      </c>
      <c r="R4418" s="13"/>
      <c r="S4418" s="13"/>
      <c r="T4418" s="13"/>
      <c r="U4418" s="13"/>
      <c r="V4418" s="13"/>
      <c r="W4418" s="13"/>
    </row>
    <row r="4419" spans="11:23" x14ac:dyDescent="0.2">
      <c r="K4419" s="13" t="s">
        <v>323</v>
      </c>
      <c r="L4419" s="13" t="s">
        <v>411</v>
      </c>
      <c r="M4419" s="13" t="s">
        <v>362</v>
      </c>
      <c r="N4419" s="15">
        <v>0</v>
      </c>
      <c r="O4419" s="16">
        <v>3.9293718910695752</v>
      </c>
      <c r="P4419" s="17">
        <v>0</v>
      </c>
      <c r="Q4419" s="17">
        <v>0</v>
      </c>
      <c r="R4419" s="13"/>
      <c r="S4419" s="13"/>
      <c r="T4419" s="13"/>
      <c r="U4419" s="13"/>
      <c r="V4419" s="13"/>
      <c r="W4419" s="13"/>
    </row>
    <row r="4420" spans="11:23" x14ac:dyDescent="0.2">
      <c r="K4420" s="13" t="s">
        <v>323</v>
      </c>
      <c r="L4420" s="13" t="s">
        <v>413</v>
      </c>
      <c r="M4420" s="13" t="s">
        <v>428</v>
      </c>
      <c r="N4420" s="15">
        <v>11</v>
      </c>
      <c r="O4420" s="16">
        <v>0</v>
      </c>
      <c r="P4420" s="17">
        <v>0</v>
      </c>
      <c r="Q4420" s="17">
        <v>0</v>
      </c>
      <c r="R4420" s="13"/>
      <c r="S4420" s="13"/>
      <c r="T4420" s="13"/>
      <c r="U4420" s="13"/>
      <c r="V4420" s="13"/>
      <c r="W4420" s="13"/>
    </row>
    <row r="4421" spans="11:23" x14ac:dyDescent="0.2">
      <c r="K4421" s="13" t="s">
        <v>323</v>
      </c>
      <c r="L4421" s="13" t="s">
        <v>605</v>
      </c>
      <c r="M4421" s="13" t="s">
        <v>429</v>
      </c>
      <c r="N4421" s="15">
        <v>0</v>
      </c>
      <c r="O4421" s="16">
        <v>20.940768232602128</v>
      </c>
      <c r="P4421" s="17">
        <v>0</v>
      </c>
      <c r="Q4421" s="17">
        <v>0</v>
      </c>
      <c r="R4421" s="13"/>
      <c r="S4421" s="13"/>
      <c r="T4421" s="13"/>
      <c r="U4421" s="13"/>
      <c r="V4421" s="13"/>
      <c r="W4421" s="13"/>
    </row>
    <row r="4422" spans="11:23" x14ac:dyDescent="0.2">
      <c r="K4422" s="13" t="s">
        <v>323</v>
      </c>
      <c r="L4422" s="13" t="s">
        <v>606</v>
      </c>
      <c r="M4422" s="13" t="s">
        <v>430</v>
      </c>
      <c r="N4422" s="15">
        <v>29</v>
      </c>
      <c r="O4422" s="16">
        <v>0</v>
      </c>
      <c r="P4422" s="17">
        <v>0</v>
      </c>
      <c r="Q4422" s="17">
        <v>0</v>
      </c>
      <c r="R4422" s="13"/>
      <c r="S4422" s="13"/>
      <c r="T4422" s="13"/>
      <c r="U4422" s="13"/>
      <c r="V4422" s="13"/>
      <c r="W4422" s="13"/>
    </row>
    <row r="4423" spans="11:23" x14ac:dyDescent="0.2">
      <c r="K4423" s="13" t="s">
        <v>323</v>
      </c>
      <c r="L4423" s="13" t="s">
        <v>623</v>
      </c>
      <c r="M4423" s="13" t="s">
        <v>530</v>
      </c>
      <c r="N4423" s="15">
        <v>0</v>
      </c>
      <c r="O4423" s="16">
        <v>338.23383333668073</v>
      </c>
      <c r="P4423" s="17">
        <v>0</v>
      </c>
      <c r="Q4423" s="17">
        <v>0</v>
      </c>
      <c r="R4423" s="13"/>
      <c r="S4423" s="13"/>
      <c r="T4423" s="13"/>
      <c r="U4423" s="13"/>
      <c r="V4423" s="13"/>
      <c r="W4423" s="13"/>
    </row>
    <row r="4424" spans="11:23" x14ac:dyDescent="0.2">
      <c r="K4424" s="13" t="s">
        <v>323</v>
      </c>
      <c r="L4424" s="13" t="s">
        <v>624</v>
      </c>
      <c r="M4424" s="13" t="s">
        <v>531</v>
      </c>
      <c r="N4424" s="15">
        <v>1</v>
      </c>
      <c r="O4424" s="16">
        <v>0</v>
      </c>
      <c r="P4424" s="17">
        <v>0</v>
      </c>
      <c r="Q4424" s="17">
        <v>0</v>
      </c>
      <c r="R4424" s="13"/>
      <c r="S4424" s="13"/>
      <c r="T4424" s="13"/>
      <c r="U4424" s="13"/>
      <c r="V4424" s="13"/>
      <c r="W4424" s="13"/>
    </row>
    <row r="4425" spans="11:23" x14ac:dyDescent="0.2">
      <c r="K4425" s="13" t="s">
        <v>323</v>
      </c>
      <c r="L4425" s="13" t="s">
        <v>607</v>
      </c>
      <c r="M4425" s="13" t="s">
        <v>431</v>
      </c>
      <c r="N4425" s="15">
        <v>21</v>
      </c>
      <c r="O4425" s="16">
        <v>0</v>
      </c>
      <c r="P4425" s="17">
        <v>0</v>
      </c>
      <c r="Q4425" s="17">
        <v>0</v>
      </c>
      <c r="R4425" s="13"/>
      <c r="S4425" s="13"/>
      <c r="T4425" s="13"/>
      <c r="U4425" s="13"/>
      <c r="V4425" s="13"/>
      <c r="W4425" s="13"/>
    </row>
    <row r="4426" spans="11:23" x14ac:dyDescent="0.2">
      <c r="K4426" s="13" t="s">
        <v>323</v>
      </c>
      <c r="L4426" s="13" t="s">
        <v>608</v>
      </c>
      <c r="M4426" s="13" t="s">
        <v>432</v>
      </c>
      <c r="N4426" s="15">
        <v>4</v>
      </c>
      <c r="O4426" s="16">
        <v>0</v>
      </c>
      <c r="P4426" s="17">
        <v>0</v>
      </c>
      <c r="Q4426" s="17">
        <v>0</v>
      </c>
      <c r="R4426" s="13"/>
      <c r="S4426" s="13"/>
      <c r="T4426" s="13"/>
      <c r="U4426" s="13"/>
      <c r="V4426" s="13"/>
      <c r="W4426" s="13"/>
    </row>
    <row r="4427" spans="11:23" x14ac:dyDescent="0.2">
      <c r="K4427" s="13" t="s">
        <v>323</v>
      </c>
      <c r="L4427" s="13" t="s">
        <v>615</v>
      </c>
      <c r="M4427" s="13" t="s">
        <v>449</v>
      </c>
      <c r="N4427" s="15">
        <v>1</v>
      </c>
      <c r="O4427" s="16">
        <v>0</v>
      </c>
      <c r="P4427" s="17">
        <v>0</v>
      </c>
      <c r="Q4427" s="17">
        <v>0</v>
      </c>
      <c r="R4427" s="13"/>
      <c r="S4427" s="13"/>
      <c r="T4427" s="13"/>
      <c r="U4427" s="13"/>
      <c r="V4427" s="13"/>
      <c r="W4427" s="13"/>
    </row>
    <row r="4428" spans="11:23" x14ac:dyDescent="0.2">
      <c r="K4428" s="13" t="s">
        <v>323</v>
      </c>
      <c r="L4428" s="13" t="s">
        <v>415</v>
      </c>
      <c r="M4428" s="13" t="s">
        <v>412</v>
      </c>
      <c r="N4428" s="15">
        <v>0</v>
      </c>
      <c r="O4428" s="16">
        <v>0</v>
      </c>
      <c r="P4428" s="17">
        <v>42.097749997539445</v>
      </c>
      <c r="Q4428" s="17">
        <v>0</v>
      </c>
      <c r="R4428" s="13"/>
      <c r="S4428" s="13"/>
      <c r="T4428" s="13"/>
      <c r="U4428" s="13"/>
      <c r="V4428" s="13"/>
      <c r="W4428" s="13"/>
    </row>
    <row r="4429" spans="11:23" x14ac:dyDescent="0.2">
      <c r="K4429" s="13" t="s">
        <v>323</v>
      </c>
      <c r="L4429" s="13" t="s">
        <v>523</v>
      </c>
      <c r="M4429" s="13" t="s">
        <v>476</v>
      </c>
      <c r="N4429" s="15">
        <v>0</v>
      </c>
      <c r="O4429" s="16">
        <v>0</v>
      </c>
      <c r="P4429" s="17">
        <v>2.6510500009140694</v>
      </c>
      <c r="Q4429" s="17">
        <v>0</v>
      </c>
      <c r="R4429" s="13"/>
      <c r="S4429" s="13"/>
      <c r="T4429" s="13"/>
      <c r="U4429" s="13"/>
      <c r="V4429" s="13"/>
      <c r="W4429" s="13"/>
    </row>
    <row r="4430" spans="11:23" x14ac:dyDescent="0.2">
      <c r="K4430" s="13" t="s">
        <v>323</v>
      </c>
      <c r="L4430" s="13" t="s">
        <v>609</v>
      </c>
      <c r="M4430" s="13" t="s">
        <v>416</v>
      </c>
      <c r="N4430" s="15">
        <v>0</v>
      </c>
      <c r="O4430" s="16">
        <v>143.76435194989551</v>
      </c>
      <c r="P4430" s="17">
        <v>0</v>
      </c>
      <c r="Q4430" s="17">
        <v>0</v>
      </c>
      <c r="R4430" s="13"/>
      <c r="S4430" s="13"/>
      <c r="T4430" s="13"/>
      <c r="U4430" s="13"/>
      <c r="V4430" s="13"/>
      <c r="W4430" s="13"/>
    </row>
    <row r="4431" spans="11:23" x14ac:dyDescent="0.2">
      <c r="K4431" s="13" t="s">
        <v>323</v>
      </c>
      <c r="L4431" s="13" t="s">
        <v>421</v>
      </c>
      <c r="M4431" s="13" t="s">
        <v>443</v>
      </c>
      <c r="N4431" s="15">
        <v>9</v>
      </c>
      <c r="O4431" s="16">
        <v>0</v>
      </c>
      <c r="P4431" s="17">
        <v>0</v>
      </c>
      <c r="Q4431" s="17">
        <v>0</v>
      </c>
      <c r="R4431" s="13"/>
      <c r="S4431" s="13"/>
      <c r="T4431" s="13"/>
      <c r="U4431" s="13"/>
      <c r="V4431" s="13"/>
      <c r="W4431" s="13"/>
    </row>
    <row r="4432" spans="11:23" x14ac:dyDescent="0.2">
      <c r="K4432" s="13" t="s">
        <v>323</v>
      </c>
      <c r="L4432" s="13" t="s">
        <v>383</v>
      </c>
      <c r="M4432" s="13" t="s">
        <v>420</v>
      </c>
      <c r="N4432" s="15">
        <v>6</v>
      </c>
      <c r="O4432" s="16">
        <v>0</v>
      </c>
      <c r="P4432" s="17">
        <v>0</v>
      </c>
      <c r="Q4432" s="17">
        <v>0</v>
      </c>
      <c r="R4432" s="13"/>
      <c r="S4432" s="13"/>
      <c r="T4432" s="13"/>
      <c r="U4432" s="13"/>
      <c r="V4432" s="13"/>
      <c r="W4432" s="13"/>
    </row>
    <row r="4433" spans="11:23" x14ac:dyDescent="0.2">
      <c r="K4433" s="13" t="s">
        <v>323</v>
      </c>
      <c r="L4433" s="13" t="s">
        <v>467</v>
      </c>
      <c r="M4433" s="13" t="s">
        <v>422</v>
      </c>
      <c r="N4433" s="15">
        <v>0</v>
      </c>
      <c r="O4433" s="16">
        <v>30.09276989432821</v>
      </c>
      <c r="P4433" s="17">
        <v>0</v>
      </c>
      <c r="Q4433" s="17">
        <v>0</v>
      </c>
      <c r="R4433" s="13"/>
      <c r="S4433" s="13"/>
      <c r="T4433" s="13"/>
      <c r="U4433" s="13"/>
      <c r="V4433" s="13"/>
      <c r="W4433" s="13"/>
    </row>
    <row r="4434" spans="11:23" x14ac:dyDescent="0.2">
      <c r="K4434" s="13" t="s">
        <v>323</v>
      </c>
      <c r="L4434" s="13" t="s">
        <v>528</v>
      </c>
      <c r="M4434" s="13" t="s">
        <v>384</v>
      </c>
      <c r="N4434" s="15">
        <v>0</v>
      </c>
      <c r="O4434" s="16">
        <v>72.648432686028855</v>
      </c>
      <c r="P4434" s="17">
        <v>0</v>
      </c>
      <c r="Q4434" s="17">
        <v>0</v>
      </c>
      <c r="R4434" s="13"/>
      <c r="S4434" s="13"/>
      <c r="T4434" s="13"/>
      <c r="U4434" s="13"/>
      <c r="V4434" s="13"/>
      <c r="W4434" s="13"/>
    </row>
    <row r="4435" spans="11:23" x14ac:dyDescent="0.2">
      <c r="K4435" s="13" t="s">
        <v>323</v>
      </c>
      <c r="L4435" s="13" t="s">
        <v>613</v>
      </c>
      <c r="M4435" s="13" t="s">
        <v>444</v>
      </c>
      <c r="N4435" s="15">
        <v>0</v>
      </c>
      <c r="O4435" s="16">
        <v>78.131347670487926</v>
      </c>
      <c r="P4435" s="17">
        <v>0</v>
      </c>
      <c r="Q4435" s="17">
        <v>0</v>
      </c>
      <c r="R4435" s="13"/>
      <c r="S4435" s="13"/>
      <c r="T4435" s="13"/>
      <c r="U4435" s="13"/>
      <c r="V4435" s="13"/>
      <c r="W4435" s="13"/>
    </row>
    <row r="4436" spans="11:23" x14ac:dyDescent="0.2">
      <c r="K4436" s="13" t="s">
        <v>323</v>
      </c>
      <c r="L4436" s="13" t="s">
        <v>469</v>
      </c>
      <c r="M4436" s="13" t="s">
        <v>426</v>
      </c>
      <c r="N4436" s="15">
        <v>15</v>
      </c>
      <c r="O4436" s="16">
        <v>0</v>
      </c>
      <c r="P4436" s="17">
        <v>0</v>
      </c>
      <c r="Q4436" s="17">
        <v>0</v>
      </c>
      <c r="R4436" s="13"/>
      <c r="S4436" s="13"/>
      <c r="T4436" s="13"/>
      <c r="U4436" s="13"/>
      <c r="V4436" s="13"/>
      <c r="W4436" s="13"/>
    </row>
    <row r="4437" spans="11:23" x14ac:dyDescent="0.2">
      <c r="K4437" s="13" t="s">
        <v>601</v>
      </c>
      <c r="L4437" s="13" t="s">
        <v>387</v>
      </c>
      <c r="M4437" s="13" t="s">
        <v>386</v>
      </c>
      <c r="N4437" s="15">
        <v>0</v>
      </c>
      <c r="O4437" s="16">
        <v>0</v>
      </c>
      <c r="P4437" s="17">
        <v>396.08835000540955</v>
      </c>
      <c r="Q4437" s="17">
        <v>0</v>
      </c>
      <c r="R4437" s="13"/>
      <c r="S4437" s="13"/>
      <c r="T4437" s="13"/>
      <c r="U4437" s="13"/>
      <c r="V4437" s="13"/>
      <c r="W4437" s="13"/>
    </row>
    <row r="4438" spans="11:23" x14ac:dyDescent="0.2">
      <c r="K4438" s="13" t="s">
        <v>601</v>
      </c>
      <c r="L4438" s="13" t="s">
        <v>389</v>
      </c>
      <c r="M4438" s="13" t="s">
        <v>388</v>
      </c>
      <c r="N4438" s="15">
        <v>0</v>
      </c>
      <c r="O4438" s="16">
        <v>0</v>
      </c>
      <c r="P4438" s="17">
        <v>931.95704999564975</v>
      </c>
      <c r="Q4438" s="17">
        <v>0</v>
      </c>
      <c r="R4438" s="13"/>
      <c r="S4438" s="13"/>
      <c r="T4438" s="13"/>
      <c r="U4438" s="13"/>
      <c r="V4438" s="13"/>
      <c r="W4438" s="13"/>
    </row>
    <row r="4439" spans="11:23" x14ac:dyDescent="0.2">
      <c r="K4439" s="13" t="s">
        <v>601</v>
      </c>
      <c r="L4439" s="13" t="s">
        <v>440</v>
      </c>
      <c r="M4439" s="13" t="s">
        <v>441</v>
      </c>
      <c r="N4439" s="15">
        <v>4</v>
      </c>
      <c r="O4439" s="16">
        <v>0</v>
      </c>
      <c r="P4439" s="17">
        <v>0</v>
      </c>
      <c r="Q4439" s="17">
        <v>0</v>
      </c>
      <c r="R4439" s="13"/>
      <c r="S4439" s="13"/>
      <c r="T4439" s="13"/>
      <c r="U4439" s="13"/>
      <c r="V4439" s="13"/>
      <c r="W4439" s="13"/>
    </row>
    <row r="4440" spans="11:23" x14ac:dyDescent="0.2">
      <c r="K4440" s="13" t="s">
        <v>601</v>
      </c>
      <c r="L4440" s="13" t="s">
        <v>394</v>
      </c>
      <c r="M4440" s="13" t="s">
        <v>359</v>
      </c>
      <c r="N4440" s="15">
        <v>0</v>
      </c>
      <c r="O4440" s="16">
        <v>0</v>
      </c>
      <c r="P4440" s="17">
        <v>10.000549999729195</v>
      </c>
      <c r="Q4440" s="17">
        <v>0</v>
      </c>
      <c r="R4440" s="13"/>
      <c r="S4440" s="13"/>
      <c r="T4440" s="13"/>
      <c r="U4440" s="13"/>
      <c r="V4440" s="13"/>
      <c r="W4440" s="13"/>
    </row>
    <row r="4441" spans="11:23" x14ac:dyDescent="0.2">
      <c r="K4441" s="13" t="s">
        <v>601</v>
      </c>
      <c r="L4441" s="13" t="s">
        <v>395</v>
      </c>
      <c r="M4441" s="13" t="s">
        <v>602</v>
      </c>
      <c r="N4441" s="15">
        <v>1</v>
      </c>
      <c r="O4441" s="16">
        <v>0</v>
      </c>
      <c r="P4441" s="17">
        <v>0</v>
      </c>
      <c r="Q4441" s="17">
        <v>0</v>
      </c>
      <c r="R4441" s="13"/>
      <c r="S4441" s="13"/>
      <c r="T4441" s="13"/>
      <c r="U4441" s="13"/>
      <c r="V4441" s="13"/>
      <c r="W4441" s="13"/>
    </row>
    <row r="4442" spans="11:23" x14ac:dyDescent="0.2">
      <c r="K4442" s="13" t="s">
        <v>601</v>
      </c>
      <c r="L4442" s="13" t="s">
        <v>397</v>
      </c>
      <c r="M4442" s="13" t="s">
        <v>398</v>
      </c>
      <c r="N4442" s="15">
        <v>0</v>
      </c>
      <c r="O4442" s="16">
        <v>0</v>
      </c>
      <c r="P4442" s="17">
        <v>33.733099981007925</v>
      </c>
      <c r="Q4442" s="17">
        <v>0</v>
      </c>
      <c r="R4442" s="13"/>
      <c r="S4442" s="13"/>
      <c r="T4442" s="13"/>
      <c r="U4442" s="13"/>
      <c r="V4442" s="13"/>
      <c r="W4442" s="13"/>
    </row>
    <row r="4443" spans="11:23" x14ac:dyDescent="0.2">
      <c r="K4443" s="13" t="s">
        <v>601</v>
      </c>
      <c r="L4443" s="13" t="s">
        <v>399</v>
      </c>
      <c r="M4443" s="13" t="s">
        <v>400</v>
      </c>
      <c r="N4443" s="15">
        <v>0</v>
      </c>
      <c r="O4443" s="16">
        <v>0</v>
      </c>
      <c r="P4443" s="17">
        <v>10.159800004953681</v>
      </c>
      <c r="Q4443" s="17">
        <v>0</v>
      </c>
      <c r="R4443" s="13"/>
      <c r="S4443" s="13"/>
      <c r="T4443" s="13"/>
      <c r="U4443" s="13"/>
      <c r="V4443" s="13"/>
      <c r="W4443" s="13"/>
    </row>
    <row r="4444" spans="11:23" x14ac:dyDescent="0.2">
      <c r="K4444" s="13" t="s">
        <v>601</v>
      </c>
      <c r="L4444" s="13" t="s">
        <v>402</v>
      </c>
      <c r="M4444" s="13" t="s">
        <v>403</v>
      </c>
      <c r="N4444" s="15">
        <v>0</v>
      </c>
      <c r="O4444" s="16">
        <v>0</v>
      </c>
      <c r="P4444" s="17">
        <v>330.91999999071243</v>
      </c>
      <c r="Q4444" s="17">
        <v>0</v>
      </c>
      <c r="R4444" s="13"/>
      <c r="S4444" s="13"/>
      <c r="T4444" s="13"/>
      <c r="U4444" s="13"/>
      <c r="V4444" s="13"/>
      <c r="W4444" s="13"/>
    </row>
    <row r="4445" spans="11:23" x14ac:dyDescent="0.2">
      <c r="K4445" s="13" t="s">
        <v>601</v>
      </c>
      <c r="L4445" s="13" t="s">
        <v>404</v>
      </c>
      <c r="M4445" s="13" t="s">
        <v>405</v>
      </c>
      <c r="N4445" s="15">
        <v>0</v>
      </c>
      <c r="O4445" s="16">
        <v>0</v>
      </c>
      <c r="P4445" s="17">
        <v>209.66609999385477</v>
      </c>
      <c r="Q4445" s="17">
        <v>408.50805903802035</v>
      </c>
      <c r="R4445" s="13"/>
      <c r="S4445" s="13"/>
      <c r="T4445" s="13"/>
      <c r="U4445" s="13"/>
      <c r="V4445" s="13"/>
      <c r="W4445" s="13"/>
    </row>
    <row r="4446" spans="11:23" x14ac:dyDescent="0.2">
      <c r="K4446" s="13" t="s">
        <v>601</v>
      </c>
      <c r="L4446" s="13" t="s">
        <v>505</v>
      </c>
      <c r="M4446" s="13" t="s">
        <v>506</v>
      </c>
      <c r="N4446" s="15">
        <v>1</v>
      </c>
      <c r="O4446" s="16">
        <v>0</v>
      </c>
      <c r="P4446" s="17">
        <v>0</v>
      </c>
      <c r="Q4446" s="17">
        <v>0</v>
      </c>
      <c r="R4446" s="13"/>
      <c r="S4446" s="13"/>
      <c r="T4446" s="13"/>
      <c r="U4446" s="13"/>
      <c r="V4446" s="13"/>
      <c r="W4446" s="13"/>
    </row>
    <row r="4447" spans="11:23" x14ac:dyDescent="0.2">
      <c r="K4447" s="13" t="s">
        <v>601</v>
      </c>
      <c r="L4447" s="13" t="s">
        <v>411</v>
      </c>
      <c r="M4447" s="13" t="s">
        <v>362</v>
      </c>
      <c r="N4447" s="15">
        <v>0</v>
      </c>
      <c r="O4447" s="16">
        <v>28.918853329765355</v>
      </c>
      <c r="P4447" s="17">
        <v>0</v>
      </c>
      <c r="Q4447" s="17">
        <v>0</v>
      </c>
      <c r="R4447" s="13"/>
      <c r="S4447" s="13"/>
      <c r="T4447" s="13"/>
      <c r="U4447" s="13"/>
      <c r="V4447" s="13"/>
      <c r="W4447" s="13"/>
    </row>
    <row r="4448" spans="11:23" x14ac:dyDescent="0.2">
      <c r="K4448" s="13" t="s">
        <v>601</v>
      </c>
      <c r="L4448" s="13" t="s">
        <v>413</v>
      </c>
      <c r="M4448" s="13" t="s">
        <v>428</v>
      </c>
      <c r="N4448" s="15">
        <v>3</v>
      </c>
      <c r="O4448" s="16">
        <v>0</v>
      </c>
      <c r="P4448" s="17">
        <v>0</v>
      </c>
      <c r="Q4448" s="17">
        <v>0</v>
      </c>
      <c r="R4448" s="13"/>
      <c r="S4448" s="13"/>
      <c r="T4448" s="13"/>
      <c r="U4448" s="13"/>
      <c r="V4448" s="13"/>
      <c r="W4448" s="13"/>
    </row>
    <row r="4449" spans="11:23" x14ac:dyDescent="0.2">
      <c r="K4449" s="13" t="s">
        <v>601</v>
      </c>
      <c r="L4449" s="13" t="s">
        <v>605</v>
      </c>
      <c r="M4449" s="13" t="s">
        <v>429</v>
      </c>
      <c r="N4449" s="15">
        <v>0</v>
      </c>
      <c r="O4449" s="16">
        <v>4.1830743758704205</v>
      </c>
      <c r="P4449" s="17">
        <v>0</v>
      </c>
      <c r="Q4449" s="17">
        <v>0</v>
      </c>
      <c r="R4449" s="13"/>
      <c r="S4449" s="13"/>
      <c r="T4449" s="13"/>
      <c r="U4449" s="13"/>
      <c r="V4449" s="13"/>
      <c r="W4449" s="13"/>
    </row>
    <row r="4450" spans="11:23" x14ac:dyDescent="0.2">
      <c r="K4450" s="13" t="s">
        <v>601</v>
      </c>
      <c r="L4450" s="13" t="s">
        <v>606</v>
      </c>
      <c r="M4450" s="13" t="s">
        <v>430</v>
      </c>
      <c r="N4450" s="15">
        <v>10</v>
      </c>
      <c r="O4450" s="16">
        <v>0</v>
      </c>
      <c r="P4450" s="17">
        <v>0</v>
      </c>
      <c r="Q4450" s="17">
        <v>0</v>
      </c>
      <c r="R4450" s="13"/>
      <c r="S4450" s="13"/>
      <c r="T4450" s="13"/>
      <c r="U4450" s="13"/>
      <c r="V4450" s="13"/>
      <c r="W4450" s="13"/>
    </row>
    <row r="4451" spans="11:23" x14ac:dyDescent="0.2">
      <c r="K4451" s="13" t="s">
        <v>601</v>
      </c>
      <c r="L4451" s="13" t="s">
        <v>623</v>
      </c>
      <c r="M4451" s="13" t="s">
        <v>530</v>
      </c>
      <c r="N4451" s="15">
        <v>0</v>
      </c>
      <c r="O4451" s="16">
        <v>168.50069251157922</v>
      </c>
      <c r="P4451" s="17">
        <v>0</v>
      </c>
      <c r="Q4451" s="17">
        <v>0</v>
      </c>
      <c r="R4451" s="13"/>
      <c r="S4451" s="13"/>
      <c r="T4451" s="13"/>
      <c r="U4451" s="13"/>
      <c r="V4451" s="13"/>
      <c r="W4451" s="13"/>
    </row>
    <row r="4452" spans="11:23" x14ac:dyDescent="0.2">
      <c r="K4452" s="13" t="s">
        <v>601</v>
      </c>
      <c r="L4452" s="13" t="s">
        <v>607</v>
      </c>
      <c r="M4452" s="13" t="s">
        <v>431</v>
      </c>
      <c r="N4452" s="15">
        <v>2</v>
      </c>
      <c r="O4452" s="16">
        <v>0</v>
      </c>
      <c r="P4452" s="17">
        <v>0</v>
      </c>
      <c r="Q4452" s="17">
        <v>0</v>
      </c>
      <c r="R4452" s="13"/>
      <c r="S4452" s="13"/>
      <c r="T4452" s="13"/>
      <c r="U4452" s="13"/>
      <c r="V4452" s="13"/>
      <c r="W4452" s="13"/>
    </row>
    <row r="4453" spans="11:23" x14ac:dyDescent="0.2">
      <c r="K4453" s="13" t="s">
        <v>601</v>
      </c>
      <c r="L4453" s="13" t="s">
        <v>608</v>
      </c>
      <c r="M4453" s="13" t="s">
        <v>432</v>
      </c>
      <c r="N4453" s="15">
        <v>4</v>
      </c>
      <c r="O4453" s="16">
        <v>0</v>
      </c>
      <c r="P4453" s="17">
        <v>0</v>
      </c>
      <c r="Q4453" s="17">
        <v>0</v>
      </c>
      <c r="R4453" s="13"/>
      <c r="S4453" s="13"/>
      <c r="T4453" s="13"/>
      <c r="U4453" s="13"/>
      <c r="V4453" s="13"/>
      <c r="W4453" s="13"/>
    </row>
    <row r="4454" spans="11:23" x14ac:dyDescent="0.2">
      <c r="K4454" s="13" t="s">
        <v>601</v>
      </c>
      <c r="L4454" s="13" t="s">
        <v>415</v>
      </c>
      <c r="M4454" s="13" t="s">
        <v>412</v>
      </c>
      <c r="N4454" s="15">
        <v>0</v>
      </c>
      <c r="O4454" s="16">
        <v>0</v>
      </c>
      <c r="P4454" s="17">
        <v>10.023450000359746</v>
      </c>
      <c r="Q4454" s="17">
        <v>0</v>
      </c>
      <c r="R4454" s="13"/>
      <c r="S4454" s="13"/>
      <c r="T4454" s="13"/>
      <c r="U4454" s="13"/>
      <c r="V4454" s="13"/>
      <c r="W4454" s="13"/>
    </row>
    <row r="4455" spans="11:23" x14ac:dyDescent="0.2">
      <c r="K4455" s="13" t="s">
        <v>601</v>
      </c>
      <c r="L4455" s="13" t="s">
        <v>417</v>
      </c>
      <c r="M4455" s="13" t="s">
        <v>414</v>
      </c>
      <c r="N4455" s="15">
        <v>0</v>
      </c>
      <c r="O4455" s="16">
        <v>0</v>
      </c>
      <c r="P4455" s="17">
        <v>12.128200000653228</v>
      </c>
      <c r="Q4455" s="17">
        <v>0</v>
      </c>
      <c r="R4455" s="13"/>
      <c r="S4455" s="13"/>
      <c r="T4455" s="13"/>
      <c r="U4455" s="13"/>
      <c r="V4455" s="13"/>
      <c r="W4455" s="13"/>
    </row>
    <row r="4456" spans="11:23" x14ac:dyDescent="0.2">
      <c r="K4456" s="13" t="s">
        <v>601</v>
      </c>
      <c r="L4456" s="13" t="s">
        <v>609</v>
      </c>
      <c r="M4456" s="13" t="s">
        <v>416</v>
      </c>
      <c r="N4456" s="15">
        <v>0</v>
      </c>
      <c r="O4456" s="16">
        <v>73.596678021146616</v>
      </c>
      <c r="P4456" s="17">
        <v>0</v>
      </c>
      <c r="Q4456" s="17">
        <v>0</v>
      </c>
      <c r="R4456" s="13"/>
      <c r="S4456" s="13"/>
      <c r="T4456" s="13"/>
      <c r="U4456" s="13"/>
      <c r="V4456" s="13"/>
      <c r="W4456" s="13"/>
    </row>
    <row r="4457" spans="11:23" x14ac:dyDescent="0.2">
      <c r="K4457" s="13" t="s">
        <v>601</v>
      </c>
      <c r="L4457" s="13" t="s">
        <v>383</v>
      </c>
      <c r="M4457" s="13" t="s">
        <v>420</v>
      </c>
      <c r="N4457" s="15">
        <v>2</v>
      </c>
      <c r="O4457" s="16">
        <v>0</v>
      </c>
      <c r="P4457" s="17">
        <v>0</v>
      </c>
      <c r="Q4457" s="17">
        <v>0</v>
      </c>
      <c r="R4457" s="13"/>
      <c r="S4457" s="13"/>
      <c r="T4457" s="13"/>
      <c r="U4457" s="13"/>
      <c r="V4457" s="13"/>
      <c r="W4457" s="13"/>
    </row>
    <row r="4458" spans="11:23" x14ac:dyDescent="0.2">
      <c r="K4458" s="13" t="s">
        <v>601</v>
      </c>
      <c r="L4458" s="13" t="s">
        <v>433</v>
      </c>
      <c r="M4458" s="13" t="s">
        <v>434</v>
      </c>
      <c r="N4458" s="15">
        <v>0</v>
      </c>
      <c r="O4458" s="16">
        <v>0</v>
      </c>
      <c r="P4458" s="17">
        <v>0.2498500000526897</v>
      </c>
      <c r="Q4458" s="17">
        <v>0</v>
      </c>
      <c r="R4458" s="13"/>
      <c r="S4458" s="13"/>
      <c r="T4458" s="13"/>
      <c r="U4458" s="13"/>
      <c r="V4458" s="13"/>
      <c r="W4458" s="13"/>
    </row>
    <row r="4459" spans="11:23" x14ac:dyDescent="0.2">
      <c r="K4459" s="13" t="s">
        <v>326</v>
      </c>
      <c r="L4459" s="13" t="s">
        <v>435</v>
      </c>
      <c r="M4459" s="13" t="s">
        <v>364</v>
      </c>
      <c r="N4459" s="15">
        <v>0</v>
      </c>
      <c r="O4459" s="16">
        <v>0</v>
      </c>
      <c r="P4459" s="17">
        <v>10.165300001183921</v>
      </c>
      <c r="Q4459" s="17">
        <v>0</v>
      </c>
      <c r="R4459" s="13"/>
      <c r="S4459" s="13"/>
      <c r="T4459" s="13"/>
      <c r="U4459" s="13"/>
      <c r="V4459" s="13"/>
      <c r="W4459" s="13"/>
    </row>
    <row r="4460" spans="11:23" x14ac:dyDescent="0.2">
      <c r="K4460" s="13" t="s">
        <v>326</v>
      </c>
      <c r="L4460" s="13" t="s">
        <v>544</v>
      </c>
      <c r="M4460" s="13" t="s">
        <v>545</v>
      </c>
      <c r="N4460" s="15">
        <v>0</v>
      </c>
      <c r="O4460" s="16">
        <v>0</v>
      </c>
      <c r="P4460" s="17">
        <v>8.755199997598142</v>
      </c>
      <c r="Q4460" s="17">
        <v>0</v>
      </c>
      <c r="R4460" s="13"/>
      <c r="S4460" s="13"/>
      <c r="T4460" s="13"/>
      <c r="U4460" s="13"/>
      <c r="V4460" s="13"/>
      <c r="W4460" s="13"/>
    </row>
    <row r="4461" spans="11:23" x14ac:dyDescent="0.2">
      <c r="K4461" s="13" t="s">
        <v>326</v>
      </c>
      <c r="L4461" s="13" t="s">
        <v>387</v>
      </c>
      <c r="M4461" s="13" t="s">
        <v>386</v>
      </c>
      <c r="N4461" s="15">
        <v>0</v>
      </c>
      <c r="O4461" s="16">
        <v>0</v>
      </c>
      <c r="P4461" s="17">
        <v>2051.238899927549</v>
      </c>
      <c r="Q4461" s="17">
        <v>0</v>
      </c>
      <c r="R4461" s="13"/>
      <c r="S4461" s="13"/>
      <c r="T4461" s="13"/>
      <c r="U4461" s="13"/>
      <c r="V4461" s="13"/>
      <c r="W4461" s="13"/>
    </row>
    <row r="4462" spans="11:23" x14ac:dyDescent="0.2">
      <c r="K4462" s="13" t="s">
        <v>326</v>
      </c>
      <c r="L4462" s="13" t="s">
        <v>389</v>
      </c>
      <c r="M4462" s="13" t="s">
        <v>388</v>
      </c>
      <c r="N4462" s="15">
        <v>0</v>
      </c>
      <c r="O4462" s="16">
        <v>0</v>
      </c>
      <c r="P4462" s="17">
        <v>1559.0994000051155</v>
      </c>
      <c r="Q4462" s="17">
        <v>0</v>
      </c>
      <c r="R4462" s="13"/>
      <c r="S4462" s="13"/>
      <c r="T4462" s="13"/>
      <c r="U4462" s="13"/>
      <c r="V4462" s="13"/>
      <c r="W4462" s="13"/>
    </row>
    <row r="4463" spans="11:23" x14ac:dyDescent="0.2">
      <c r="K4463" s="13" t="s">
        <v>326</v>
      </c>
      <c r="L4463" s="13" t="s">
        <v>542</v>
      </c>
      <c r="M4463" s="13" t="s">
        <v>390</v>
      </c>
      <c r="N4463" s="15">
        <v>0</v>
      </c>
      <c r="O4463" s="16">
        <v>0</v>
      </c>
      <c r="P4463" s="17">
        <v>0.54004999989415514</v>
      </c>
      <c r="Q4463" s="17">
        <v>0</v>
      </c>
      <c r="R4463" s="13"/>
      <c r="S4463" s="13"/>
      <c r="T4463" s="13"/>
      <c r="U4463" s="13"/>
      <c r="V4463" s="13"/>
      <c r="W4463" s="13"/>
    </row>
    <row r="4464" spans="11:23" x14ac:dyDescent="0.2">
      <c r="K4464" s="13" t="s">
        <v>326</v>
      </c>
      <c r="L4464" s="13" t="s">
        <v>391</v>
      </c>
      <c r="M4464" s="13" t="s">
        <v>358</v>
      </c>
      <c r="N4464" s="15">
        <v>0</v>
      </c>
      <c r="O4464" s="16">
        <v>0</v>
      </c>
      <c r="P4464" s="17">
        <v>47.302349995067196</v>
      </c>
      <c r="Q4464" s="17">
        <v>0</v>
      </c>
      <c r="R4464" s="13"/>
      <c r="S4464" s="13"/>
      <c r="T4464" s="13"/>
      <c r="U4464" s="13"/>
      <c r="V4464" s="13"/>
      <c r="W4464" s="13"/>
    </row>
    <row r="4465" spans="11:23" x14ac:dyDescent="0.2">
      <c r="K4465" s="13" t="s">
        <v>326</v>
      </c>
      <c r="L4465" s="13" t="s">
        <v>392</v>
      </c>
      <c r="M4465" s="13" t="s">
        <v>437</v>
      </c>
      <c r="N4465" s="15">
        <v>0</v>
      </c>
      <c r="O4465" s="16">
        <v>0</v>
      </c>
      <c r="P4465" s="17">
        <v>2.683850000181212</v>
      </c>
      <c r="Q4465" s="17">
        <v>0</v>
      </c>
      <c r="R4465" s="13"/>
      <c r="S4465" s="13"/>
      <c r="T4465" s="13"/>
      <c r="U4465" s="13"/>
      <c r="V4465" s="13"/>
      <c r="W4465" s="13"/>
    </row>
    <row r="4466" spans="11:23" x14ac:dyDescent="0.2">
      <c r="K4466" s="13" t="s">
        <v>326</v>
      </c>
      <c r="L4466" s="13" t="s">
        <v>486</v>
      </c>
      <c r="M4466" s="13" t="s">
        <v>439</v>
      </c>
      <c r="N4466" s="15">
        <v>0</v>
      </c>
      <c r="O4466" s="16">
        <v>0</v>
      </c>
      <c r="P4466" s="17">
        <v>17.140399995094423</v>
      </c>
      <c r="Q4466" s="17">
        <v>0</v>
      </c>
      <c r="R4466" s="13"/>
      <c r="S4466" s="13"/>
      <c r="T4466" s="13"/>
      <c r="U4466" s="13"/>
      <c r="V4466" s="13"/>
      <c r="W4466" s="13"/>
    </row>
    <row r="4467" spans="11:23" x14ac:dyDescent="0.2">
      <c r="K4467" s="13" t="s">
        <v>326</v>
      </c>
      <c r="L4467" s="13" t="s">
        <v>519</v>
      </c>
      <c r="M4467" s="13" t="s">
        <v>478</v>
      </c>
      <c r="N4467" s="15">
        <v>0</v>
      </c>
      <c r="O4467" s="16">
        <v>0</v>
      </c>
      <c r="P4467" s="17">
        <v>49.152999994157469</v>
      </c>
      <c r="Q4467" s="17">
        <v>0</v>
      </c>
      <c r="R4467" s="13"/>
      <c r="S4467" s="13"/>
      <c r="T4467" s="13"/>
      <c r="U4467" s="13"/>
      <c r="V4467" s="13"/>
      <c r="W4467" s="13"/>
    </row>
    <row r="4468" spans="11:23" x14ac:dyDescent="0.2">
      <c r="K4468" s="13" t="s">
        <v>326</v>
      </c>
      <c r="L4468" s="13" t="s">
        <v>440</v>
      </c>
      <c r="M4468" s="13" t="s">
        <v>441</v>
      </c>
      <c r="N4468" s="15">
        <v>5</v>
      </c>
      <c r="O4468" s="16">
        <v>0</v>
      </c>
      <c r="P4468" s="17">
        <v>0</v>
      </c>
      <c r="Q4468" s="17">
        <v>0</v>
      </c>
      <c r="R4468" s="13"/>
      <c r="S4468" s="13"/>
      <c r="T4468" s="13"/>
      <c r="U4468" s="13"/>
      <c r="V4468" s="13"/>
      <c r="W4468" s="13"/>
    </row>
    <row r="4469" spans="11:23" x14ac:dyDescent="0.2">
      <c r="K4469" s="13" t="s">
        <v>326</v>
      </c>
      <c r="L4469" s="13" t="s">
        <v>394</v>
      </c>
      <c r="M4469" s="13" t="s">
        <v>359</v>
      </c>
      <c r="N4469" s="15">
        <v>0</v>
      </c>
      <c r="O4469" s="16">
        <v>0</v>
      </c>
      <c r="P4469" s="17">
        <v>46.582649993258087</v>
      </c>
      <c r="Q4469" s="17">
        <v>0</v>
      </c>
      <c r="R4469" s="13"/>
      <c r="S4469" s="13"/>
      <c r="T4469" s="13"/>
      <c r="U4469" s="13"/>
      <c r="V4469" s="13"/>
      <c r="W4469" s="13"/>
    </row>
    <row r="4470" spans="11:23" x14ac:dyDescent="0.2">
      <c r="K4470" s="13" t="s">
        <v>326</v>
      </c>
      <c r="L4470" s="13" t="s">
        <v>395</v>
      </c>
      <c r="M4470" s="13" t="s">
        <v>602</v>
      </c>
      <c r="N4470" s="15">
        <v>18</v>
      </c>
      <c r="O4470" s="16">
        <v>0</v>
      </c>
      <c r="P4470" s="17">
        <v>0</v>
      </c>
      <c r="Q4470" s="17">
        <v>0</v>
      </c>
      <c r="R4470" s="13"/>
      <c r="S4470" s="13"/>
      <c r="T4470" s="13"/>
      <c r="U4470" s="13"/>
      <c r="V4470" s="13"/>
      <c r="W4470" s="13"/>
    </row>
    <row r="4471" spans="11:23" x14ac:dyDescent="0.2">
      <c r="K4471" s="13" t="s">
        <v>326</v>
      </c>
      <c r="L4471" s="13" t="s">
        <v>397</v>
      </c>
      <c r="M4471" s="13" t="s">
        <v>398</v>
      </c>
      <c r="N4471" s="15">
        <v>0</v>
      </c>
      <c r="O4471" s="16">
        <v>0</v>
      </c>
      <c r="P4471" s="17">
        <v>495.81473498856599</v>
      </c>
      <c r="Q4471" s="17">
        <v>0</v>
      </c>
      <c r="R4471" s="13"/>
      <c r="S4471" s="13"/>
      <c r="T4471" s="13"/>
      <c r="U4471" s="13"/>
      <c r="V4471" s="13"/>
      <c r="W4471" s="13"/>
    </row>
    <row r="4472" spans="11:23" x14ac:dyDescent="0.2">
      <c r="K4472" s="13" t="s">
        <v>326</v>
      </c>
      <c r="L4472" s="13" t="s">
        <v>399</v>
      </c>
      <c r="M4472" s="13" t="s">
        <v>400</v>
      </c>
      <c r="N4472" s="15">
        <v>0</v>
      </c>
      <c r="O4472" s="16">
        <v>0</v>
      </c>
      <c r="P4472" s="17">
        <v>100.36314998924496</v>
      </c>
      <c r="Q4472" s="17">
        <v>0</v>
      </c>
      <c r="R4472" s="13"/>
      <c r="S4472" s="13"/>
      <c r="T4472" s="13"/>
      <c r="U4472" s="13"/>
      <c r="V4472" s="13"/>
      <c r="W4472" s="13"/>
    </row>
    <row r="4473" spans="11:23" x14ac:dyDescent="0.2">
      <c r="K4473" s="13" t="s">
        <v>326</v>
      </c>
      <c r="L4473" s="13" t="s">
        <v>401</v>
      </c>
      <c r="M4473" s="13" t="s">
        <v>360</v>
      </c>
      <c r="N4473" s="15">
        <v>0</v>
      </c>
      <c r="O4473" s="16">
        <v>0</v>
      </c>
      <c r="P4473" s="17">
        <v>506.91180000400232</v>
      </c>
      <c r="Q4473" s="17">
        <v>0</v>
      </c>
      <c r="R4473" s="13"/>
      <c r="S4473" s="13"/>
      <c r="T4473" s="13"/>
      <c r="U4473" s="13"/>
      <c r="V4473" s="13"/>
      <c r="W4473" s="13"/>
    </row>
    <row r="4474" spans="11:23" x14ac:dyDescent="0.2">
      <c r="K4474" s="13" t="s">
        <v>326</v>
      </c>
      <c r="L4474" s="13" t="s">
        <v>402</v>
      </c>
      <c r="M4474" s="13" t="s">
        <v>403</v>
      </c>
      <c r="N4474" s="15">
        <v>0</v>
      </c>
      <c r="O4474" s="16">
        <v>0</v>
      </c>
      <c r="P4474" s="17">
        <v>4723.029196510648</v>
      </c>
      <c r="Q4474" s="17">
        <v>0</v>
      </c>
      <c r="R4474" s="13"/>
      <c r="S4474" s="13"/>
      <c r="T4474" s="13"/>
      <c r="U4474" s="13"/>
      <c r="V4474" s="13"/>
      <c r="W4474" s="13"/>
    </row>
    <row r="4475" spans="11:23" x14ac:dyDescent="0.2">
      <c r="K4475" s="13" t="s">
        <v>326</v>
      </c>
      <c r="L4475" s="13" t="s">
        <v>448</v>
      </c>
      <c r="M4475" s="13" t="s">
        <v>366</v>
      </c>
      <c r="N4475" s="15">
        <v>0</v>
      </c>
      <c r="O4475" s="16">
        <v>0</v>
      </c>
      <c r="P4475" s="17">
        <v>45.346600026754039</v>
      </c>
      <c r="Q4475" s="17">
        <v>0</v>
      </c>
      <c r="R4475" s="13"/>
      <c r="S4475" s="13"/>
      <c r="T4475" s="13"/>
      <c r="U4475" s="13"/>
      <c r="V4475" s="13"/>
      <c r="W4475" s="13"/>
    </row>
    <row r="4476" spans="11:23" x14ac:dyDescent="0.2">
      <c r="K4476" s="13" t="s">
        <v>326</v>
      </c>
      <c r="L4476" s="13" t="s">
        <v>404</v>
      </c>
      <c r="M4476" s="13" t="s">
        <v>405</v>
      </c>
      <c r="N4476" s="15">
        <v>0</v>
      </c>
      <c r="O4476" s="16">
        <v>0</v>
      </c>
      <c r="P4476" s="17">
        <v>364.26990000432642</v>
      </c>
      <c r="Q4476" s="17">
        <v>1091.9055169119149</v>
      </c>
      <c r="R4476" s="13"/>
      <c r="S4476" s="13"/>
      <c r="T4476" s="13"/>
      <c r="U4476" s="13"/>
      <c r="V4476" s="13"/>
      <c r="W4476" s="13"/>
    </row>
    <row r="4477" spans="11:23" x14ac:dyDescent="0.2">
      <c r="K4477" s="13" t="s">
        <v>326</v>
      </c>
      <c r="L4477" s="13" t="s">
        <v>381</v>
      </c>
      <c r="M4477" s="13" t="s">
        <v>382</v>
      </c>
      <c r="N4477" s="15">
        <v>105</v>
      </c>
      <c r="O4477" s="16">
        <v>0</v>
      </c>
      <c r="P4477" s="17">
        <v>0</v>
      </c>
      <c r="Q4477" s="17">
        <v>0</v>
      </c>
      <c r="R4477" s="13"/>
      <c r="S4477" s="13"/>
      <c r="T4477" s="13"/>
      <c r="U4477" s="13"/>
      <c r="V4477" s="13"/>
      <c r="W4477" s="13"/>
    </row>
    <row r="4478" spans="11:23" x14ac:dyDescent="0.2">
      <c r="K4478" s="13" t="s">
        <v>326</v>
      </c>
      <c r="L4478" s="13" t="s">
        <v>505</v>
      </c>
      <c r="M4478" s="13" t="s">
        <v>506</v>
      </c>
      <c r="N4478" s="15">
        <v>2</v>
      </c>
      <c r="O4478" s="16">
        <v>0</v>
      </c>
      <c r="P4478" s="17">
        <v>0</v>
      </c>
      <c r="Q4478" s="17">
        <v>0</v>
      </c>
      <c r="R4478" s="13"/>
      <c r="S4478" s="13"/>
      <c r="T4478" s="13"/>
      <c r="U4478" s="13"/>
      <c r="V4478" s="13"/>
      <c r="W4478" s="13"/>
    </row>
    <row r="4479" spans="11:23" x14ac:dyDescent="0.2">
      <c r="K4479" s="13" t="s">
        <v>326</v>
      </c>
      <c r="L4479" s="13" t="s">
        <v>411</v>
      </c>
      <c r="M4479" s="13" t="s">
        <v>362</v>
      </c>
      <c r="N4479" s="15">
        <v>0</v>
      </c>
      <c r="O4479" s="16">
        <v>81.487875338793657</v>
      </c>
      <c r="P4479" s="17">
        <v>0</v>
      </c>
      <c r="Q4479" s="17">
        <v>0</v>
      </c>
      <c r="R4479" s="13"/>
      <c r="S4479" s="13"/>
      <c r="T4479" s="13"/>
      <c r="U4479" s="13"/>
      <c r="V4479" s="13"/>
      <c r="W4479" s="13"/>
    </row>
    <row r="4480" spans="11:23" x14ac:dyDescent="0.2">
      <c r="K4480" s="13" t="s">
        <v>326</v>
      </c>
      <c r="L4480" s="13" t="s">
        <v>411</v>
      </c>
      <c r="M4480" s="13" t="s">
        <v>362</v>
      </c>
      <c r="N4480" s="15">
        <v>6</v>
      </c>
      <c r="O4480" s="16">
        <v>0</v>
      </c>
      <c r="P4480" s="17">
        <v>0</v>
      </c>
      <c r="Q4480" s="17">
        <v>0</v>
      </c>
      <c r="R4480" s="13"/>
      <c r="S4480" s="13"/>
      <c r="T4480" s="13"/>
      <c r="U4480" s="13"/>
      <c r="V4480" s="13"/>
      <c r="W4480" s="13"/>
    </row>
    <row r="4481" spans="11:23" x14ac:dyDescent="0.2">
      <c r="K4481" s="13" t="s">
        <v>326</v>
      </c>
      <c r="L4481" s="13" t="s">
        <v>413</v>
      </c>
      <c r="M4481" s="13" t="s">
        <v>428</v>
      </c>
      <c r="N4481" s="15">
        <v>8</v>
      </c>
      <c r="O4481" s="16">
        <v>0</v>
      </c>
      <c r="P4481" s="17">
        <v>0</v>
      </c>
      <c r="Q4481" s="17">
        <v>0</v>
      </c>
      <c r="R4481" s="13"/>
      <c r="S4481" s="13"/>
      <c r="T4481" s="13"/>
      <c r="U4481" s="13"/>
      <c r="V4481" s="13"/>
      <c r="W4481" s="13"/>
    </row>
    <row r="4482" spans="11:23" x14ac:dyDescent="0.2">
      <c r="K4482" s="13" t="s">
        <v>326</v>
      </c>
      <c r="L4482" s="13" t="s">
        <v>605</v>
      </c>
      <c r="M4482" s="13" t="s">
        <v>429</v>
      </c>
      <c r="N4482" s="15">
        <v>0</v>
      </c>
      <c r="O4482" s="16">
        <v>25.735312633240017</v>
      </c>
      <c r="P4482" s="17">
        <v>0</v>
      </c>
      <c r="Q4482" s="17">
        <v>0</v>
      </c>
      <c r="R4482" s="13"/>
      <c r="S4482" s="13"/>
      <c r="T4482" s="13"/>
      <c r="U4482" s="13"/>
      <c r="V4482" s="13"/>
      <c r="W4482" s="13"/>
    </row>
    <row r="4483" spans="11:23" x14ac:dyDescent="0.2">
      <c r="K4483" s="13" t="s">
        <v>326</v>
      </c>
      <c r="L4483" s="13" t="s">
        <v>606</v>
      </c>
      <c r="M4483" s="13" t="s">
        <v>430</v>
      </c>
      <c r="N4483" s="15">
        <v>27</v>
      </c>
      <c r="O4483" s="16">
        <v>0</v>
      </c>
      <c r="P4483" s="17">
        <v>0</v>
      </c>
      <c r="Q4483" s="17">
        <v>0</v>
      </c>
      <c r="R4483" s="13"/>
      <c r="S4483" s="13"/>
      <c r="T4483" s="13"/>
      <c r="U4483" s="13"/>
      <c r="V4483" s="13"/>
      <c r="W4483" s="13"/>
    </row>
    <row r="4484" spans="11:23" x14ac:dyDescent="0.2">
      <c r="K4484" s="13" t="s">
        <v>326</v>
      </c>
      <c r="L4484" s="13" t="s">
        <v>623</v>
      </c>
      <c r="M4484" s="13" t="s">
        <v>530</v>
      </c>
      <c r="N4484" s="15">
        <v>0</v>
      </c>
      <c r="O4484" s="16">
        <v>581.04182570479884</v>
      </c>
      <c r="P4484" s="17">
        <v>0</v>
      </c>
      <c r="Q4484" s="17">
        <v>0</v>
      </c>
      <c r="R4484" s="13"/>
      <c r="S4484" s="13"/>
      <c r="T4484" s="13"/>
      <c r="U4484" s="13"/>
      <c r="V4484" s="13"/>
      <c r="W4484" s="13"/>
    </row>
    <row r="4485" spans="11:23" x14ac:dyDescent="0.2">
      <c r="K4485" s="13" t="s">
        <v>326</v>
      </c>
      <c r="L4485" s="13" t="s">
        <v>608</v>
      </c>
      <c r="M4485" s="13" t="s">
        <v>432</v>
      </c>
      <c r="N4485" s="15">
        <v>3</v>
      </c>
      <c r="O4485" s="16">
        <v>0</v>
      </c>
      <c r="P4485" s="17">
        <v>0</v>
      </c>
      <c r="Q4485" s="17">
        <v>0</v>
      </c>
      <c r="R4485" s="13"/>
      <c r="S4485" s="13"/>
      <c r="T4485" s="13"/>
      <c r="U4485" s="13"/>
      <c r="V4485" s="13"/>
      <c r="W4485" s="13"/>
    </row>
    <row r="4486" spans="11:23" x14ac:dyDescent="0.2">
      <c r="K4486" s="13" t="s">
        <v>326</v>
      </c>
      <c r="L4486" s="13" t="s">
        <v>615</v>
      </c>
      <c r="M4486" s="13" t="s">
        <v>449</v>
      </c>
      <c r="N4486" s="15">
        <v>1</v>
      </c>
      <c r="O4486" s="16">
        <v>0</v>
      </c>
      <c r="P4486" s="17">
        <v>0</v>
      </c>
      <c r="Q4486" s="17">
        <v>0</v>
      </c>
      <c r="R4486" s="13"/>
      <c r="S4486" s="13"/>
      <c r="T4486" s="13"/>
      <c r="U4486" s="13"/>
      <c r="V4486" s="13"/>
      <c r="W4486" s="13"/>
    </row>
    <row r="4487" spans="11:23" x14ac:dyDescent="0.2">
      <c r="K4487" s="13" t="s">
        <v>326</v>
      </c>
      <c r="L4487" s="13" t="s">
        <v>415</v>
      </c>
      <c r="M4487" s="13" t="s">
        <v>412</v>
      </c>
      <c r="N4487" s="15">
        <v>0</v>
      </c>
      <c r="O4487" s="16">
        <v>0</v>
      </c>
      <c r="P4487" s="17">
        <v>109.03160001278248</v>
      </c>
      <c r="Q4487" s="17">
        <v>0</v>
      </c>
      <c r="R4487" s="13"/>
      <c r="S4487" s="13"/>
      <c r="T4487" s="13"/>
      <c r="U4487" s="13"/>
      <c r="V4487" s="13"/>
      <c r="W4487" s="13"/>
    </row>
    <row r="4488" spans="11:23" x14ac:dyDescent="0.2">
      <c r="K4488" s="13" t="s">
        <v>326</v>
      </c>
      <c r="L4488" s="13" t="s">
        <v>523</v>
      </c>
      <c r="M4488" s="13" t="s">
        <v>476</v>
      </c>
      <c r="N4488" s="15">
        <v>0</v>
      </c>
      <c r="O4488" s="16">
        <v>0</v>
      </c>
      <c r="P4488" s="17">
        <v>3.8673499991516351</v>
      </c>
      <c r="Q4488" s="17">
        <v>0</v>
      </c>
      <c r="R4488" s="13"/>
      <c r="S4488" s="13"/>
      <c r="T4488" s="13"/>
      <c r="U4488" s="13"/>
      <c r="V4488" s="13"/>
      <c r="W4488" s="13"/>
    </row>
    <row r="4489" spans="11:23" x14ac:dyDescent="0.2">
      <c r="K4489" s="13" t="s">
        <v>326</v>
      </c>
      <c r="L4489" s="13" t="s">
        <v>609</v>
      </c>
      <c r="M4489" s="13" t="s">
        <v>416</v>
      </c>
      <c r="N4489" s="15">
        <v>0</v>
      </c>
      <c r="O4489" s="16">
        <v>16.442059351663634</v>
      </c>
      <c r="P4489" s="17">
        <v>0</v>
      </c>
      <c r="Q4489" s="17">
        <v>0</v>
      </c>
      <c r="R4489" s="13"/>
      <c r="S4489" s="13"/>
      <c r="T4489" s="13"/>
      <c r="U4489" s="13"/>
      <c r="V4489" s="13"/>
      <c r="W4489" s="13"/>
    </row>
    <row r="4490" spans="11:23" x14ac:dyDescent="0.2">
      <c r="K4490" s="13" t="s">
        <v>326</v>
      </c>
      <c r="L4490" s="13" t="s">
        <v>421</v>
      </c>
      <c r="M4490" s="13" t="s">
        <v>443</v>
      </c>
      <c r="N4490" s="15">
        <v>4</v>
      </c>
      <c r="O4490" s="16">
        <v>0</v>
      </c>
      <c r="P4490" s="17">
        <v>0</v>
      </c>
      <c r="Q4490" s="17">
        <v>0</v>
      </c>
      <c r="R4490" s="13"/>
      <c r="S4490" s="13"/>
      <c r="T4490" s="13"/>
      <c r="U4490" s="13"/>
      <c r="V4490" s="13"/>
      <c r="W4490" s="13"/>
    </row>
    <row r="4491" spans="11:23" x14ac:dyDescent="0.2">
      <c r="K4491" s="13" t="s">
        <v>326</v>
      </c>
      <c r="L4491" s="13" t="s">
        <v>383</v>
      </c>
      <c r="M4491" s="13" t="s">
        <v>420</v>
      </c>
      <c r="N4491" s="15">
        <v>8</v>
      </c>
      <c r="O4491" s="16">
        <v>0</v>
      </c>
      <c r="P4491" s="17">
        <v>0</v>
      </c>
      <c r="Q4491" s="17">
        <v>0</v>
      </c>
      <c r="R4491" s="13"/>
      <c r="S4491" s="13"/>
      <c r="T4491" s="13"/>
      <c r="U4491" s="13"/>
      <c r="V4491" s="13"/>
      <c r="W4491" s="13"/>
    </row>
    <row r="4492" spans="11:23" x14ac:dyDescent="0.2">
      <c r="K4492" s="13" t="s">
        <v>326</v>
      </c>
      <c r="L4492" s="13" t="s">
        <v>613</v>
      </c>
      <c r="M4492" s="13" t="s">
        <v>444</v>
      </c>
      <c r="N4492" s="15">
        <v>0</v>
      </c>
      <c r="O4492" s="16">
        <v>30.40062616027538</v>
      </c>
      <c r="P4492" s="17">
        <v>0</v>
      </c>
      <c r="Q4492" s="17">
        <v>0</v>
      </c>
      <c r="R4492" s="13"/>
      <c r="S4492" s="13"/>
      <c r="T4492" s="13"/>
      <c r="U4492" s="13"/>
      <c r="V4492" s="13"/>
      <c r="W4492" s="13"/>
    </row>
    <row r="4493" spans="11:23" x14ac:dyDescent="0.2">
      <c r="K4493" s="13" t="s">
        <v>326</v>
      </c>
      <c r="L4493" s="13" t="s">
        <v>611</v>
      </c>
      <c r="M4493" s="13" t="s">
        <v>423</v>
      </c>
      <c r="N4493" s="15">
        <v>0</v>
      </c>
      <c r="O4493" s="16">
        <v>10.227332655292129</v>
      </c>
      <c r="P4493" s="17">
        <v>0</v>
      </c>
      <c r="Q4493" s="17">
        <v>0</v>
      </c>
      <c r="R4493" s="13"/>
      <c r="S4493" s="13"/>
      <c r="T4493" s="13"/>
      <c r="U4493" s="13"/>
      <c r="V4493" s="13"/>
      <c r="W4493" s="13"/>
    </row>
    <row r="4494" spans="11:23" x14ac:dyDescent="0.2">
      <c r="K4494" s="13" t="s">
        <v>326</v>
      </c>
      <c r="L4494" s="13" t="s">
        <v>614</v>
      </c>
      <c r="M4494" s="13" t="s">
        <v>447</v>
      </c>
      <c r="N4494" s="15">
        <v>13</v>
      </c>
      <c r="O4494" s="16">
        <v>0</v>
      </c>
      <c r="P4494" s="17">
        <v>0</v>
      </c>
      <c r="Q4494" s="17">
        <v>0</v>
      </c>
      <c r="R4494" s="13"/>
      <c r="S4494" s="13"/>
      <c r="T4494" s="13"/>
      <c r="U4494" s="13"/>
      <c r="V4494" s="13"/>
      <c r="W4494" s="13"/>
    </row>
    <row r="4495" spans="11:23" x14ac:dyDescent="0.2">
      <c r="K4495" s="13" t="s">
        <v>326</v>
      </c>
      <c r="L4495" s="13" t="s">
        <v>612</v>
      </c>
      <c r="M4495" s="13" t="s">
        <v>425</v>
      </c>
      <c r="N4495" s="15">
        <v>5</v>
      </c>
      <c r="O4495" s="16">
        <v>0</v>
      </c>
      <c r="P4495" s="17">
        <v>0</v>
      </c>
      <c r="Q4495" s="17">
        <v>0</v>
      </c>
      <c r="R4495" s="13"/>
      <c r="S4495" s="13"/>
      <c r="T4495" s="13"/>
      <c r="U4495" s="13"/>
      <c r="V4495" s="13"/>
      <c r="W4495" s="13"/>
    </row>
    <row r="4496" spans="11:23" x14ac:dyDescent="0.2">
      <c r="K4496" s="13" t="s">
        <v>328</v>
      </c>
      <c r="L4496" s="13" t="s">
        <v>435</v>
      </c>
      <c r="M4496" s="13" t="s">
        <v>364</v>
      </c>
      <c r="N4496" s="15">
        <v>0</v>
      </c>
      <c r="O4496" s="16">
        <v>0</v>
      </c>
      <c r="P4496" s="17">
        <v>7.9414000009764214</v>
      </c>
      <c r="Q4496" s="17">
        <v>0</v>
      </c>
      <c r="R4496" s="13"/>
      <c r="S4496" s="13"/>
      <c r="T4496" s="13"/>
      <c r="U4496" s="13"/>
      <c r="V4496" s="13"/>
      <c r="W4496" s="13"/>
    </row>
    <row r="4497" spans="11:23" x14ac:dyDescent="0.2">
      <c r="K4497" s="13" t="s">
        <v>328</v>
      </c>
      <c r="L4497" s="13" t="s">
        <v>481</v>
      </c>
      <c r="M4497" s="13" t="s">
        <v>374</v>
      </c>
      <c r="N4497" s="15">
        <v>0</v>
      </c>
      <c r="O4497" s="16">
        <v>0</v>
      </c>
      <c r="P4497" s="17">
        <v>10.619400006968668</v>
      </c>
      <c r="Q4497" s="17">
        <v>0</v>
      </c>
      <c r="R4497" s="13"/>
      <c r="S4497" s="13"/>
      <c r="T4497" s="13"/>
      <c r="U4497" s="13"/>
      <c r="V4497" s="13"/>
      <c r="W4497" s="13"/>
    </row>
    <row r="4498" spans="11:23" x14ac:dyDescent="0.2">
      <c r="K4498" s="13" t="s">
        <v>328</v>
      </c>
      <c r="L4498" s="13" t="s">
        <v>544</v>
      </c>
      <c r="M4498" s="13" t="s">
        <v>545</v>
      </c>
      <c r="N4498" s="15">
        <v>0</v>
      </c>
      <c r="O4498" s="16">
        <v>0</v>
      </c>
      <c r="P4498" s="17">
        <v>80.846599993695008</v>
      </c>
      <c r="Q4498" s="17">
        <v>0</v>
      </c>
      <c r="R4498" s="13"/>
      <c r="S4498" s="13"/>
      <c r="T4498" s="13"/>
      <c r="U4498" s="13"/>
      <c r="V4498" s="13"/>
      <c r="W4498" s="13"/>
    </row>
    <row r="4499" spans="11:23" x14ac:dyDescent="0.2">
      <c r="K4499" s="13" t="s">
        <v>328</v>
      </c>
      <c r="L4499" s="13" t="s">
        <v>387</v>
      </c>
      <c r="M4499" s="13" t="s">
        <v>386</v>
      </c>
      <c r="N4499" s="15">
        <v>0</v>
      </c>
      <c r="O4499" s="16">
        <v>0</v>
      </c>
      <c r="P4499" s="17">
        <v>1728.1703499753653</v>
      </c>
      <c r="Q4499" s="17">
        <v>0</v>
      </c>
      <c r="R4499" s="13"/>
      <c r="S4499" s="13"/>
      <c r="T4499" s="13"/>
      <c r="U4499" s="13"/>
      <c r="V4499" s="13"/>
      <c r="W4499" s="13"/>
    </row>
    <row r="4500" spans="11:23" x14ac:dyDescent="0.2">
      <c r="K4500" s="13" t="s">
        <v>328</v>
      </c>
      <c r="L4500" s="13" t="s">
        <v>389</v>
      </c>
      <c r="M4500" s="13" t="s">
        <v>388</v>
      </c>
      <c r="N4500" s="15">
        <v>0</v>
      </c>
      <c r="O4500" s="16">
        <v>0</v>
      </c>
      <c r="P4500" s="17">
        <v>1876.6763794154672</v>
      </c>
      <c r="Q4500" s="17">
        <v>0</v>
      </c>
      <c r="R4500" s="13"/>
      <c r="S4500" s="13"/>
      <c r="T4500" s="13"/>
      <c r="U4500" s="13"/>
      <c r="V4500" s="13"/>
      <c r="W4500" s="13"/>
    </row>
    <row r="4501" spans="11:23" x14ac:dyDescent="0.2">
      <c r="K4501" s="13" t="s">
        <v>328</v>
      </c>
      <c r="L4501" s="13" t="s">
        <v>542</v>
      </c>
      <c r="M4501" s="13" t="s">
        <v>390</v>
      </c>
      <c r="N4501" s="15">
        <v>0</v>
      </c>
      <c r="O4501" s="16">
        <v>0</v>
      </c>
      <c r="P4501" s="17">
        <v>28.749300004953334</v>
      </c>
      <c r="Q4501" s="17">
        <v>0</v>
      </c>
      <c r="R4501" s="13"/>
      <c r="S4501" s="13"/>
      <c r="T4501" s="13"/>
      <c r="U4501" s="13"/>
      <c r="V4501" s="13"/>
      <c r="W4501" s="13"/>
    </row>
    <row r="4502" spans="11:23" x14ac:dyDescent="0.2">
      <c r="K4502" s="13" t="s">
        <v>328</v>
      </c>
      <c r="L4502" s="13" t="s">
        <v>392</v>
      </c>
      <c r="M4502" s="13" t="s">
        <v>437</v>
      </c>
      <c r="N4502" s="15">
        <v>0</v>
      </c>
      <c r="O4502" s="16">
        <v>0</v>
      </c>
      <c r="P4502" s="17">
        <v>11.497249999737017</v>
      </c>
      <c r="Q4502" s="17">
        <v>0</v>
      </c>
      <c r="R4502" s="13"/>
      <c r="S4502" s="13"/>
      <c r="T4502" s="13"/>
      <c r="U4502" s="13"/>
      <c r="V4502" s="13"/>
      <c r="W4502" s="13"/>
    </row>
    <row r="4503" spans="11:23" x14ac:dyDescent="0.2">
      <c r="K4503" s="13" t="s">
        <v>328</v>
      </c>
      <c r="L4503" s="13" t="s">
        <v>486</v>
      </c>
      <c r="M4503" s="13" t="s">
        <v>439</v>
      </c>
      <c r="N4503" s="15">
        <v>0</v>
      </c>
      <c r="O4503" s="16">
        <v>0</v>
      </c>
      <c r="P4503" s="17">
        <v>21.87195000678075</v>
      </c>
      <c r="Q4503" s="17">
        <v>0</v>
      </c>
      <c r="R4503" s="13"/>
      <c r="S4503" s="13"/>
      <c r="T4503" s="13"/>
      <c r="U4503" s="13"/>
      <c r="V4503" s="13"/>
      <c r="W4503" s="13"/>
    </row>
    <row r="4504" spans="11:23" x14ac:dyDescent="0.2">
      <c r="K4504" s="13" t="s">
        <v>328</v>
      </c>
      <c r="L4504" s="13" t="s">
        <v>440</v>
      </c>
      <c r="M4504" s="13" t="s">
        <v>441</v>
      </c>
      <c r="N4504" s="15">
        <v>14</v>
      </c>
      <c r="O4504" s="16">
        <v>0</v>
      </c>
      <c r="P4504" s="17">
        <v>0</v>
      </c>
      <c r="Q4504" s="17">
        <v>0</v>
      </c>
      <c r="R4504" s="13"/>
      <c r="S4504" s="13"/>
      <c r="T4504" s="13"/>
      <c r="U4504" s="13"/>
      <c r="V4504" s="13"/>
      <c r="W4504" s="13"/>
    </row>
    <row r="4505" spans="11:23" x14ac:dyDescent="0.2">
      <c r="K4505" s="13" t="s">
        <v>328</v>
      </c>
      <c r="L4505" s="13" t="s">
        <v>394</v>
      </c>
      <c r="M4505" s="13" t="s">
        <v>359</v>
      </c>
      <c r="N4505" s="15">
        <v>0</v>
      </c>
      <c r="O4505" s="16">
        <v>0</v>
      </c>
      <c r="P4505" s="17">
        <v>70.671350010316331</v>
      </c>
      <c r="Q4505" s="17">
        <v>0</v>
      </c>
      <c r="R4505" s="13"/>
      <c r="S4505" s="13"/>
      <c r="T4505" s="13"/>
      <c r="U4505" s="13"/>
      <c r="V4505" s="13"/>
      <c r="W4505" s="13"/>
    </row>
    <row r="4506" spans="11:23" x14ac:dyDescent="0.2">
      <c r="K4506" s="13" t="s">
        <v>328</v>
      </c>
      <c r="L4506" s="13" t="s">
        <v>395</v>
      </c>
      <c r="M4506" s="13" t="s">
        <v>602</v>
      </c>
      <c r="N4506" s="15">
        <v>7</v>
      </c>
      <c r="O4506" s="16">
        <v>0</v>
      </c>
      <c r="P4506" s="17">
        <v>0</v>
      </c>
      <c r="Q4506" s="17">
        <v>0</v>
      </c>
      <c r="R4506" s="13"/>
      <c r="S4506" s="13"/>
      <c r="T4506" s="13"/>
      <c r="U4506" s="13"/>
      <c r="V4506" s="13"/>
      <c r="W4506" s="13"/>
    </row>
    <row r="4507" spans="11:23" x14ac:dyDescent="0.2">
      <c r="K4507" s="13" t="s">
        <v>328</v>
      </c>
      <c r="L4507" s="13" t="s">
        <v>397</v>
      </c>
      <c r="M4507" s="13" t="s">
        <v>398</v>
      </c>
      <c r="N4507" s="15">
        <v>0</v>
      </c>
      <c r="O4507" s="16">
        <v>0</v>
      </c>
      <c r="P4507" s="17">
        <v>78.452649976479705</v>
      </c>
      <c r="Q4507" s="17">
        <v>0</v>
      </c>
      <c r="R4507" s="13"/>
      <c r="S4507" s="13"/>
      <c r="T4507" s="13"/>
      <c r="U4507" s="13"/>
      <c r="V4507" s="13"/>
      <c r="W4507" s="13"/>
    </row>
    <row r="4508" spans="11:23" x14ac:dyDescent="0.2">
      <c r="K4508" s="13" t="s">
        <v>328</v>
      </c>
      <c r="L4508" s="13" t="s">
        <v>399</v>
      </c>
      <c r="M4508" s="13" t="s">
        <v>400</v>
      </c>
      <c r="N4508" s="15">
        <v>0</v>
      </c>
      <c r="O4508" s="16">
        <v>0</v>
      </c>
      <c r="P4508" s="17">
        <v>177.67324999298444</v>
      </c>
      <c r="Q4508" s="17">
        <v>0</v>
      </c>
      <c r="R4508" s="13"/>
      <c r="S4508" s="13"/>
      <c r="T4508" s="13"/>
      <c r="U4508" s="13"/>
      <c r="V4508" s="13"/>
      <c r="W4508" s="13"/>
    </row>
    <row r="4509" spans="11:23" x14ac:dyDescent="0.2">
      <c r="K4509" s="13" t="s">
        <v>328</v>
      </c>
      <c r="L4509" s="13" t="s">
        <v>401</v>
      </c>
      <c r="M4509" s="13" t="s">
        <v>360</v>
      </c>
      <c r="N4509" s="15">
        <v>0</v>
      </c>
      <c r="O4509" s="16">
        <v>0</v>
      </c>
      <c r="P4509" s="17">
        <v>370.82919999815851</v>
      </c>
      <c r="Q4509" s="17">
        <v>0</v>
      </c>
      <c r="R4509" s="13"/>
      <c r="S4509" s="13"/>
      <c r="T4509" s="13"/>
      <c r="U4509" s="13"/>
      <c r="V4509" s="13"/>
      <c r="W4509" s="13"/>
    </row>
    <row r="4510" spans="11:23" x14ac:dyDescent="0.2">
      <c r="K4510" s="13" t="s">
        <v>328</v>
      </c>
      <c r="L4510" s="13" t="s">
        <v>511</v>
      </c>
      <c r="M4510" s="13" t="s">
        <v>377</v>
      </c>
      <c r="N4510" s="15">
        <v>0</v>
      </c>
      <c r="O4510" s="16">
        <v>0</v>
      </c>
      <c r="P4510" s="17">
        <v>54.20884587488748</v>
      </c>
      <c r="Q4510" s="17">
        <v>0</v>
      </c>
      <c r="R4510" s="13"/>
      <c r="S4510" s="13"/>
      <c r="T4510" s="13"/>
      <c r="U4510" s="13"/>
      <c r="V4510" s="13"/>
      <c r="W4510" s="13"/>
    </row>
    <row r="4511" spans="11:23" x14ac:dyDescent="0.2">
      <c r="K4511" s="13" t="s">
        <v>328</v>
      </c>
      <c r="L4511" s="13" t="s">
        <v>402</v>
      </c>
      <c r="M4511" s="13" t="s">
        <v>403</v>
      </c>
      <c r="N4511" s="15">
        <v>0</v>
      </c>
      <c r="O4511" s="16">
        <v>0</v>
      </c>
      <c r="P4511" s="17">
        <v>2726.0921498989296</v>
      </c>
      <c r="Q4511" s="17">
        <v>0</v>
      </c>
      <c r="R4511" s="13"/>
      <c r="S4511" s="13"/>
      <c r="T4511" s="13"/>
      <c r="U4511" s="13"/>
      <c r="V4511" s="13"/>
      <c r="W4511" s="13"/>
    </row>
    <row r="4512" spans="11:23" x14ac:dyDescent="0.2">
      <c r="K4512" s="13" t="s">
        <v>328</v>
      </c>
      <c r="L4512" s="13" t="s">
        <v>473</v>
      </c>
      <c r="M4512" s="13" t="s">
        <v>474</v>
      </c>
      <c r="N4512" s="15">
        <v>0</v>
      </c>
      <c r="O4512" s="16">
        <v>0</v>
      </c>
      <c r="P4512" s="17">
        <v>75.137349998171999</v>
      </c>
      <c r="Q4512" s="17">
        <v>0</v>
      </c>
      <c r="R4512" s="13"/>
      <c r="S4512" s="13"/>
      <c r="T4512" s="13"/>
      <c r="U4512" s="13"/>
      <c r="V4512" s="13"/>
      <c r="W4512" s="13"/>
    </row>
    <row r="4513" spans="11:23" x14ac:dyDescent="0.2">
      <c r="K4513" s="13" t="s">
        <v>328</v>
      </c>
      <c r="L4513" s="13" t="s">
        <v>404</v>
      </c>
      <c r="M4513" s="13" t="s">
        <v>405</v>
      </c>
      <c r="N4513" s="15">
        <v>0</v>
      </c>
      <c r="O4513" s="16">
        <v>0</v>
      </c>
      <c r="P4513" s="17">
        <v>342.57367643451482</v>
      </c>
      <c r="Q4513" s="17">
        <v>1141.5811063183564</v>
      </c>
      <c r="R4513" s="13"/>
      <c r="S4513" s="13"/>
      <c r="T4513" s="13"/>
      <c r="U4513" s="13"/>
      <c r="V4513" s="13"/>
      <c r="W4513" s="13"/>
    </row>
    <row r="4514" spans="11:23" x14ac:dyDescent="0.2">
      <c r="K4514" s="13" t="s">
        <v>328</v>
      </c>
      <c r="L4514" s="13" t="s">
        <v>406</v>
      </c>
      <c r="M4514" s="13" t="s">
        <v>361</v>
      </c>
      <c r="N4514" s="15">
        <v>0</v>
      </c>
      <c r="O4514" s="16">
        <v>0</v>
      </c>
      <c r="P4514" s="17">
        <v>54.128750000056456</v>
      </c>
      <c r="Q4514" s="17">
        <v>78.651120456788277</v>
      </c>
      <c r="R4514" s="13"/>
      <c r="S4514" s="13"/>
      <c r="T4514" s="13"/>
      <c r="U4514" s="13"/>
      <c r="V4514" s="13"/>
      <c r="W4514" s="13"/>
    </row>
    <row r="4515" spans="11:23" x14ac:dyDescent="0.2">
      <c r="K4515" s="13" t="s">
        <v>328</v>
      </c>
      <c r="L4515" s="13" t="s">
        <v>381</v>
      </c>
      <c r="M4515" s="13" t="s">
        <v>382</v>
      </c>
      <c r="N4515" s="15">
        <v>33</v>
      </c>
      <c r="O4515" s="16">
        <v>0</v>
      </c>
      <c r="P4515" s="17">
        <v>0</v>
      </c>
      <c r="Q4515" s="17">
        <v>0</v>
      </c>
      <c r="R4515" s="13"/>
      <c r="S4515" s="13"/>
      <c r="T4515" s="13"/>
      <c r="U4515" s="13"/>
      <c r="V4515" s="13"/>
      <c r="W4515" s="13"/>
    </row>
    <row r="4516" spans="11:23" x14ac:dyDescent="0.2">
      <c r="K4516" s="13" t="s">
        <v>328</v>
      </c>
      <c r="L4516" s="13" t="s">
        <v>505</v>
      </c>
      <c r="M4516" s="13" t="s">
        <v>506</v>
      </c>
      <c r="N4516" s="15">
        <v>25</v>
      </c>
      <c r="O4516" s="16">
        <v>0</v>
      </c>
      <c r="P4516" s="17">
        <v>0</v>
      </c>
      <c r="Q4516" s="17">
        <v>0</v>
      </c>
      <c r="R4516" s="13"/>
      <c r="S4516" s="13"/>
      <c r="T4516" s="13"/>
      <c r="U4516" s="13"/>
      <c r="V4516" s="13"/>
      <c r="W4516" s="13"/>
    </row>
    <row r="4517" spans="11:23" x14ac:dyDescent="0.2">
      <c r="K4517" s="13" t="s">
        <v>328</v>
      </c>
      <c r="L4517" s="13" t="s">
        <v>409</v>
      </c>
      <c r="M4517" s="13" t="s">
        <v>410</v>
      </c>
      <c r="N4517" s="15">
        <v>1</v>
      </c>
      <c r="O4517" s="16">
        <v>0</v>
      </c>
      <c r="P4517" s="17">
        <v>0</v>
      </c>
      <c r="Q4517" s="17">
        <v>0</v>
      </c>
      <c r="R4517" s="13"/>
      <c r="S4517" s="13"/>
      <c r="T4517" s="13"/>
      <c r="U4517" s="13"/>
      <c r="V4517" s="13"/>
      <c r="W4517" s="13"/>
    </row>
    <row r="4518" spans="11:23" x14ac:dyDescent="0.2">
      <c r="K4518" s="13" t="s">
        <v>328</v>
      </c>
      <c r="L4518" s="13" t="s">
        <v>411</v>
      </c>
      <c r="M4518" s="13" t="s">
        <v>362</v>
      </c>
      <c r="N4518" s="15">
        <v>0</v>
      </c>
      <c r="O4518" s="16">
        <v>0</v>
      </c>
      <c r="P4518" s="17">
        <v>122.92220000778531</v>
      </c>
      <c r="Q4518" s="17">
        <v>0</v>
      </c>
      <c r="R4518" s="13"/>
      <c r="S4518" s="13"/>
      <c r="T4518" s="13"/>
      <c r="U4518" s="13"/>
      <c r="V4518" s="13"/>
      <c r="W4518" s="13"/>
    </row>
    <row r="4519" spans="11:23" x14ac:dyDescent="0.2">
      <c r="K4519" s="13" t="s">
        <v>328</v>
      </c>
      <c r="L4519" s="13" t="s">
        <v>411</v>
      </c>
      <c r="M4519" s="13" t="s">
        <v>362</v>
      </c>
      <c r="N4519" s="15">
        <v>0</v>
      </c>
      <c r="O4519" s="16">
        <v>99.862859063037504</v>
      </c>
      <c r="P4519" s="17">
        <v>0</v>
      </c>
      <c r="Q4519" s="17">
        <v>0</v>
      </c>
      <c r="R4519" s="13"/>
      <c r="S4519" s="13"/>
      <c r="T4519" s="13"/>
      <c r="U4519" s="13"/>
      <c r="V4519" s="13"/>
      <c r="W4519" s="13"/>
    </row>
    <row r="4520" spans="11:23" x14ac:dyDescent="0.2">
      <c r="K4520" s="13" t="s">
        <v>328</v>
      </c>
      <c r="L4520" s="13" t="s">
        <v>411</v>
      </c>
      <c r="M4520" s="13" t="s">
        <v>362</v>
      </c>
      <c r="N4520" s="15">
        <v>1</v>
      </c>
      <c r="O4520" s="16">
        <v>0</v>
      </c>
      <c r="P4520" s="17">
        <v>0</v>
      </c>
      <c r="Q4520" s="17">
        <v>0</v>
      </c>
      <c r="R4520" s="13"/>
      <c r="S4520" s="13"/>
      <c r="T4520" s="13"/>
      <c r="U4520" s="13"/>
      <c r="V4520" s="13"/>
      <c r="W4520" s="13"/>
    </row>
    <row r="4521" spans="11:23" x14ac:dyDescent="0.2">
      <c r="K4521" s="13" t="s">
        <v>328</v>
      </c>
      <c r="L4521" s="13" t="s">
        <v>413</v>
      </c>
      <c r="M4521" s="13" t="s">
        <v>428</v>
      </c>
      <c r="N4521" s="15">
        <v>4</v>
      </c>
      <c r="O4521" s="16">
        <v>0</v>
      </c>
      <c r="P4521" s="17">
        <v>0</v>
      </c>
      <c r="Q4521" s="17">
        <v>0</v>
      </c>
      <c r="R4521" s="13"/>
      <c r="S4521" s="13"/>
      <c r="T4521" s="13"/>
      <c r="U4521" s="13"/>
      <c r="V4521" s="13"/>
      <c r="W4521" s="13"/>
    </row>
    <row r="4522" spans="11:23" x14ac:dyDescent="0.2">
      <c r="K4522" s="13" t="s">
        <v>328</v>
      </c>
      <c r="L4522" s="13" t="s">
        <v>603</v>
      </c>
      <c r="M4522" s="13" t="s">
        <v>385</v>
      </c>
      <c r="N4522" s="15">
        <v>2</v>
      </c>
      <c r="O4522" s="16">
        <v>0</v>
      </c>
      <c r="P4522" s="17">
        <v>0</v>
      </c>
      <c r="Q4522" s="17">
        <v>0</v>
      </c>
      <c r="R4522" s="13"/>
      <c r="S4522" s="13"/>
      <c r="T4522" s="13"/>
      <c r="U4522" s="13"/>
      <c r="V4522" s="13"/>
      <c r="W4522" s="13"/>
    </row>
    <row r="4523" spans="11:23" x14ac:dyDescent="0.2">
      <c r="K4523" s="13" t="s">
        <v>328</v>
      </c>
      <c r="L4523" s="13" t="s">
        <v>605</v>
      </c>
      <c r="M4523" s="13" t="s">
        <v>429</v>
      </c>
      <c r="N4523" s="15">
        <v>0</v>
      </c>
      <c r="O4523" s="16">
        <v>11.387708049253581</v>
      </c>
      <c r="P4523" s="17">
        <v>0</v>
      </c>
      <c r="Q4523" s="17">
        <v>0</v>
      </c>
      <c r="R4523" s="13"/>
      <c r="S4523" s="13"/>
      <c r="T4523" s="13"/>
      <c r="U4523" s="13"/>
      <c r="V4523" s="13"/>
      <c r="W4523" s="13"/>
    </row>
    <row r="4524" spans="11:23" x14ac:dyDescent="0.2">
      <c r="K4524" s="13" t="s">
        <v>328</v>
      </c>
      <c r="L4524" s="13" t="s">
        <v>606</v>
      </c>
      <c r="M4524" s="13" t="s">
        <v>430</v>
      </c>
      <c r="N4524" s="15">
        <v>28</v>
      </c>
      <c r="O4524" s="16">
        <v>0</v>
      </c>
      <c r="P4524" s="17">
        <v>0</v>
      </c>
      <c r="Q4524" s="17">
        <v>0</v>
      </c>
      <c r="R4524" s="13"/>
      <c r="S4524" s="13"/>
      <c r="T4524" s="13"/>
      <c r="U4524" s="13"/>
      <c r="V4524" s="13"/>
      <c r="W4524" s="13"/>
    </row>
    <row r="4525" spans="11:23" x14ac:dyDescent="0.2">
      <c r="K4525" s="13" t="s">
        <v>328</v>
      </c>
      <c r="L4525" s="13" t="s">
        <v>623</v>
      </c>
      <c r="M4525" s="13" t="s">
        <v>530</v>
      </c>
      <c r="N4525" s="15">
        <v>0</v>
      </c>
      <c r="O4525" s="16">
        <v>337.38706758764886</v>
      </c>
      <c r="P4525" s="17">
        <v>0</v>
      </c>
      <c r="Q4525" s="17">
        <v>0</v>
      </c>
      <c r="R4525" s="13"/>
      <c r="S4525" s="13"/>
      <c r="T4525" s="13"/>
      <c r="U4525" s="13"/>
      <c r="V4525" s="13"/>
      <c r="W4525" s="13"/>
    </row>
    <row r="4526" spans="11:23" x14ac:dyDescent="0.2">
      <c r="K4526" s="13" t="s">
        <v>328</v>
      </c>
      <c r="L4526" s="13" t="s">
        <v>624</v>
      </c>
      <c r="M4526" s="13" t="s">
        <v>531</v>
      </c>
      <c r="N4526" s="15">
        <v>2</v>
      </c>
      <c r="O4526" s="16">
        <v>0</v>
      </c>
      <c r="P4526" s="17">
        <v>0</v>
      </c>
      <c r="Q4526" s="17">
        <v>0</v>
      </c>
      <c r="R4526" s="13"/>
      <c r="S4526" s="13"/>
      <c r="T4526" s="13"/>
      <c r="U4526" s="13"/>
      <c r="V4526" s="13"/>
      <c r="W4526" s="13"/>
    </row>
    <row r="4527" spans="11:23" x14ac:dyDescent="0.2">
      <c r="K4527" s="13" t="s">
        <v>328</v>
      </c>
      <c r="L4527" s="13" t="s">
        <v>607</v>
      </c>
      <c r="M4527" s="13" t="s">
        <v>431</v>
      </c>
      <c r="N4527" s="15">
        <v>2</v>
      </c>
      <c r="O4527" s="16">
        <v>0</v>
      </c>
      <c r="P4527" s="17">
        <v>0</v>
      </c>
      <c r="Q4527" s="17">
        <v>0</v>
      </c>
      <c r="R4527" s="13"/>
      <c r="S4527" s="13"/>
      <c r="T4527" s="13"/>
      <c r="U4527" s="13"/>
      <c r="V4527" s="13"/>
      <c r="W4527" s="13"/>
    </row>
    <row r="4528" spans="11:23" x14ac:dyDescent="0.2">
      <c r="K4528" s="13" t="s">
        <v>328</v>
      </c>
      <c r="L4528" s="13" t="s">
        <v>615</v>
      </c>
      <c r="M4528" s="13" t="s">
        <v>449</v>
      </c>
      <c r="N4528" s="15">
        <v>2</v>
      </c>
      <c r="O4528" s="16">
        <v>0</v>
      </c>
      <c r="P4528" s="17">
        <v>0</v>
      </c>
      <c r="Q4528" s="17">
        <v>0</v>
      </c>
      <c r="R4528" s="13"/>
      <c r="S4528" s="13"/>
      <c r="T4528" s="13"/>
      <c r="U4528" s="13"/>
      <c r="V4528" s="13"/>
      <c r="W4528" s="13"/>
    </row>
    <row r="4529" spans="11:23" x14ac:dyDescent="0.2">
      <c r="K4529" s="13" t="s">
        <v>328</v>
      </c>
      <c r="L4529" s="13" t="s">
        <v>415</v>
      </c>
      <c r="M4529" s="13" t="s">
        <v>412</v>
      </c>
      <c r="N4529" s="15">
        <v>0</v>
      </c>
      <c r="O4529" s="16">
        <v>0</v>
      </c>
      <c r="P4529" s="17">
        <v>3.6240500019254864</v>
      </c>
      <c r="Q4529" s="17">
        <v>0</v>
      </c>
      <c r="R4529" s="13"/>
      <c r="S4529" s="13"/>
      <c r="T4529" s="13"/>
      <c r="U4529" s="13"/>
      <c r="V4529" s="13"/>
      <c r="W4529" s="13"/>
    </row>
    <row r="4530" spans="11:23" x14ac:dyDescent="0.2">
      <c r="K4530" s="13" t="s">
        <v>328</v>
      </c>
      <c r="L4530" s="13" t="s">
        <v>609</v>
      </c>
      <c r="M4530" s="13" t="s">
        <v>416</v>
      </c>
      <c r="N4530" s="15">
        <v>0</v>
      </c>
      <c r="O4530" s="16">
        <v>61.662251809470362</v>
      </c>
      <c r="P4530" s="17">
        <v>0</v>
      </c>
      <c r="Q4530" s="17">
        <v>0</v>
      </c>
      <c r="R4530" s="13"/>
      <c r="S4530" s="13"/>
      <c r="T4530" s="13"/>
      <c r="U4530" s="13"/>
      <c r="V4530" s="13"/>
      <c r="W4530" s="13"/>
    </row>
    <row r="4531" spans="11:23" x14ac:dyDescent="0.2">
      <c r="K4531" s="13" t="s">
        <v>328</v>
      </c>
      <c r="L4531" s="13" t="s">
        <v>610</v>
      </c>
      <c r="M4531" s="13" t="s">
        <v>418</v>
      </c>
      <c r="N4531" s="15">
        <v>0</v>
      </c>
      <c r="O4531" s="16">
        <v>4.8985916342983788</v>
      </c>
      <c r="P4531" s="17">
        <v>0</v>
      </c>
      <c r="Q4531" s="17">
        <v>0</v>
      </c>
      <c r="R4531" s="13"/>
      <c r="S4531" s="13"/>
      <c r="T4531" s="13"/>
      <c r="U4531" s="13"/>
      <c r="V4531" s="13"/>
      <c r="W4531" s="13"/>
    </row>
    <row r="4532" spans="11:23" x14ac:dyDescent="0.2">
      <c r="K4532" s="13" t="s">
        <v>328</v>
      </c>
      <c r="L4532" s="13" t="s">
        <v>622</v>
      </c>
      <c r="M4532" s="13" t="s">
        <v>524</v>
      </c>
      <c r="N4532" s="15">
        <v>0</v>
      </c>
      <c r="O4532" s="16">
        <v>3.3824547299419452</v>
      </c>
      <c r="P4532" s="17">
        <v>0</v>
      </c>
      <c r="Q4532" s="17">
        <v>0</v>
      </c>
      <c r="R4532" s="13"/>
      <c r="S4532" s="13"/>
      <c r="T4532" s="13"/>
      <c r="U4532" s="13"/>
      <c r="V4532" s="13"/>
      <c r="W4532" s="13"/>
    </row>
    <row r="4533" spans="11:23" x14ac:dyDescent="0.2">
      <c r="K4533" s="13" t="s">
        <v>328</v>
      </c>
      <c r="L4533" s="13" t="s">
        <v>421</v>
      </c>
      <c r="M4533" s="13" t="s">
        <v>443</v>
      </c>
      <c r="N4533" s="15">
        <v>16</v>
      </c>
      <c r="O4533" s="16">
        <v>0</v>
      </c>
      <c r="P4533" s="17">
        <v>0</v>
      </c>
      <c r="Q4533" s="17">
        <v>0</v>
      </c>
      <c r="R4533" s="13"/>
      <c r="S4533" s="13"/>
      <c r="T4533" s="13"/>
      <c r="U4533" s="13"/>
      <c r="V4533" s="13"/>
      <c r="W4533" s="13"/>
    </row>
    <row r="4534" spans="11:23" x14ac:dyDescent="0.2">
      <c r="K4534" s="13" t="s">
        <v>328</v>
      </c>
      <c r="L4534" s="13" t="s">
        <v>383</v>
      </c>
      <c r="M4534" s="13" t="s">
        <v>420</v>
      </c>
      <c r="N4534" s="15">
        <v>2</v>
      </c>
      <c r="O4534" s="16">
        <v>0</v>
      </c>
      <c r="P4534" s="17">
        <v>0</v>
      </c>
      <c r="Q4534" s="17">
        <v>0</v>
      </c>
      <c r="R4534" s="13"/>
      <c r="S4534" s="13"/>
      <c r="T4534" s="13"/>
      <c r="U4534" s="13"/>
      <c r="V4534" s="13"/>
      <c r="W4534" s="13"/>
    </row>
    <row r="4535" spans="11:23" x14ac:dyDescent="0.2">
      <c r="K4535" s="13" t="s">
        <v>328</v>
      </c>
      <c r="L4535" s="13" t="s">
        <v>528</v>
      </c>
      <c r="M4535" s="13" t="s">
        <v>384</v>
      </c>
      <c r="N4535" s="15">
        <v>0</v>
      </c>
      <c r="O4535" s="16">
        <v>12.282015702835201</v>
      </c>
      <c r="P4535" s="17">
        <v>0</v>
      </c>
      <c r="Q4535" s="17">
        <v>0</v>
      </c>
      <c r="R4535" s="13"/>
      <c r="S4535" s="13"/>
      <c r="T4535" s="13"/>
      <c r="U4535" s="13"/>
      <c r="V4535" s="13"/>
      <c r="W4535" s="13"/>
    </row>
    <row r="4536" spans="11:23" x14ac:dyDescent="0.2">
      <c r="K4536" s="13" t="s">
        <v>328</v>
      </c>
      <c r="L4536" s="13" t="s">
        <v>613</v>
      </c>
      <c r="M4536" s="13" t="s">
        <v>444</v>
      </c>
      <c r="N4536" s="15">
        <v>0</v>
      </c>
      <c r="O4536" s="16">
        <v>76.366628908242987</v>
      </c>
      <c r="P4536" s="17">
        <v>0</v>
      </c>
      <c r="Q4536" s="17">
        <v>0</v>
      </c>
      <c r="R4536" s="13"/>
      <c r="S4536" s="13"/>
      <c r="T4536" s="13"/>
      <c r="U4536" s="13"/>
      <c r="V4536" s="13"/>
      <c r="W4536" s="13"/>
    </row>
    <row r="4537" spans="11:23" x14ac:dyDescent="0.2">
      <c r="K4537" s="13" t="s">
        <v>328</v>
      </c>
      <c r="L4537" s="13" t="s">
        <v>612</v>
      </c>
      <c r="M4537" s="13" t="s">
        <v>425</v>
      </c>
      <c r="N4537" s="15">
        <v>2</v>
      </c>
      <c r="O4537" s="16">
        <v>0</v>
      </c>
      <c r="P4537" s="17">
        <v>0</v>
      </c>
      <c r="Q4537" s="17">
        <v>0</v>
      </c>
      <c r="R4537" s="13"/>
      <c r="S4537" s="13"/>
      <c r="T4537" s="13"/>
      <c r="U4537" s="13"/>
      <c r="V4537" s="13"/>
      <c r="W4537" s="13"/>
    </row>
    <row r="4538" spans="11:23" x14ac:dyDescent="0.2">
      <c r="K4538" s="13" t="s">
        <v>330</v>
      </c>
      <c r="L4538" s="13" t="s">
        <v>435</v>
      </c>
      <c r="M4538" s="13" t="s">
        <v>364</v>
      </c>
      <c r="N4538" s="15">
        <v>0</v>
      </c>
      <c r="O4538" s="16">
        <v>0</v>
      </c>
      <c r="P4538" s="17">
        <v>48.524877855676429</v>
      </c>
      <c r="Q4538" s="17">
        <v>0</v>
      </c>
      <c r="R4538" s="13"/>
      <c r="S4538" s="13"/>
      <c r="T4538" s="13"/>
      <c r="U4538" s="13"/>
      <c r="V4538" s="13"/>
      <c r="W4538" s="13"/>
    </row>
    <row r="4539" spans="11:23" x14ac:dyDescent="0.2">
      <c r="K4539" s="13" t="s">
        <v>330</v>
      </c>
      <c r="L4539" s="13" t="s">
        <v>481</v>
      </c>
      <c r="M4539" s="13" t="s">
        <v>374</v>
      </c>
      <c r="N4539" s="15">
        <v>0</v>
      </c>
      <c r="O4539" s="16">
        <v>0</v>
      </c>
      <c r="P4539" s="17">
        <v>3498.1587762909849</v>
      </c>
      <c r="Q4539" s="17">
        <v>0</v>
      </c>
      <c r="R4539" s="13"/>
      <c r="S4539" s="13"/>
      <c r="T4539" s="13"/>
      <c r="U4539" s="13"/>
      <c r="V4539" s="13"/>
      <c r="W4539" s="13"/>
    </row>
    <row r="4540" spans="11:23" x14ac:dyDescent="0.2">
      <c r="K4540" s="13" t="s">
        <v>330</v>
      </c>
      <c r="L4540" s="13" t="s">
        <v>481</v>
      </c>
      <c r="M4540" s="13" t="s">
        <v>374</v>
      </c>
      <c r="N4540" s="15">
        <v>19</v>
      </c>
      <c r="O4540" s="16">
        <v>0</v>
      </c>
      <c r="P4540" s="17">
        <v>0</v>
      </c>
      <c r="Q4540" s="17">
        <v>0</v>
      </c>
      <c r="R4540" s="13"/>
      <c r="S4540" s="13"/>
      <c r="T4540" s="13"/>
      <c r="U4540" s="13"/>
      <c r="V4540" s="13"/>
      <c r="W4540" s="13"/>
    </row>
    <row r="4541" spans="11:23" x14ac:dyDescent="0.2">
      <c r="K4541" s="13" t="s">
        <v>330</v>
      </c>
      <c r="L4541" s="13" t="s">
        <v>387</v>
      </c>
      <c r="M4541" s="13" t="s">
        <v>386</v>
      </c>
      <c r="N4541" s="15">
        <v>0</v>
      </c>
      <c r="O4541" s="16">
        <v>0</v>
      </c>
      <c r="P4541" s="17">
        <v>2610.9626828890364</v>
      </c>
      <c r="Q4541" s="17">
        <v>0</v>
      </c>
      <c r="R4541" s="13"/>
      <c r="S4541" s="13"/>
      <c r="T4541" s="13"/>
      <c r="U4541" s="13"/>
      <c r="V4541" s="13"/>
      <c r="W4541" s="13"/>
    </row>
    <row r="4542" spans="11:23" x14ac:dyDescent="0.2">
      <c r="K4542" s="13" t="s">
        <v>330</v>
      </c>
      <c r="L4542" s="13" t="s">
        <v>389</v>
      </c>
      <c r="M4542" s="13" t="s">
        <v>388</v>
      </c>
      <c r="N4542" s="15">
        <v>0</v>
      </c>
      <c r="O4542" s="16">
        <v>0</v>
      </c>
      <c r="P4542" s="17">
        <v>2089.3489391565145</v>
      </c>
      <c r="Q4542" s="17">
        <v>0</v>
      </c>
      <c r="R4542" s="13"/>
      <c r="S4542" s="13"/>
      <c r="T4542" s="13"/>
      <c r="U4542" s="13"/>
      <c r="V4542" s="13"/>
      <c r="W4542" s="13"/>
    </row>
    <row r="4543" spans="11:23" x14ac:dyDescent="0.2">
      <c r="K4543" s="13" t="s">
        <v>330</v>
      </c>
      <c r="L4543" s="13" t="s">
        <v>391</v>
      </c>
      <c r="M4543" s="13" t="s">
        <v>358</v>
      </c>
      <c r="N4543" s="15">
        <v>0</v>
      </c>
      <c r="O4543" s="16">
        <v>0</v>
      </c>
      <c r="P4543" s="17">
        <v>1968.349651278681</v>
      </c>
      <c r="Q4543" s="17">
        <v>0</v>
      </c>
      <c r="R4543" s="13"/>
      <c r="S4543" s="13"/>
      <c r="T4543" s="13"/>
      <c r="U4543" s="13"/>
      <c r="V4543" s="13"/>
      <c r="W4543" s="13"/>
    </row>
    <row r="4544" spans="11:23" x14ac:dyDescent="0.2">
      <c r="K4544" s="13" t="s">
        <v>330</v>
      </c>
      <c r="L4544" s="13" t="s">
        <v>440</v>
      </c>
      <c r="M4544" s="13" t="s">
        <v>441</v>
      </c>
      <c r="N4544" s="15">
        <v>2</v>
      </c>
      <c r="O4544" s="16">
        <v>0</v>
      </c>
      <c r="P4544" s="17">
        <v>0</v>
      </c>
      <c r="Q4544" s="17">
        <v>0</v>
      </c>
      <c r="R4544" s="13"/>
      <c r="S4544" s="13"/>
      <c r="T4544" s="13"/>
      <c r="U4544" s="13"/>
      <c r="V4544" s="13"/>
      <c r="W4544" s="13"/>
    </row>
    <row r="4545" spans="11:23" x14ac:dyDescent="0.2">
      <c r="K4545" s="13" t="s">
        <v>330</v>
      </c>
      <c r="L4545" s="13" t="s">
        <v>394</v>
      </c>
      <c r="M4545" s="13" t="s">
        <v>359</v>
      </c>
      <c r="N4545" s="15">
        <v>0</v>
      </c>
      <c r="O4545" s="16">
        <v>0</v>
      </c>
      <c r="P4545" s="17">
        <v>382.08124998119024</v>
      </c>
      <c r="Q4545" s="17">
        <v>0</v>
      </c>
      <c r="R4545" s="13"/>
      <c r="S4545" s="13"/>
      <c r="T4545" s="13"/>
      <c r="U4545" s="13"/>
      <c r="V4545" s="13"/>
      <c r="W4545" s="13"/>
    </row>
    <row r="4546" spans="11:23" x14ac:dyDescent="0.2">
      <c r="K4546" s="13" t="s">
        <v>330</v>
      </c>
      <c r="L4546" s="13" t="s">
        <v>401</v>
      </c>
      <c r="M4546" s="13" t="s">
        <v>360</v>
      </c>
      <c r="N4546" s="15">
        <v>0</v>
      </c>
      <c r="O4546" s="16">
        <v>0</v>
      </c>
      <c r="P4546" s="17">
        <v>597.37651770226455</v>
      </c>
      <c r="Q4546" s="17">
        <v>0</v>
      </c>
      <c r="R4546" s="13"/>
      <c r="S4546" s="13"/>
      <c r="T4546" s="13"/>
      <c r="U4546" s="13"/>
      <c r="V4546" s="13"/>
      <c r="W4546" s="13"/>
    </row>
    <row r="4547" spans="11:23" x14ac:dyDescent="0.2">
      <c r="K4547" s="13" t="s">
        <v>330</v>
      </c>
      <c r="L4547" s="13" t="s">
        <v>402</v>
      </c>
      <c r="M4547" s="13" t="s">
        <v>403</v>
      </c>
      <c r="N4547" s="15">
        <v>0</v>
      </c>
      <c r="O4547" s="16">
        <v>0</v>
      </c>
      <c r="P4547" s="17">
        <v>7398.6996056276384</v>
      </c>
      <c r="Q4547" s="17">
        <v>0</v>
      </c>
      <c r="R4547" s="13"/>
      <c r="S4547" s="13"/>
      <c r="T4547" s="13"/>
      <c r="U4547" s="13"/>
      <c r="V4547" s="13"/>
      <c r="W4547" s="13"/>
    </row>
    <row r="4548" spans="11:23" x14ac:dyDescent="0.2">
      <c r="K4548" s="13" t="s">
        <v>330</v>
      </c>
      <c r="L4548" s="13" t="s">
        <v>473</v>
      </c>
      <c r="M4548" s="13" t="s">
        <v>474</v>
      </c>
      <c r="N4548" s="15">
        <v>0</v>
      </c>
      <c r="O4548" s="16">
        <v>0</v>
      </c>
      <c r="P4548" s="17">
        <v>531.40256807452909</v>
      </c>
      <c r="Q4548" s="17">
        <v>0</v>
      </c>
      <c r="R4548" s="13"/>
      <c r="S4548" s="13"/>
      <c r="T4548" s="13"/>
      <c r="U4548" s="13"/>
      <c r="V4548" s="13"/>
      <c r="W4548" s="13"/>
    </row>
    <row r="4549" spans="11:23" x14ac:dyDescent="0.2">
      <c r="K4549" s="13" t="s">
        <v>330</v>
      </c>
      <c r="L4549" s="13" t="s">
        <v>448</v>
      </c>
      <c r="M4549" s="13" t="s">
        <v>366</v>
      </c>
      <c r="N4549" s="15">
        <v>0</v>
      </c>
      <c r="O4549" s="16">
        <v>0</v>
      </c>
      <c r="P4549" s="17">
        <v>201.40575872408172</v>
      </c>
      <c r="Q4549" s="17">
        <v>0</v>
      </c>
      <c r="R4549" s="13"/>
      <c r="S4549" s="13"/>
      <c r="T4549" s="13"/>
      <c r="U4549" s="13"/>
      <c r="V4549" s="13"/>
      <c r="W4549" s="13"/>
    </row>
    <row r="4550" spans="11:23" x14ac:dyDescent="0.2">
      <c r="K4550" s="13" t="s">
        <v>330</v>
      </c>
      <c r="L4550" s="13" t="s">
        <v>462</v>
      </c>
      <c r="M4550" s="13" t="s">
        <v>370</v>
      </c>
      <c r="N4550" s="15">
        <v>0</v>
      </c>
      <c r="O4550" s="16">
        <v>0</v>
      </c>
      <c r="P4550" s="17">
        <v>686.90853954911972</v>
      </c>
      <c r="Q4550" s="17">
        <v>0</v>
      </c>
      <c r="R4550" s="13"/>
      <c r="S4550" s="13"/>
      <c r="T4550" s="13"/>
      <c r="U4550" s="13"/>
      <c r="V4550" s="13"/>
      <c r="W4550" s="13"/>
    </row>
    <row r="4551" spans="11:23" x14ac:dyDescent="0.2">
      <c r="K4551" s="13" t="s">
        <v>330</v>
      </c>
      <c r="L4551" s="13" t="s">
        <v>456</v>
      </c>
      <c r="M4551" s="13" t="s">
        <v>457</v>
      </c>
      <c r="N4551" s="15">
        <v>0</v>
      </c>
      <c r="O4551" s="16">
        <v>0</v>
      </c>
      <c r="P4551" s="17">
        <v>231.16224998469463</v>
      </c>
      <c r="Q4551" s="17">
        <v>0</v>
      </c>
      <c r="R4551" s="13"/>
      <c r="S4551" s="13"/>
      <c r="T4551" s="13"/>
      <c r="U4551" s="13"/>
      <c r="V4551" s="13"/>
      <c r="W4551" s="13"/>
    </row>
    <row r="4552" spans="11:23" x14ac:dyDescent="0.2">
      <c r="K4552" s="13" t="s">
        <v>330</v>
      </c>
      <c r="L4552" s="13" t="s">
        <v>404</v>
      </c>
      <c r="M4552" s="13" t="s">
        <v>405</v>
      </c>
      <c r="N4552" s="15">
        <v>0</v>
      </c>
      <c r="O4552" s="16">
        <v>0</v>
      </c>
      <c r="P4552" s="17">
        <v>181.04807100371841</v>
      </c>
      <c r="Q4552" s="17">
        <v>817.06831724077176</v>
      </c>
      <c r="R4552" s="13"/>
      <c r="S4552" s="13"/>
      <c r="T4552" s="13"/>
      <c r="U4552" s="13"/>
      <c r="V4552" s="13"/>
      <c r="W4552" s="13"/>
    </row>
    <row r="4553" spans="11:23" x14ac:dyDescent="0.2">
      <c r="K4553" s="13" t="s">
        <v>330</v>
      </c>
      <c r="L4553" s="13" t="s">
        <v>381</v>
      </c>
      <c r="M4553" s="13" t="s">
        <v>382</v>
      </c>
      <c r="N4553" s="15">
        <v>33</v>
      </c>
      <c r="O4553" s="16">
        <v>0</v>
      </c>
      <c r="P4553" s="17">
        <v>0</v>
      </c>
      <c r="Q4553" s="17">
        <v>0</v>
      </c>
      <c r="R4553" s="13"/>
      <c r="S4553" s="13"/>
      <c r="T4553" s="13"/>
      <c r="U4553" s="13"/>
      <c r="V4553" s="13"/>
      <c r="W4553" s="13"/>
    </row>
    <row r="4554" spans="11:23" x14ac:dyDescent="0.2">
      <c r="K4554" s="13" t="s">
        <v>330</v>
      </c>
      <c r="L4554" s="13" t="s">
        <v>409</v>
      </c>
      <c r="M4554" s="13" t="s">
        <v>410</v>
      </c>
      <c r="N4554" s="15">
        <v>21</v>
      </c>
      <c r="O4554" s="16">
        <v>0</v>
      </c>
      <c r="P4554" s="17">
        <v>0</v>
      </c>
      <c r="Q4554" s="17">
        <v>0</v>
      </c>
      <c r="R4554" s="13"/>
      <c r="S4554" s="13"/>
      <c r="T4554" s="13"/>
      <c r="U4554" s="13"/>
      <c r="V4554" s="13"/>
      <c r="W4554" s="13"/>
    </row>
    <row r="4555" spans="11:23" x14ac:dyDescent="0.2">
      <c r="K4555" s="13" t="s">
        <v>330</v>
      </c>
      <c r="L4555" s="13" t="s">
        <v>540</v>
      </c>
      <c r="M4555" s="13" t="s">
        <v>541</v>
      </c>
      <c r="N4555" s="15">
        <v>14</v>
      </c>
      <c r="O4555" s="16">
        <v>0</v>
      </c>
      <c r="P4555" s="17">
        <v>0</v>
      </c>
      <c r="Q4555" s="17">
        <v>0</v>
      </c>
      <c r="R4555" s="13"/>
      <c r="S4555" s="13"/>
      <c r="T4555" s="13"/>
      <c r="U4555" s="13"/>
      <c r="V4555" s="13"/>
      <c r="W4555" s="13"/>
    </row>
    <row r="4556" spans="11:23" x14ac:dyDescent="0.2">
      <c r="K4556" s="13" t="s">
        <v>330</v>
      </c>
      <c r="L4556" s="13" t="s">
        <v>411</v>
      </c>
      <c r="M4556" s="13" t="s">
        <v>362</v>
      </c>
      <c r="N4556" s="15">
        <v>0</v>
      </c>
      <c r="O4556" s="16">
        <v>59.474170978240807</v>
      </c>
      <c r="P4556" s="17">
        <v>0</v>
      </c>
      <c r="Q4556" s="17">
        <v>0</v>
      </c>
      <c r="R4556" s="13"/>
      <c r="S4556" s="13"/>
      <c r="T4556" s="13"/>
      <c r="U4556" s="13"/>
      <c r="V4556" s="13"/>
      <c r="W4556" s="13"/>
    </row>
    <row r="4557" spans="11:23" x14ac:dyDescent="0.2">
      <c r="K4557" s="13" t="s">
        <v>330</v>
      </c>
      <c r="L4557" s="13" t="s">
        <v>411</v>
      </c>
      <c r="M4557" s="13" t="s">
        <v>362</v>
      </c>
      <c r="N4557" s="15">
        <v>9</v>
      </c>
      <c r="O4557" s="16">
        <v>0</v>
      </c>
      <c r="P4557" s="17">
        <v>0</v>
      </c>
      <c r="Q4557" s="17">
        <v>0</v>
      </c>
      <c r="R4557" s="13"/>
      <c r="S4557" s="13"/>
      <c r="T4557" s="13"/>
      <c r="U4557" s="13"/>
      <c r="V4557" s="13"/>
      <c r="W4557" s="13"/>
    </row>
    <row r="4558" spans="11:23" x14ac:dyDescent="0.2">
      <c r="K4558" s="13" t="s">
        <v>330</v>
      </c>
      <c r="L4558" s="13" t="s">
        <v>638</v>
      </c>
      <c r="M4558" s="13" t="s">
        <v>639</v>
      </c>
      <c r="N4558" s="15">
        <v>0</v>
      </c>
      <c r="O4558" s="16">
        <v>114.10775548901947</v>
      </c>
      <c r="P4558" s="17">
        <v>0</v>
      </c>
      <c r="Q4558" s="17">
        <v>0</v>
      </c>
      <c r="R4558" s="13"/>
      <c r="S4558" s="13"/>
      <c r="T4558" s="13"/>
      <c r="U4558" s="13"/>
      <c r="V4558" s="13"/>
      <c r="W4558" s="13"/>
    </row>
    <row r="4559" spans="11:23" x14ac:dyDescent="0.2">
      <c r="K4559" s="13" t="s">
        <v>330</v>
      </c>
      <c r="L4559" s="13" t="s">
        <v>638</v>
      </c>
      <c r="M4559" s="13" t="s">
        <v>639</v>
      </c>
      <c r="N4559" s="15">
        <v>4</v>
      </c>
      <c r="O4559" s="16">
        <v>0</v>
      </c>
      <c r="P4559" s="17">
        <v>0</v>
      </c>
      <c r="Q4559" s="17">
        <v>0</v>
      </c>
      <c r="R4559" s="13"/>
      <c r="S4559" s="13"/>
      <c r="T4559" s="13"/>
      <c r="U4559" s="13"/>
      <c r="V4559" s="13"/>
      <c r="W4559" s="13"/>
    </row>
    <row r="4560" spans="11:23" x14ac:dyDescent="0.2">
      <c r="K4560" s="13" t="s">
        <v>330</v>
      </c>
      <c r="L4560" s="13" t="s">
        <v>606</v>
      </c>
      <c r="M4560" s="13" t="s">
        <v>430</v>
      </c>
      <c r="N4560" s="15">
        <v>50</v>
      </c>
      <c r="O4560" s="16">
        <v>0</v>
      </c>
      <c r="P4560" s="17">
        <v>0</v>
      </c>
      <c r="Q4560" s="17">
        <v>0</v>
      </c>
      <c r="R4560" s="13"/>
      <c r="S4560" s="13"/>
      <c r="T4560" s="13"/>
      <c r="U4560" s="13"/>
      <c r="V4560" s="13"/>
      <c r="W4560" s="13"/>
    </row>
    <row r="4561" spans="11:23" x14ac:dyDescent="0.2">
      <c r="K4561" s="13" t="s">
        <v>330</v>
      </c>
      <c r="L4561" s="13" t="s">
        <v>608</v>
      </c>
      <c r="M4561" s="13" t="s">
        <v>432</v>
      </c>
      <c r="N4561" s="15">
        <v>15</v>
      </c>
      <c r="O4561" s="16">
        <v>0</v>
      </c>
      <c r="P4561" s="17">
        <v>0</v>
      </c>
      <c r="Q4561" s="17">
        <v>0</v>
      </c>
      <c r="R4561" s="13"/>
      <c r="S4561" s="13"/>
      <c r="T4561" s="13"/>
      <c r="U4561" s="13"/>
      <c r="V4561" s="13"/>
      <c r="W4561" s="13"/>
    </row>
    <row r="4562" spans="11:23" x14ac:dyDescent="0.2">
      <c r="K4562" s="13" t="s">
        <v>330</v>
      </c>
      <c r="L4562" s="13" t="s">
        <v>615</v>
      </c>
      <c r="M4562" s="13" t="s">
        <v>449</v>
      </c>
      <c r="N4562" s="15">
        <v>1</v>
      </c>
      <c r="O4562" s="16">
        <v>0</v>
      </c>
      <c r="P4562" s="17">
        <v>0</v>
      </c>
      <c r="Q4562" s="17">
        <v>0</v>
      </c>
      <c r="R4562" s="13"/>
      <c r="S4562" s="13"/>
      <c r="T4562" s="13"/>
      <c r="U4562" s="13"/>
      <c r="V4562" s="13"/>
      <c r="W4562" s="13"/>
    </row>
    <row r="4563" spans="11:23" x14ac:dyDescent="0.2">
      <c r="K4563" s="13" t="s">
        <v>332</v>
      </c>
      <c r="L4563" s="13" t="s">
        <v>435</v>
      </c>
      <c r="M4563" s="13" t="s">
        <v>364</v>
      </c>
      <c r="N4563" s="15">
        <v>0</v>
      </c>
      <c r="O4563" s="16">
        <v>0</v>
      </c>
      <c r="P4563" s="17">
        <v>25.837949997094533</v>
      </c>
      <c r="Q4563" s="17">
        <v>0</v>
      </c>
      <c r="R4563" s="13"/>
      <c r="S4563" s="13"/>
      <c r="T4563" s="13"/>
      <c r="U4563" s="13"/>
      <c r="V4563" s="13"/>
      <c r="W4563" s="13"/>
    </row>
    <row r="4564" spans="11:23" x14ac:dyDescent="0.2">
      <c r="K4564" s="13" t="s">
        <v>332</v>
      </c>
      <c r="L4564" s="13" t="s">
        <v>544</v>
      </c>
      <c r="M4564" s="13" t="s">
        <v>545</v>
      </c>
      <c r="N4564" s="15">
        <v>0</v>
      </c>
      <c r="O4564" s="16">
        <v>0</v>
      </c>
      <c r="P4564" s="17">
        <v>139.71640000094499</v>
      </c>
      <c r="Q4564" s="17">
        <v>0</v>
      </c>
      <c r="R4564" s="13"/>
      <c r="S4564" s="13"/>
      <c r="T4564" s="13"/>
      <c r="U4564" s="13"/>
      <c r="V4564" s="13"/>
      <c r="W4564" s="13"/>
    </row>
    <row r="4565" spans="11:23" x14ac:dyDescent="0.2">
      <c r="K4565" s="13" t="s">
        <v>332</v>
      </c>
      <c r="L4565" s="13" t="s">
        <v>387</v>
      </c>
      <c r="M4565" s="13" t="s">
        <v>386</v>
      </c>
      <c r="N4565" s="15">
        <v>0</v>
      </c>
      <c r="O4565" s="16">
        <v>0</v>
      </c>
      <c r="P4565" s="17">
        <v>2841.9397499288293</v>
      </c>
      <c r="Q4565" s="17">
        <v>0</v>
      </c>
      <c r="R4565" s="13"/>
      <c r="S4565" s="13"/>
      <c r="T4565" s="13"/>
      <c r="U4565" s="13"/>
      <c r="V4565" s="13"/>
      <c r="W4565" s="13"/>
    </row>
    <row r="4566" spans="11:23" x14ac:dyDescent="0.2">
      <c r="K4566" s="13" t="s">
        <v>332</v>
      </c>
      <c r="L4566" s="13" t="s">
        <v>389</v>
      </c>
      <c r="M4566" s="13" t="s">
        <v>388</v>
      </c>
      <c r="N4566" s="15">
        <v>0</v>
      </c>
      <c r="O4566" s="16">
        <v>0</v>
      </c>
      <c r="P4566" s="17">
        <v>2891.40461844215</v>
      </c>
      <c r="Q4566" s="17">
        <v>0</v>
      </c>
      <c r="R4566" s="13"/>
      <c r="S4566" s="13"/>
      <c r="T4566" s="13"/>
      <c r="U4566" s="13"/>
      <c r="V4566" s="13"/>
      <c r="W4566" s="13"/>
    </row>
    <row r="4567" spans="11:23" x14ac:dyDescent="0.2">
      <c r="K4567" s="13" t="s">
        <v>332</v>
      </c>
      <c r="L4567" s="13" t="s">
        <v>542</v>
      </c>
      <c r="M4567" s="13" t="s">
        <v>390</v>
      </c>
      <c r="N4567" s="15">
        <v>0</v>
      </c>
      <c r="O4567" s="16">
        <v>0</v>
      </c>
      <c r="P4567" s="17">
        <v>28.113299999037572</v>
      </c>
      <c r="Q4567" s="17">
        <v>0</v>
      </c>
      <c r="R4567" s="13"/>
      <c r="S4567" s="13"/>
      <c r="T4567" s="13"/>
      <c r="U4567" s="13"/>
      <c r="V4567" s="13"/>
      <c r="W4567" s="13"/>
    </row>
    <row r="4568" spans="11:23" x14ac:dyDescent="0.2">
      <c r="K4568" s="13" t="s">
        <v>332</v>
      </c>
      <c r="L4568" s="13" t="s">
        <v>391</v>
      </c>
      <c r="M4568" s="13" t="s">
        <v>358</v>
      </c>
      <c r="N4568" s="15">
        <v>0</v>
      </c>
      <c r="O4568" s="16">
        <v>0</v>
      </c>
      <c r="P4568" s="17">
        <v>135.96015002830609</v>
      </c>
      <c r="Q4568" s="17">
        <v>0</v>
      </c>
      <c r="R4568" s="13"/>
      <c r="S4568" s="13"/>
      <c r="T4568" s="13"/>
      <c r="U4568" s="13"/>
      <c r="V4568" s="13"/>
      <c r="W4568" s="13"/>
    </row>
    <row r="4569" spans="11:23" x14ac:dyDescent="0.2">
      <c r="K4569" s="13" t="s">
        <v>332</v>
      </c>
      <c r="L4569" s="13" t="s">
        <v>392</v>
      </c>
      <c r="M4569" s="13" t="s">
        <v>437</v>
      </c>
      <c r="N4569" s="15">
        <v>0</v>
      </c>
      <c r="O4569" s="16">
        <v>0</v>
      </c>
      <c r="P4569" s="17">
        <v>110.28325567534426</v>
      </c>
      <c r="Q4569" s="17">
        <v>0</v>
      </c>
      <c r="R4569" s="13"/>
      <c r="S4569" s="13"/>
      <c r="T4569" s="13"/>
      <c r="U4569" s="13"/>
      <c r="V4569" s="13"/>
      <c r="W4569" s="13"/>
    </row>
    <row r="4570" spans="11:23" x14ac:dyDescent="0.2">
      <c r="K4570" s="13" t="s">
        <v>332</v>
      </c>
      <c r="L4570" s="13" t="s">
        <v>486</v>
      </c>
      <c r="M4570" s="13" t="s">
        <v>439</v>
      </c>
      <c r="N4570" s="15">
        <v>0</v>
      </c>
      <c r="O4570" s="16">
        <v>0</v>
      </c>
      <c r="P4570" s="17">
        <v>19.150250000289763</v>
      </c>
      <c r="Q4570" s="17">
        <v>0</v>
      </c>
      <c r="R4570" s="13"/>
      <c r="S4570" s="13"/>
      <c r="T4570" s="13"/>
      <c r="U4570" s="13"/>
      <c r="V4570" s="13"/>
      <c r="W4570" s="13"/>
    </row>
    <row r="4571" spans="11:23" x14ac:dyDescent="0.2">
      <c r="K4571" s="13" t="s">
        <v>332</v>
      </c>
      <c r="L4571" s="13" t="s">
        <v>440</v>
      </c>
      <c r="M4571" s="13" t="s">
        <v>441</v>
      </c>
      <c r="N4571" s="15">
        <v>2</v>
      </c>
      <c r="O4571" s="16">
        <v>0</v>
      </c>
      <c r="P4571" s="17">
        <v>0</v>
      </c>
      <c r="Q4571" s="17">
        <v>0</v>
      </c>
      <c r="R4571" s="13"/>
      <c r="S4571" s="13"/>
      <c r="T4571" s="13"/>
      <c r="U4571" s="13"/>
      <c r="V4571" s="13"/>
      <c r="W4571" s="13"/>
    </row>
    <row r="4572" spans="11:23" x14ac:dyDescent="0.2">
      <c r="K4572" s="13" t="s">
        <v>332</v>
      </c>
      <c r="L4572" s="13" t="s">
        <v>394</v>
      </c>
      <c r="M4572" s="13" t="s">
        <v>359</v>
      </c>
      <c r="N4572" s="15">
        <v>0</v>
      </c>
      <c r="O4572" s="16">
        <v>0</v>
      </c>
      <c r="P4572" s="17">
        <v>252.73089999992661</v>
      </c>
      <c r="Q4572" s="17">
        <v>0</v>
      </c>
      <c r="R4572" s="13"/>
      <c r="S4572" s="13"/>
      <c r="T4572" s="13"/>
      <c r="U4572" s="13"/>
      <c r="V4572" s="13"/>
      <c r="W4572" s="13"/>
    </row>
    <row r="4573" spans="11:23" x14ac:dyDescent="0.2">
      <c r="K4573" s="13" t="s">
        <v>332</v>
      </c>
      <c r="L4573" s="13" t="s">
        <v>395</v>
      </c>
      <c r="M4573" s="13" t="s">
        <v>602</v>
      </c>
      <c r="N4573" s="15">
        <v>11</v>
      </c>
      <c r="O4573" s="16">
        <v>0</v>
      </c>
      <c r="P4573" s="17">
        <v>0</v>
      </c>
      <c r="Q4573" s="17">
        <v>0</v>
      </c>
      <c r="R4573" s="13"/>
      <c r="S4573" s="13"/>
      <c r="T4573" s="13"/>
      <c r="U4573" s="13"/>
      <c r="V4573" s="13"/>
      <c r="W4573" s="13"/>
    </row>
    <row r="4574" spans="11:23" x14ac:dyDescent="0.2">
      <c r="K4574" s="13" t="s">
        <v>332</v>
      </c>
      <c r="L4574" s="13" t="s">
        <v>397</v>
      </c>
      <c r="M4574" s="13" t="s">
        <v>398</v>
      </c>
      <c r="N4574" s="15">
        <v>0</v>
      </c>
      <c r="O4574" s="16">
        <v>0</v>
      </c>
      <c r="P4574" s="17">
        <v>100.57340000588239</v>
      </c>
      <c r="Q4574" s="17">
        <v>0</v>
      </c>
      <c r="R4574" s="13"/>
      <c r="S4574" s="13"/>
      <c r="T4574" s="13"/>
      <c r="U4574" s="13"/>
      <c r="V4574" s="13"/>
      <c r="W4574" s="13"/>
    </row>
    <row r="4575" spans="11:23" x14ac:dyDescent="0.2">
      <c r="K4575" s="13" t="s">
        <v>332</v>
      </c>
      <c r="L4575" s="13" t="s">
        <v>399</v>
      </c>
      <c r="M4575" s="13" t="s">
        <v>400</v>
      </c>
      <c r="N4575" s="15">
        <v>0</v>
      </c>
      <c r="O4575" s="16">
        <v>0</v>
      </c>
      <c r="P4575" s="17">
        <v>9.590199995868792</v>
      </c>
      <c r="Q4575" s="17">
        <v>0</v>
      </c>
      <c r="R4575" s="13"/>
      <c r="S4575" s="13"/>
      <c r="T4575" s="13"/>
      <c r="U4575" s="13"/>
      <c r="V4575" s="13"/>
      <c r="W4575" s="13"/>
    </row>
    <row r="4576" spans="11:23" x14ac:dyDescent="0.2">
      <c r="K4576" s="13" t="s">
        <v>332</v>
      </c>
      <c r="L4576" s="13" t="s">
        <v>401</v>
      </c>
      <c r="M4576" s="13" t="s">
        <v>360</v>
      </c>
      <c r="N4576" s="15">
        <v>0</v>
      </c>
      <c r="O4576" s="16">
        <v>0</v>
      </c>
      <c r="P4576" s="17">
        <v>174.33154999584866</v>
      </c>
      <c r="Q4576" s="17">
        <v>0</v>
      </c>
      <c r="R4576" s="13"/>
      <c r="S4576" s="13"/>
      <c r="T4576" s="13"/>
      <c r="U4576" s="13"/>
      <c r="V4576" s="13"/>
      <c r="W4576" s="13"/>
    </row>
    <row r="4577" spans="11:23" x14ac:dyDescent="0.2">
      <c r="K4577" s="13" t="s">
        <v>332</v>
      </c>
      <c r="L4577" s="13" t="s">
        <v>511</v>
      </c>
      <c r="M4577" s="13" t="s">
        <v>377</v>
      </c>
      <c r="N4577" s="15">
        <v>0</v>
      </c>
      <c r="O4577" s="16">
        <v>0</v>
      </c>
      <c r="P4577" s="17">
        <v>82.251499999932946</v>
      </c>
      <c r="Q4577" s="17">
        <v>0</v>
      </c>
      <c r="R4577" s="13"/>
      <c r="S4577" s="13"/>
      <c r="T4577" s="13"/>
      <c r="U4577" s="13"/>
      <c r="V4577" s="13"/>
      <c r="W4577" s="13"/>
    </row>
    <row r="4578" spans="11:23" x14ac:dyDescent="0.2">
      <c r="K4578" s="13" t="s">
        <v>332</v>
      </c>
      <c r="L4578" s="13" t="s">
        <v>402</v>
      </c>
      <c r="M4578" s="13" t="s">
        <v>403</v>
      </c>
      <c r="N4578" s="15">
        <v>0</v>
      </c>
      <c r="O4578" s="16">
        <v>0</v>
      </c>
      <c r="P4578" s="17">
        <v>4756.6275147382339</v>
      </c>
      <c r="Q4578" s="17">
        <v>0</v>
      </c>
      <c r="R4578" s="13"/>
      <c r="S4578" s="13"/>
      <c r="T4578" s="13"/>
      <c r="U4578" s="13"/>
      <c r="V4578" s="13"/>
      <c r="W4578" s="13"/>
    </row>
    <row r="4579" spans="11:23" x14ac:dyDescent="0.2">
      <c r="K4579" s="13" t="s">
        <v>332</v>
      </c>
      <c r="L4579" s="13" t="s">
        <v>448</v>
      </c>
      <c r="M4579" s="13" t="s">
        <v>366</v>
      </c>
      <c r="N4579" s="15">
        <v>0</v>
      </c>
      <c r="O4579" s="16">
        <v>0</v>
      </c>
      <c r="P4579" s="17">
        <v>37.928050011886448</v>
      </c>
      <c r="Q4579" s="17">
        <v>0</v>
      </c>
      <c r="R4579" s="13"/>
      <c r="S4579" s="13"/>
      <c r="T4579" s="13"/>
      <c r="U4579" s="13"/>
      <c r="V4579" s="13"/>
      <c r="W4579" s="13"/>
    </row>
    <row r="4580" spans="11:23" x14ac:dyDescent="0.2">
      <c r="K4580" s="13" t="s">
        <v>332</v>
      </c>
      <c r="L4580" s="13" t="s">
        <v>404</v>
      </c>
      <c r="M4580" s="13" t="s">
        <v>405</v>
      </c>
      <c r="N4580" s="15">
        <v>0</v>
      </c>
      <c r="O4580" s="16">
        <v>0</v>
      </c>
      <c r="P4580" s="17">
        <v>327.68795000547414</v>
      </c>
      <c r="Q4580" s="17">
        <v>1091.0903022263888</v>
      </c>
      <c r="R4580" s="13"/>
      <c r="S4580" s="13"/>
      <c r="T4580" s="13"/>
      <c r="U4580" s="13"/>
      <c r="V4580" s="13"/>
      <c r="W4580" s="13"/>
    </row>
    <row r="4581" spans="11:23" x14ac:dyDescent="0.2">
      <c r="K4581" s="13" t="s">
        <v>332</v>
      </c>
      <c r="L4581" s="13" t="s">
        <v>406</v>
      </c>
      <c r="M4581" s="13" t="s">
        <v>361</v>
      </c>
      <c r="N4581" s="15">
        <v>0</v>
      </c>
      <c r="O4581" s="16">
        <v>0</v>
      </c>
      <c r="P4581" s="17">
        <v>230.53879994177157</v>
      </c>
      <c r="Q4581" s="17">
        <v>644.68287379575554</v>
      </c>
      <c r="R4581" s="13"/>
      <c r="S4581" s="13"/>
      <c r="T4581" s="13"/>
      <c r="U4581" s="13"/>
      <c r="V4581" s="13"/>
      <c r="W4581" s="13"/>
    </row>
    <row r="4582" spans="11:23" x14ac:dyDescent="0.2">
      <c r="K4582" s="13" t="s">
        <v>332</v>
      </c>
      <c r="L4582" s="13" t="s">
        <v>381</v>
      </c>
      <c r="M4582" s="13" t="s">
        <v>382</v>
      </c>
      <c r="N4582" s="15">
        <v>17</v>
      </c>
      <c r="O4582" s="16">
        <v>0</v>
      </c>
      <c r="P4582" s="17">
        <v>0</v>
      </c>
      <c r="Q4582" s="17">
        <v>0</v>
      </c>
      <c r="R4582" s="13"/>
      <c r="S4582" s="13"/>
      <c r="T4582" s="13"/>
      <c r="U4582" s="13"/>
      <c r="V4582" s="13"/>
      <c r="W4582" s="13"/>
    </row>
    <row r="4583" spans="11:23" x14ac:dyDescent="0.2">
      <c r="K4583" s="13" t="s">
        <v>332</v>
      </c>
      <c r="L4583" s="13" t="s">
        <v>505</v>
      </c>
      <c r="M4583" s="13" t="s">
        <v>506</v>
      </c>
      <c r="N4583" s="15">
        <v>20</v>
      </c>
      <c r="O4583" s="16">
        <v>0</v>
      </c>
      <c r="P4583" s="17">
        <v>0</v>
      </c>
      <c r="Q4583" s="17">
        <v>0</v>
      </c>
      <c r="R4583" s="13"/>
      <c r="S4583" s="13"/>
      <c r="T4583" s="13"/>
      <c r="U4583" s="13"/>
      <c r="V4583" s="13"/>
      <c r="W4583" s="13"/>
    </row>
    <row r="4584" spans="11:23" x14ac:dyDescent="0.2">
      <c r="K4584" s="13" t="s">
        <v>332</v>
      </c>
      <c r="L4584" s="13" t="s">
        <v>471</v>
      </c>
      <c r="M4584" s="13" t="s">
        <v>472</v>
      </c>
      <c r="N4584" s="15">
        <v>0</v>
      </c>
      <c r="O4584" s="16">
        <v>0</v>
      </c>
      <c r="P4584" s="17">
        <v>305.47924999782856</v>
      </c>
      <c r="Q4584" s="17">
        <v>0</v>
      </c>
      <c r="R4584" s="13"/>
      <c r="S4584" s="13"/>
      <c r="T4584" s="13"/>
      <c r="U4584" s="13"/>
      <c r="V4584" s="13"/>
      <c r="W4584" s="13"/>
    </row>
    <row r="4585" spans="11:23" x14ac:dyDescent="0.2">
      <c r="K4585" s="13" t="s">
        <v>332</v>
      </c>
      <c r="L4585" s="13" t="s">
        <v>411</v>
      </c>
      <c r="M4585" s="13" t="s">
        <v>362</v>
      </c>
      <c r="N4585" s="15">
        <v>0</v>
      </c>
      <c r="O4585" s="16">
        <v>318.74590752461472</v>
      </c>
      <c r="P4585" s="17">
        <v>0</v>
      </c>
      <c r="Q4585" s="17">
        <v>0</v>
      </c>
      <c r="R4585" s="13"/>
      <c r="S4585" s="13"/>
      <c r="T4585" s="13"/>
      <c r="U4585" s="13"/>
      <c r="V4585" s="13"/>
      <c r="W4585" s="13"/>
    </row>
    <row r="4586" spans="11:23" x14ac:dyDescent="0.2">
      <c r="K4586" s="13" t="s">
        <v>332</v>
      </c>
      <c r="L4586" s="13" t="s">
        <v>411</v>
      </c>
      <c r="M4586" s="13" t="s">
        <v>362</v>
      </c>
      <c r="N4586" s="15">
        <v>1</v>
      </c>
      <c r="O4586" s="16">
        <v>0</v>
      </c>
      <c r="P4586" s="17">
        <v>0</v>
      </c>
      <c r="Q4586" s="17">
        <v>0</v>
      </c>
      <c r="R4586" s="13"/>
      <c r="S4586" s="13"/>
      <c r="T4586" s="13"/>
      <c r="U4586" s="13"/>
      <c r="V4586" s="13"/>
      <c r="W4586" s="13"/>
    </row>
    <row r="4587" spans="11:23" x14ac:dyDescent="0.2">
      <c r="K4587" s="13" t="s">
        <v>332</v>
      </c>
      <c r="L4587" s="13" t="s">
        <v>413</v>
      </c>
      <c r="M4587" s="13" t="s">
        <v>428</v>
      </c>
      <c r="N4587" s="15">
        <v>3</v>
      </c>
      <c r="O4587" s="16">
        <v>0</v>
      </c>
      <c r="P4587" s="17">
        <v>0</v>
      </c>
      <c r="Q4587" s="17">
        <v>0</v>
      </c>
      <c r="R4587" s="13"/>
      <c r="S4587" s="13"/>
      <c r="T4587" s="13"/>
      <c r="U4587" s="13"/>
      <c r="V4587" s="13"/>
      <c r="W4587" s="13"/>
    </row>
    <row r="4588" spans="11:23" x14ac:dyDescent="0.2">
      <c r="K4588" s="13" t="s">
        <v>332</v>
      </c>
      <c r="L4588" s="13" t="s">
        <v>603</v>
      </c>
      <c r="M4588" s="13" t="s">
        <v>385</v>
      </c>
      <c r="N4588" s="15">
        <v>4</v>
      </c>
      <c r="O4588" s="16">
        <v>0</v>
      </c>
      <c r="P4588" s="17">
        <v>0</v>
      </c>
      <c r="Q4588" s="17">
        <v>0</v>
      </c>
      <c r="R4588" s="13"/>
      <c r="S4588" s="13"/>
      <c r="T4588" s="13"/>
      <c r="U4588" s="13"/>
      <c r="V4588" s="13"/>
      <c r="W4588" s="13"/>
    </row>
    <row r="4589" spans="11:23" x14ac:dyDescent="0.2">
      <c r="K4589" s="13" t="s">
        <v>332</v>
      </c>
      <c r="L4589" s="13" t="s">
        <v>605</v>
      </c>
      <c r="M4589" s="13" t="s">
        <v>429</v>
      </c>
      <c r="N4589" s="15">
        <v>0</v>
      </c>
      <c r="O4589" s="16">
        <v>21.862368503349941</v>
      </c>
      <c r="P4589" s="17">
        <v>0</v>
      </c>
      <c r="Q4589" s="17">
        <v>0</v>
      </c>
      <c r="R4589" s="13"/>
      <c r="S4589" s="13"/>
      <c r="T4589" s="13"/>
      <c r="U4589" s="13"/>
      <c r="V4589" s="13"/>
      <c r="W4589" s="13"/>
    </row>
    <row r="4590" spans="11:23" x14ac:dyDescent="0.2">
      <c r="K4590" s="13" t="s">
        <v>332</v>
      </c>
      <c r="L4590" s="13" t="s">
        <v>606</v>
      </c>
      <c r="M4590" s="13" t="s">
        <v>430</v>
      </c>
      <c r="N4590" s="15">
        <v>32</v>
      </c>
      <c r="O4590" s="16">
        <v>0</v>
      </c>
      <c r="P4590" s="17">
        <v>0</v>
      </c>
      <c r="Q4590" s="17">
        <v>0</v>
      </c>
      <c r="R4590" s="13"/>
      <c r="S4590" s="13"/>
      <c r="T4590" s="13"/>
      <c r="U4590" s="13"/>
      <c r="V4590" s="13"/>
      <c r="W4590" s="13"/>
    </row>
    <row r="4591" spans="11:23" x14ac:dyDescent="0.2">
      <c r="K4591" s="13" t="s">
        <v>332</v>
      </c>
      <c r="L4591" s="13" t="s">
        <v>607</v>
      </c>
      <c r="M4591" s="13" t="s">
        <v>431</v>
      </c>
      <c r="N4591" s="15">
        <v>2</v>
      </c>
      <c r="O4591" s="16">
        <v>0</v>
      </c>
      <c r="P4591" s="17">
        <v>0</v>
      </c>
      <c r="Q4591" s="17">
        <v>0</v>
      </c>
      <c r="R4591" s="13"/>
      <c r="S4591" s="13"/>
      <c r="T4591" s="13"/>
      <c r="U4591" s="13"/>
      <c r="V4591" s="13"/>
      <c r="W4591" s="13"/>
    </row>
    <row r="4592" spans="11:23" x14ac:dyDescent="0.2">
      <c r="K4592" s="13" t="s">
        <v>332</v>
      </c>
      <c r="L4592" s="13" t="s">
        <v>608</v>
      </c>
      <c r="M4592" s="13" t="s">
        <v>432</v>
      </c>
      <c r="N4592" s="15">
        <v>3</v>
      </c>
      <c r="O4592" s="16">
        <v>0</v>
      </c>
      <c r="P4592" s="17">
        <v>0</v>
      </c>
      <c r="Q4592" s="17">
        <v>0</v>
      </c>
      <c r="R4592" s="13"/>
      <c r="S4592" s="13"/>
      <c r="T4592" s="13"/>
      <c r="U4592" s="13"/>
      <c r="V4592" s="13"/>
      <c r="W4592" s="13"/>
    </row>
    <row r="4593" spans="11:23" x14ac:dyDescent="0.2">
      <c r="K4593" s="13" t="s">
        <v>332</v>
      </c>
      <c r="L4593" s="13" t="s">
        <v>615</v>
      </c>
      <c r="M4593" s="13" t="s">
        <v>449</v>
      </c>
      <c r="N4593" s="15">
        <v>1</v>
      </c>
      <c r="O4593" s="16">
        <v>0</v>
      </c>
      <c r="P4593" s="17">
        <v>0</v>
      </c>
      <c r="Q4593" s="17">
        <v>0</v>
      </c>
      <c r="R4593" s="13"/>
      <c r="S4593" s="13"/>
      <c r="T4593" s="13"/>
      <c r="U4593" s="13"/>
      <c r="V4593" s="13"/>
      <c r="W4593" s="13"/>
    </row>
    <row r="4594" spans="11:23" x14ac:dyDescent="0.2">
      <c r="K4594" s="13" t="s">
        <v>332</v>
      </c>
      <c r="L4594" s="13" t="s">
        <v>415</v>
      </c>
      <c r="M4594" s="13" t="s">
        <v>412</v>
      </c>
      <c r="N4594" s="15">
        <v>0</v>
      </c>
      <c r="O4594" s="16">
        <v>0</v>
      </c>
      <c r="P4594" s="17">
        <v>10.688649998661036</v>
      </c>
      <c r="Q4594" s="17">
        <v>0</v>
      </c>
      <c r="R4594" s="13"/>
      <c r="S4594" s="13"/>
      <c r="T4594" s="13"/>
      <c r="U4594" s="13"/>
      <c r="V4594" s="13"/>
      <c r="W4594" s="13"/>
    </row>
    <row r="4595" spans="11:23" x14ac:dyDescent="0.2">
      <c r="K4595" s="13" t="s">
        <v>332</v>
      </c>
      <c r="L4595" s="13" t="s">
        <v>419</v>
      </c>
      <c r="M4595" s="13" t="s">
        <v>442</v>
      </c>
      <c r="N4595" s="15">
        <v>0</v>
      </c>
      <c r="O4595" s="16">
        <v>31.561503656074965</v>
      </c>
      <c r="P4595" s="17">
        <v>0</v>
      </c>
      <c r="Q4595" s="17">
        <v>0</v>
      </c>
      <c r="R4595" s="13"/>
      <c r="S4595" s="13"/>
      <c r="T4595" s="13"/>
      <c r="U4595" s="13"/>
      <c r="V4595" s="13"/>
      <c r="W4595" s="13"/>
    </row>
    <row r="4596" spans="11:23" x14ac:dyDescent="0.2">
      <c r="K4596" s="13" t="s">
        <v>332</v>
      </c>
      <c r="L4596" s="13" t="s">
        <v>609</v>
      </c>
      <c r="M4596" s="13" t="s">
        <v>416</v>
      </c>
      <c r="N4596" s="15">
        <v>0</v>
      </c>
      <c r="O4596" s="16">
        <v>25.494319874972021</v>
      </c>
      <c r="P4596" s="17">
        <v>0</v>
      </c>
      <c r="Q4596" s="17">
        <v>0</v>
      </c>
      <c r="R4596" s="13"/>
      <c r="S4596" s="13"/>
      <c r="T4596" s="13"/>
      <c r="U4596" s="13"/>
      <c r="V4596" s="13"/>
      <c r="W4596" s="13"/>
    </row>
    <row r="4597" spans="11:23" x14ac:dyDescent="0.2">
      <c r="K4597" s="13" t="s">
        <v>332</v>
      </c>
      <c r="L4597" s="13" t="s">
        <v>622</v>
      </c>
      <c r="M4597" s="13" t="s">
        <v>524</v>
      </c>
      <c r="N4597" s="15">
        <v>0</v>
      </c>
      <c r="O4597" s="16">
        <v>12.436447302781819</v>
      </c>
      <c r="P4597" s="17">
        <v>0</v>
      </c>
      <c r="Q4597" s="17">
        <v>0</v>
      </c>
      <c r="R4597" s="13"/>
      <c r="S4597" s="13"/>
      <c r="T4597" s="13"/>
      <c r="U4597" s="13"/>
      <c r="V4597" s="13"/>
      <c r="W4597" s="13"/>
    </row>
    <row r="4598" spans="11:23" x14ac:dyDescent="0.2">
      <c r="K4598" s="13" t="s">
        <v>332</v>
      </c>
      <c r="L4598" s="13" t="s">
        <v>421</v>
      </c>
      <c r="M4598" s="13" t="s">
        <v>443</v>
      </c>
      <c r="N4598" s="15">
        <v>8</v>
      </c>
      <c r="O4598" s="16">
        <v>0</v>
      </c>
      <c r="P4598" s="17">
        <v>0</v>
      </c>
      <c r="Q4598" s="17">
        <v>0</v>
      </c>
      <c r="R4598" s="13"/>
      <c r="S4598" s="13"/>
      <c r="T4598" s="13"/>
      <c r="U4598" s="13"/>
      <c r="V4598" s="13"/>
      <c r="W4598" s="13"/>
    </row>
    <row r="4599" spans="11:23" x14ac:dyDescent="0.2">
      <c r="K4599" s="13" t="s">
        <v>332</v>
      </c>
      <c r="L4599" s="13" t="s">
        <v>383</v>
      </c>
      <c r="M4599" s="13" t="s">
        <v>420</v>
      </c>
      <c r="N4599" s="15">
        <v>12</v>
      </c>
      <c r="O4599" s="16">
        <v>0</v>
      </c>
      <c r="P4599" s="17">
        <v>0</v>
      </c>
      <c r="Q4599" s="17">
        <v>0</v>
      </c>
      <c r="R4599" s="13"/>
      <c r="S4599" s="13"/>
      <c r="T4599" s="13"/>
      <c r="U4599" s="13"/>
      <c r="V4599" s="13"/>
      <c r="W4599" s="13"/>
    </row>
    <row r="4600" spans="11:23" x14ac:dyDescent="0.2">
      <c r="K4600" s="13" t="s">
        <v>332</v>
      </c>
      <c r="L4600" s="13" t="s">
        <v>613</v>
      </c>
      <c r="M4600" s="13" t="s">
        <v>444</v>
      </c>
      <c r="N4600" s="15">
        <v>0</v>
      </c>
      <c r="O4600" s="16">
        <v>185.70506321746393</v>
      </c>
      <c r="P4600" s="17">
        <v>0</v>
      </c>
      <c r="Q4600" s="17">
        <v>0</v>
      </c>
      <c r="R4600" s="13"/>
      <c r="S4600" s="13"/>
      <c r="T4600" s="13"/>
      <c r="U4600" s="13"/>
      <c r="V4600" s="13"/>
      <c r="W4600" s="13"/>
    </row>
    <row r="4601" spans="11:23" x14ac:dyDescent="0.2">
      <c r="K4601" s="13" t="s">
        <v>332</v>
      </c>
      <c r="L4601" s="13" t="s">
        <v>611</v>
      </c>
      <c r="M4601" s="13" t="s">
        <v>423</v>
      </c>
      <c r="N4601" s="15">
        <v>0</v>
      </c>
      <c r="O4601" s="16">
        <v>18.31207607160702</v>
      </c>
      <c r="P4601" s="17">
        <v>0</v>
      </c>
      <c r="Q4601" s="17">
        <v>0</v>
      </c>
      <c r="R4601" s="13"/>
      <c r="S4601" s="13"/>
      <c r="T4601" s="13"/>
      <c r="U4601" s="13"/>
      <c r="V4601" s="13"/>
      <c r="W4601" s="13"/>
    </row>
    <row r="4602" spans="11:23" x14ac:dyDescent="0.2">
      <c r="K4602" s="13" t="s">
        <v>332</v>
      </c>
      <c r="L4602" s="13" t="s">
        <v>614</v>
      </c>
      <c r="M4602" s="13" t="s">
        <v>447</v>
      </c>
      <c r="N4602" s="15">
        <v>3</v>
      </c>
      <c r="O4602" s="16">
        <v>0</v>
      </c>
      <c r="P4602" s="17">
        <v>0</v>
      </c>
      <c r="Q4602" s="17">
        <v>0</v>
      </c>
      <c r="R4602" s="13"/>
      <c r="S4602" s="13"/>
      <c r="T4602" s="13"/>
      <c r="U4602" s="13"/>
      <c r="V4602" s="13"/>
      <c r="W4602" s="13"/>
    </row>
    <row r="4603" spans="11:23" x14ac:dyDescent="0.2">
      <c r="K4603" s="13" t="s">
        <v>332</v>
      </c>
      <c r="L4603" s="13" t="s">
        <v>612</v>
      </c>
      <c r="M4603" s="13" t="s">
        <v>425</v>
      </c>
      <c r="N4603" s="15">
        <v>1</v>
      </c>
      <c r="O4603" s="16">
        <v>0</v>
      </c>
      <c r="P4603" s="17">
        <v>0</v>
      </c>
      <c r="Q4603" s="17">
        <v>0</v>
      </c>
      <c r="R4603" s="13"/>
      <c r="S4603" s="13"/>
      <c r="T4603" s="13"/>
      <c r="U4603" s="13"/>
      <c r="V4603" s="13"/>
      <c r="W4603" s="13"/>
    </row>
    <row r="4604" spans="11:23" x14ac:dyDescent="0.2">
      <c r="K4604" s="13" t="s">
        <v>332</v>
      </c>
      <c r="L4604" s="13" t="s">
        <v>433</v>
      </c>
      <c r="M4604" s="13" t="s">
        <v>434</v>
      </c>
      <c r="N4604" s="15">
        <v>0</v>
      </c>
      <c r="O4604" s="16">
        <v>0</v>
      </c>
      <c r="P4604" s="17">
        <v>10.770249997062724</v>
      </c>
      <c r="Q4604" s="17">
        <v>0</v>
      </c>
      <c r="R4604" s="13"/>
      <c r="S4604" s="13"/>
      <c r="T4604" s="13"/>
      <c r="U4604" s="13"/>
      <c r="V4604" s="13"/>
      <c r="W4604" s="13"/>
    </row>
    <row r="4605" spans="11:23" x14ac:dyDescent="0.2">
      <c r="K4605" s="13" t="s">
        <v>334</v>
      </c>
      <c r="L4605" s="13" t="s">
        <v>435</v>
      </c>
      <c r="M4605" s="13" t="s">
        <v>364</v>
      </c>
      <c r="N4605" s="15">
        <v>0</v>
      </c>
      <c r="O4605" s="16">
        <v>0</v>
      </c>
      <c r="P4605" s="17">
        <v>4.4649000010085524</v>
      </c>
      <c r="Q4605" s="17">
        <v>0</v>
      </c>
      <c r="R4605" s="13"/>
      <c r="S4605" s="13"/>
      <c r="T4605" s="13"/>
      <c r="U4605" s="13"/>
      <c r="V4605" s="13"/>
      <c r="W4605" s="13"/>
    </row>
    <row r="4606" spans="11:23" x14ac:dyDescent="0.2">
      <c r="K4606" s="13" t="s">
        <v>334</v>
      </c>
      <c r="L4606" s="13" t="s">
        <v>435</v>
      </c>
      <c r="M4606" s="13" t="s">
        <v>364</v>
      </c>
      <c r="N4606" s="15">
        <v>0</v>
      </c>
      <c r="O4606" s="16">
        <v>20.57420080220054</v>
      </c>
      <c r="P4606" s="17">
        <v>0</v>
      </c>
      <c r="Q4606" s="17">
        <v>0</v>
      </c>
      <c r="R4606" s="13"/>
      <c r="S4606" s="13"/>
      <c r="T4606" s="13"/>
      <c r="U4606" s="13"/>
      <c r="V4606" s="13"/>
      <c r="W4606" s="13"/>
    </row>
    <row r="4607" spans="11:23" x14ac:dyDescent="0.2">
      <c r="K4607" s="13" t="s">
        <v>334</v>
      </c>
      <c r="L4607" s="13" t="s">
        <v>544</v>
      </c>
      <c r="M4607" s="13" t="s">
        <v>545</v>
      </c>
      <c r="N4607" s="15">
        <v>0</v>
      </c>
      <c r="O4607" s="16">
        <v>0</v>
      </c>
      <c r="P4607" s="17">
        <v>73.779349997807273</v>
      </c>
      <c r="Q4607" s="17">
        <v>0</v>
      </c>
      <c r="R4607" s="13"/>
      <c r="S4607" s="13"/>
      <c r="T4607" s="13"/>
      <c r="U4607" s="13"/>
      <c r="V4607" s="13"/>
      <c r="W4607" s="13"/>
    </row>
    <row r="4608" spans="11:23" x14ac:dyDescent="0.2">
      <c r="K4608" s="13" t="s">
        <v>334</v>
      </c>
      <c r="L4608" s="13" t="s">
        <v>387</v>
      </c>
      <c r="M4608" s="13" t="s">
        <v>386</v>
      </c>
      <c r="N4608" s="15">
        <v>0</v>
      </c>
      <c r="O4608" s="16">
        <v>0</v>
      </c>
      <c r="P4608" s="17">
        <v>2844.1487999634464</v>
      </c>
      <c r="Q4608" s="17">
        <v>0</v>
      </c>
      <c r="R4608" s="13"/>
      <c r="S4608" s="13"/>
      <c r="T4608" s="13"/>
      <c r="U4608" s="13"/>
      <c r="V4608" s="13"/>
      <c r="W4608" s="13"/>
    </row>
    <row r="4609" spans="11:23" x14ac:dyDescent="0.2">
      <c r="K4609" s="13" t="s">
        <v>334</v>
      </c>
      <c r="L4609" s="13" t="s">
        <v>389</v>
      </c>
      <c r="M4609" s="13" t="s">
        <v>388</v>
      </c>
      <c r="N4609" s="15">
        <v>0</v>
      </c>
      <c r="O4609" s="16">
        <v>0</v>
      </c>
      <c r="P4609" s="17">
        <v>3437.2908258173447</v>
      </c>
      <c r="Q4609" s="17">
        <v>0</v>
      </c>
      <c r="R4609" s="13"/>
      <c r="S4609" s="13"/>
      <c r="T4609" s="13"/>
      <c r="U4609" s="13"/>
      <c r="V4609" s="13"/>
      <c r="W4609" s="13"/>
    </row>
    <row r="4610" spans="11:23" x14ac:dyDescent="0.2">
      <c r="K4610" s="13" t="s">
        <v>334</v>
      </c>
      <c r="L4610" s="13" t="s">
        <v>542</v>
      </c>
      <c r="M4610" s="13" t="s">
        <v>390</v>
      </c>
      <c r="N4610" s="15">
        <v>0</v>
      </c>
      <c r="O4610" s="16">
        <v>0</v>
      </c>
      <c r="P4610" s="17">
        <v>62.046948077523062</v>
      </c>
      <c r="Q4610" s="17">
        <v>0</v>
      </c>
      <c r="R4610" s="13"/>
      <c r="S4610" s="13"/>
      <c r="T4610" s="13"/>
      <c r="U4610" s="13"/>
      <c r="V4610" s="13"/>
      <c r="W4610" s="13"/>
    </row>
    <row r="4611" spans="11:23" x14ac:dyDescent="0.2">
      <c r="K4611" s="13" t="s">
        <v>334</v>
      </c>
      <c r="L4611" s="13" t="s">
        <v>391</v>
      </c>
      <c r="M4611" s="13" t="s">
        <v>358</v>
      </c>
      <c r="N4611" s="15">
        <v>0</v>
      </c>
      <c r="O4611" s="16">
        <v>0</v>
      </c>
      <c r="P4611" s="17">
        <v>13.856400001454308</v>
      </c>
      <c r="Q4611" s="17">
        <v>0</v>
      </c>
      <c r="R4611" s="13"/>
      <c r="S4611" s="13"/>
      <c r="T4611" s="13"/>
      <c r="U4611" s="13"/>
      <c r="V4611" s="13"/>
      <c r="W4611" s="13"/>
    </row>
    <row r="4612" spans="11:23" x14ac:dyDescent="0.2">
      <c r="K4612" s="13" t="s">
        <v>334</v>
      </c>
      <c r="L4612" s="13" t="s">
        <v>392</v>
      </c>
      <c r="M4612" s="13" t="s">
        <v>437</v>
      </c>
      <c r="N4612" s="15">
        <v>0</v>
      </c>
      <c r="O4612" s="16">
        <v>0</v>
      </c>
      <c r="P4612" s="17">
        <v>47.974199967360313</v>
      </c>
      <c r="Q4612" s="17">
        <v>0</v>
      </c>
      <c r="R4612" s="13"/>
      <c r="S4612" s="13"/>
      <c r="T4612" s="13"/>
      <c r="U4612" s="13"/>
      <c r="V4612" s="13"/>
      <c r="W4612" s="13"/>
    </row>
    <row r="4613" spans="11:23" x14ac:dyDescent="0.2">
      <c r="K4613" s="13" t="s">
        <v>334</v>
      </c>
      <c r="L4613" s="13" t="s">
        <v>460</v>
      </c>
      <c r="M4613" s="13" t="s">
        <v>393</v>
      </c>
      <c r="N4613" s="15">
        <v>0</v>
      </c>
      <c r="O4613" s="16">
        <v>0</v>
      </c>
      <c r="P4613" s="17">
        <v>16.772549998946534</v>
      </c>
      <c r="Q4613" s="17">
        <v>0</v>
      </c>
      <c r="R4613" s="13"/>
      <c r="S4613" s="13"/>
      <c r="T4613" s="13"/>
      <c r="U4613" s="13"/>
      <c r="V4613" s="13"/>
      <c r="W4613" s="13"/>
    </row>
    <row r="4614" spans="11:23" x14ac:dyDescent="0.2">
      <c r="K4614" s="13" t="s">
        <v>334</v>
      </c>
      <c r="L4614" s="13" t="s">
        <v>486</v>
      </c>
      <c r="M4614" s="13" t="s">
        <v>439</v>
      </c>
      <c r="N4614" s="15">
        <v>0</v>
      </c>
      <c r="O4614" s="16">
        <v>0</v>
      </c>
      <c r="P4614" s="17">
        <v>60.188249997757488</v>
      </c>
      <c r="Q4614" s="17">
        <v>0</v>
      </c>
      <c r="R4614" s="13"/>
      <c r="S4614" s="13"/>
      <c r="T4614" s="13"/>
      <c r="U4614" s="13"/>
      <c r="V4614" s="13"/>
      <c r="W4614" s="13"/>
    </row>
    <row r="4615" spans="11:23" x14ac:dyDescent="0.2">
      <c r="K4615" s="13" t="s">
        <v>334</v>
      </c>
      <c r="L4615" s="13" t="s">
        <v>519</v>
      </c>
      <c r="M4615" s="13" t="s">
        <v>478</v>
      </c>
      <c r="N4615" s="15">
        <v>0</v>
      </c>
      <c r="O4615" s="16">
        <v>0</v>
      </c>
      <c r="P4615" s="17">
        <v>934.97559999399414</v>
      </c>
      <c r="Q4615" s="17">
        <v>0</v>
      </c>
      <c r="R4615" s="13"/>
      <c r="S4615" s="13"/>
      <c r="T4615" s="13"/>
      <c r="U4615" s="13"/>
      <c r="V4615" s="13"/>
      <c r="W4615" s="13"/>
    </row>
    <row r="4616" spans="11:23" x14ac:dyDescent="0.2">
      <c r="K4616" s="13" t="s">
        <v>334</v>
      </c>
      <c r="L4616" s="13" t="s">
        <v>440</v>
      </c>
      <c r="M4616" s="13" t="s">
        <v>441</v>
      </c>
      <c r="N4616" s="15">
        <v>14</v>
      </c>
      <c r="O4616" s="16">
        <v>0</v>
      </c>
      <c r="P4616" s="17">
        <v>0</v>
      </c>
      <c r="Q4616" s="17">
        <v>0</v>
      </c>
      <c r="R4616" s="13"/>
      <c r="S4616" s="13"/>
      <c r="T4616" s="13"/>
      <c r="U4616" s="13"/>
      <c r="V4616" s="13"/>
      <c r="W4616" s="13"/>
    </row>
    <row r="4617" spans="11:23" x14ac:dyDescent="0.2">
      <c r="K4617" s="13" t="s">
        <v>334</v>
      </c>
      <c r="L4617" s="13" t="s">
        <v>394</v>
      </c>
      <c r="M4617" s="13" t="s">
        <v>359</v>
      </c>
      <c r="N4617" s="15">
        <v>0</v>
      </c>
      <c r="O4617" s="16">
        <v>0</v>
      </c>
      <c r="P4617" s="17">
        <v>240.12969999314899</v>
      </c>
      <c r="Q4617" s="17">
        <v>0</v>
      </c>
      <c r="R4617" s="13"/>
      <c r="S4617" s="13"/>
      <c r="T4617" s="13"/>
      <c r="U4617" s="13"/>
      <c r="V4617" s="13"/>
      <c r="W4617" s="13"/>
    </row>
    <row r="4618" spans="11:23" x14ac:dyDescent="0.2">
      <c r="K4618" s="13" t="s">
        <v>334</v>
      </c>
      <c r="L4618" s="13" t="s">
        <v>397</v>
      </c>
      <c r="M4618" s="13" t="s">
        <v>398</v>
      </c>
      <c r="N4618" s="15">
        <v>0</v>
      </c>
      <c r="O4618" s="16">
        <v>0</v>
      </c>
      <c r="P4618" s="17">
        <v>317.98278339757724</v>
      </c>
      <c r="Q4618" s="17">
        <v>0</v>
      </c>
      <c r="R4618" s="13"/>
      <c r="S4618" s="13"/>
      <c r="T4618" s="13"/>
      <c r="U4618" s="13"/>
      <c r="V4618" s="13"/>
      <c r="W4618" s="13"/>
    </row>
    <row r="4619" spans="11:23" x14ac:dyDescent="0.2">
      <c r="K4619" s="13" t="s">
        <v>334</v>
      </c>
      <c r="L4619" s="13" t="s">
        <v>399</v>
      </c>
      <c r="M4619" s="13" t="s">
        <v>400</v>
      </c>
      <c r="N4619" s="15">
        <v>0</v>
      </c>
      <c r="O4619" s="16">
        <v>0</v>
      </c>
      <c r="P4619" s="17">
        <v>449.37984997945063</v>
      </c>
      <c r="Q4619" s="17">
        <v>0</v>
      </c>
      <c r="R4619" s="13"/>
      <c r="S4619" s="13"/>
      <c r="T4619" s="13"/>
      <c r="U4619" s="13"/>
      <c r="V4619" s="13"/>
      <c r="W4619" s="13"/>
    </row>
    <row r="4620" spans="11:23" x14ac:dyDescent="0.2">
      <c r="K4620" s="13" t="s">
        <v>334</v>
      </c>
      <c r="L4620" s="13" t="s">
        <v>401</v>
      </c>
      <c r="M4620" s="13" t="s">
        <v>360</v>
      </c>
      <c r="N4620" s="15">
        <v>0</v>
      </c>
      <c r="O4620" s="16">
        <v>0</v>
      </c>
      <c r="P4620" s="17">
        <v>368.81725000192216</v>
      </c>
      <c r="Q4620" s="17">
        <v>0</v>
      </c>
      <c r="R4620" s="13"/>
      <c r="S4620" s="13"/>
      <c r="T4620" s="13"/>
      <c r="U4620" s="13"/>
      <c r="V4620" s="13"/>
      <c r="W4620" s="13"/>
    </row>
    <row r="4621" spans="11:23" x14ac:dyDescent="0.2">
      <c r="K4621" s="13" t="s">
        <v>334</v>
      </c>
      <c r="L4621" s="13" t="s">
        <v>402</v>
      </c>
      <c r="M4621" s="13" t="s">
        <v>403</v>
      </c>
      <c r="N4621" s="15">
        <v>0</v>
      </c>
      <c r="O4621" s="16">
        <v>0</v>
      </c>
      <c r="P4621" s="17">
        <v>6552.3568559161677</v>
      </c>
      <c r="Q4621" s="17">
        <v>0</v>
      </c>
      <c r="R4621" s="13"/>
      <c r="S4621" s="13"/>
      <c r="T4621" s="13"/>
      <c r="U4621" s="13"/>
      <c r="V4621" s="13"/>
      <c r="W4621" s="13"/>
    </row>
    <row r="4622" spans="11:23" x14ac:dyDescent="0.2">
      <c r="K4622" s="13" t="s">
        <v>334</v>
      </c>
      <c r="L4622" s="13" t="s">
        <v>404</v>
      </c>
      <c r="M4622" s="13" t="s">
        <v>405</v>
      </c>
      <c r="N4622" s="15">
        <v>0</v>
      </c>
      <c r="O4622" s="16">
        <v>0</v>
      </c>
      <c r="P4622" s="17">
        <v>1255.4245037636779</v>
      </c>
      <c r="Q4622" s="17">
        <v>2188.9858044863354</v>
      </c>
      <c r="R4622" s="13"/>
      <c r="S4622" s="13"/>
      <c r="T4622" s="13"/>
      <c r="U4622" s="13"/>
      <c r="V4622" s="13"/>
      <c r="W4622" s="13"/>
    </row>
    <row r="4623" spans="11:23" x14ac:dyDescent="0.2">
      <c r="K4623" s="13" t="s">
        <v>334</v>
      </c>
      <c r="L4623" s="13" t="s">
        <v>406</v>
      </c>
      <c r="M4623" s="13" t="s">
        <v>361</v>
      </c>
      <c r="N4623" s="15">
        <v>0</v>
      </c>
      <c r="O4623" s="16">
        <v>0</v>
      </c>
      <c r="P4623" s="17">
        <v>53.78500000304021</v>
      </c>
      <c r="Q4623" s="17">
        <v>142.19528833970375</v>
      </c>
      <c r="R4623" s="13"/>
      <c r="S4623" s="13"/>
      <c r="T4623" s="13"/>
      <c r="U4623" s="13"/>
      <c r="V4623" s="13"/>
      <c r="W4623" s="13"/>
    </row>
    <row r="4624" spans="11:23" x14ac:dyDescent="0.2">
      <c r="K4624" s="13" t="s">
        <v>334</v>
      </c>
      <c r="L4624" s="13" t="s">
        <v>381</v>
      </c>
      <c r="M4624" s="13" t="s">
        <v>382</v>
      </c>
      <c r="N4624" s="15">
        <v>104</v>
      </c>
      <c r="O4624" s="16">
        <v>0</v>
      </c>
      <c r="P4624" s="17">
        <v>0</v>
      </c>
      <c r="Q4624" s="17">
        <v>0</v>
      </c>
      <c r="R4624" s="13"/>
      <c r="S4624" s="13"/>
      <c r="T4624" s="13"/>
      <c r="U4624" s="13"/>
      <c r="V4624" s="13"/>
      <c r="W4624" s="13"/>
    </row>
    <row r="4625" spans="11:23" x14ac:dyDescent="0.2">
      <c r="K4625" s="13" t="s">
        <v>334</v>
      </c>
      <c r="L4625" s="13" t="s">
        <v>409</v>
      </c>
      <c r="M4625" s="13" t="s">
        <v>410</v>
      </c>
      <c r="N4625" s="15">
        <v>1</v>
      </c>
      <c r="O4625" s="16">
        <v>0</v>
      </c>
      <c r="P4625" s="17">
        <v>0</v>
      </c>
      <c r="Q4625" s="17">
        <v>0</v>
      </c>
      <c r="R4625" s="13"/>
      <c r="S4625" s="13"/>
      <c r="T4625" s="13"/>
      <c r="U4625" s="13"/>
      <c r="V4625" s="13"/>
      <c r="W4625" s="13"/>
    </row>
    <row r="4626" spans="11:23" x14ac:dyDescent="0.2">
      <c r="K4626" s="13" t="s">
        <v>334</v>
      </c>
      <c r="L4626" s="13" t="s">
        <v>411</v>
      </c>
      <c r="M4626" s="13" t="s">
        <v>362</v>
      </c>
      <c r="N4626" s="15">
        <v>0</v>
      </c>
      <c r="O4626" s="16">
        <v>0</v>
      </c>
      <c r="P4626" s="17">
        <v>2.8386499971808168</v>
      </c>
      <c r="Q4626" s="17">
        <v>0</v>
      </c>
      <c r="R4626" s="13"/>
      <c r="S4626" s="13"/>
      <c r="T4626" s="13"/>
      <c r="U4626" s="13"/>
      <c r="V4626" s="13"/>
      <c r="W4626" s="13"/>
    </row>
    <row r="4627" spans="11:23" x14ac:dyDescent="0.2">
      <c r="K4627" s="13" t="s">
        <v>334</v>
      </c>
      <c r="L4627" s="13" t="s">
        <v>411</v>
      </c>
      <c r="M4627" s="13" t="s">
        <v>362</v>
      </c>
      <c r="N4627" s="15">
        <v>0</v>
      </c>
      <c r="O4627" s="16">
        <v>180.73363197952082</v>
      </c>
      <c r="P4627" s="17">
        <v>0</v>
      </c>
      <c r="Q4627" s="17">
        <v>0</v>
      </c>
      <c r="R4627" s="13"/>
      <c r="S4627" s="13"/>
      <c r="T4627" s="13"/>
      <c r="U4627" s="13"/>
      <c r="V4627" s="13"/>
      <c r="W4627" s="13"/>
    </row>
    <row r="4628" spans="11:23" x14ac:dyDescent="0.2">
      <c r="K4628" s="13" t="s">
        <v>334</v>
      </c>
      <c r="L4628" s="13" t="s">
        <v>411</v>
      </c>
      <c r="M4628" s="13" t="s">
        <v>362</v>
      </c>
      <c r="N4628" s="15">
        <v>3</v>
      </c>
      <c r="O4628" s="16">
        <v>0</v>
      </c>
      <c r="P4628" s="17">
        <v>0</v>
      </c>
      <c r="Q4628" s="17">
        <v>0</v>
      </c>
      <c r="R4628" s="13"/>
      <c r="S4628" s="13"/>
      <c r="T4628" s="13"/>
      <c r="U4628" s="13"/>
      <c r="V4628" s="13"/>
      <c r="W4628" s="13"/>
    </row>
    <row r="4629" spans="11:23" x14ac:dyDescent="0.2">
      <c r="K4629" s="13" t="s">
        <v>334</v>
      </c>
      <c r="L4629" s="13" t="s">
        <v>413</v>
      </c>
      <c r="M4629" s="13" t="s">
        <v>428</v>
      </c>
      <c r="N4629" s="15">
        <v>8</v>
      </c>
      <c r="O4629" s="16">
        <v>0</v>
      </c>
      <c r="P4629" s="17">
        <v>0</v>
      </c>
      <c r="Q4629" s="17">
        <v>0</v>
      </c>
      <c r="R4629" s="13"/>
      <c r="S4629" s="13"/>
      <c r="T4629" s="13"/>
      <c r="U4629" s="13"/>
      <c r="V4629" s="13"/>
      <c r="W4629" s="13"/>
    </row>
    <row r="4630" spans="11:23" x14ac:dyDescent="0.2">
      <c r="K4630" s="13" t="s">
        <v>334</v>
      </c>
      <c r="L4630" s="13" t="s">
        <v>603</v>
      </c>
      <c r="M4630" s="13" t="s">
        <v>385</v>
      </c>
      <c r="N4630" s="15">
        <v>8</v>
      </c>
      <c r="O4630" s="16">
        <v>0</v>
      </c>
      <c r="P4630" s="17">
        <v>0</v>
      </c>
      <c r="Q4630" s="17">
        <v>0</v>
      </c>
      <c r="R4630" s="13"/>
      <c r="S4630" s="13"/>
      <c r="T4630" s="13"/>
      <c r="U4630" s="13"/>
      <c r="V4630" s="13"/>
      <c r="W4630" s="13"/>
    </row>
    <row r="4631" spans="11:23" x14ac:dyDescent="0.2">
      <c r="K4631" s="13" t="s">
        <v>334</v>
      </c>
      <c r="L4631" s="13" t="s">
        <v>605</v>
      </c>
      <c r="M4631" s="13" t="s">
        <v>429</v>
      </c>
      <c r="N4631" s="15">
        <v>0</v>
      </c>
      <c r="O4631" s="16">
        <v>12.205833329775386</v>
      </c>
      <c r="P4631" s="17">
        <v>0</v>
      </c>
      <c r="Q4631" s="17">
        <v>0</v>
      </c>
      <c r="R4631" s="13"/>
      <c r="S4631" s="13"/>
      <c r="T4631" s="13"/>
      <c r="U4631" s="13"/>
      <c r="V4631" s="13"/>
      <c r="W4631" s="13"/>
    </row>
    <row r="4632" spans="11:23" x14ac:dyDescent="0.2">
      <c r="K4632" s="13" t="s">
        <v>334</v>
      </c>
      <c r="L4632" s="13" t="s">
        <v>606</v>
      </c>
      <c r="M4632" s="13" t="s">
        <v>430</v>
      </c>
      <c r="N4632" s="15">
        <v>46</v>
      </c>
      <c r="O4632" s="16">
        <v>0</v>
      </c>
      <c r="P4632" s="17">
        <v>0</v>
      </c>
      <c r="Q4632" s="17">
        <v>0</v>
      </c>
      <c r="R4632" s="13"/>
      <c r="S4632" s="13"/>
      <c r="T4632" s="13"/>
      <c r="U4632" s="13"/>
      <c r="V4632" s="13"/>
      <c r="W4632" s="13"/>
    </row>
    <row r="4633" spans="11:23" x14ac:dyDescent="0.2">
      <c r="K4633" s="13" t="s">
        <v>334</v>
      </c>
      <c r="L4633" s="13" t="s">
        <v>623</v>
      </c>
      <c r="M4633" s="13" t="s">
        <v>530</v>
      </c>
      <c r="N4633" s="15">
        <v>0</v>
      </c>
      <c r="O4633" s="16">
        <v>87.497449635208454</v>
      </c>
      <c r="P4633" s="17">
        <v>0</v>
      </c>
      <c r="Q4633" s="17">
        <v>0</v>
      </c>
      <c r="R4633" s="13"/>
      <c r="S4633" s="13"/>
      <c r="T4633" s="13"/>
      <c r="U4633" s="13"/>
      <c r="V4633" s="13"/>
      <c r="W4633" s="13"/>
    </row>
    <row r="4634" spans="11:23" x14ac:dyDescent="0.2">
      <c r="K4634" s="13" t="s">
        <v>334</v>
      </c>
      <c r="L4634" s="13" t="s">
        <v>624</v>
      </c>
      <c r="M4634" s="13" t="s">
        <v>531</v>
      </c>
      <c r="N4634" s="15">
        <v>2</v>
      </c>
      <c r="O4634" s="16">
        <v>0</v>
      </c>
      <c r="P4634" s="17">
        <v>0</v>
      </c>
      <c r="Q4634" s="17">
        <v>0</v>
      </c>
      <c r="R4634" s="13"/>
      <c r="S4634" s="13"/>
      <c r="T4634" s="13"/>
      <c r="U4634" s="13"/>
      <c r="V4634" s="13"/>
      <c r="W4634" s="13"/>
    </row>
    <row r="4635" spans="11:23" x14ac:dyDescent="0.2">
      <c r="K4635" s="13" t="s">
        <v>334</v>
      </c>
      <c r="L4635" s="13" t="s">
        <v>607</v>
      </c>
      <c r="M4635" s="13" t="s">
        <v>431</v>
      </c>
      <c r="N4635" s="15">
        <v>14</v>
      </c>
      <c r="O4635" s="16">
        <v>0</v>
      </c>
      <c r="P4635" s="17">
        <v>0</v>
      </c>
      <c r="Q4635" s="17">
        <v>0</v>
      </c>
      <c r="R4635" s="13"/>
      <c r="S4635" s="13"/>
      <c r="T4635" s="13"/>
      <c r="U4635" s="13"/>
      <c r="V4635" s="13"/>
      <c r="W4635" s="13"/>
    </row>
    <row r="4636" spans="11:23" x14ac:dyDescent="0.2">
      <c r="K4636" s="13" t="s">
        <v>334</v>
      </c>
      <c r="L4636" s="13" t="s">
        <v>608</v>
      </c>
      <c r="M4636" s="13" t="s">
        <v>432</v>
      </c>
      <c r="N4636" s="15">
        <v>7</v>
      </c>
      <c r="O4636" s="16">
        <v>0</v>
      </c>
      <c r="P4636" s="17">
        <v>0</v>
      </c>
      <c r="Q4636" s="17">
        <v>0</v>
      </c>
      <c r="R4636" s="13"/>
      <c r="S4636" s="13"/>
      <c r="T4636" s="13"/>
      <c r="U4636" s="13"/>
      <c r="V4636" s="13"/>
      <c r="W4636" s="13"/>
    </row>
    <row r="4637" spans="11:23" x14ac:dyDescent="0.2">
      <c r="K4637" s="13" t="s">
        <v>334</v>
      </c>
      <c r="L4637" s="13" t="s">
        <v>615</v>
      </c>
      <c r="M4637" s="13" t="s">
        <v>449</v>
      </c>
      <c r="N4637" s="15">
        <v>2</v>
      </c>
      <c r="O4637" s="16">
        <v>0</v>
      </c>
      <c r="P4637" s="17">
        <v>0</v>
      </c>
      <c r="Q4637" s="17">
        <v>0</v>
      </c>
      <c r="R4637" s="13"/>
      <c r="S4637" s="13"/>
      <c r="T4637" s="13"/>
      <c r="U4637" s="13"/>
      <c r="V4637" s="13"/>
      <c r="W4637" s="13"/>
    </row>
    <row r="4638" spans="11:23" x14ac:dyDescent="0.2">
      <c r="K4638" s="13" t="s">
        <v>334</v>
      </c>
      <c r="L4638" s="13" t="s">
        <v>415</v>
      </c>
      <c r="M4638" s="13" t="s">
        <v>412</v>
      </c>
      <c r="N4638" s="15">
        <v>0</v>
      </c>
      <c r="O4638" s="16">
        <v>0</v>
      </c>
      <c r="P4638" s="17">
        <v>31.077658335089758</v>
      </c>
      <c r="Q4638" s="17">
        <v>0</v>
      </c>
      <c r="R4638" s="13"/>
      <c r="S4638" s="13"/>
      <c r="T4638" s="13"/>
      <c r="U4638" s="13"/>
      <c r="V4638" s="13"/>
      <c r="W4638" s="13"/>
    </row>
    <row r="4639" spans="11:23" x14ac:dyDescent="0.2">
      <c r="K4639" s="13" t="s">
        <v>334</v>
      </c>
      <c r="L4639" s="13" t="s">
        <v>609</v>
      </c>
      <c r="M4639" s="13" t="s">
        <v>416</v>
      </c>
      <c r="N4639" s="15">
        <v>0</v>
      </c>
      <c r="O4639" s="16">
        <v>21.211098655606122</v>
      </c>
      <c r="P4639" s="17">
        <v>0</v>
      </c>
      <c r="Q4639" s="17">
        <v>0</v>
      </c>
      <c r="R4639" s="13"/>
      <c r="S4639" s="13"/>
      <c r="T4639" s="13"/>
      <c r="U4639" s="13"/>
      <c r="V4639" s="13"/>
      <c r="W4639" s="13"/>
    </row>
    <row r="4640" spans="11:23" x14ac:dyDescent="0.2">
      <c r="K4640" s="13" t="s">
        <v>334</v>
      </c>
      <c r="L4640" s="13" t="s">
        <v>610</v>
      </c>
      <c r="M4640" s="13" t="s">
        <v>418</v>
      </c>
      <c r="N4640" s="15">
        <v>0</v>
      </c>
      <c r="O4640" s="16">
        <v>53.631837888286945</v>
      </c>
      <c r="P4640" s="17">
        <v>0</v>
      </c>
      <c r="Q4640" s="17">
        <v>0</v>
      </c>
      <c r="R4640" s="13"/>
      <c r="S4640" s="13"/>
      <c r="T4640" s="13"/>
      <c r="U4640" s="13"/>
      <c r="V4640" s="13"/>
      <c r="W4640" s="13"/>
    </row>
    <row r="4641" spans="11:23" x14ac:dyDescent="0.2">
      <c r="K4641" s="13" t="s">
        <v>334</v>
      </c>
      <c r="L4641" s="13" t="s">
        <v>421</v>
      </c>
      <c r="M4641" s="13" t="s">
        <v>443</v>
      </c>
      <c r="N4641" s="15">
        <v>17</v>
      </c>
      <c r="O4641" s="16">
        <v>0</v>
      </c>
      <c r="P4641" s="17">
        <v>0</v>
      </c>
      <c r="Q4641" s="17">
        <v>0</v>
      </c>
      <c r="R4641" s="13"/>
      <c r="S4641" s="13"/>
      <c r="T4641" s="13"/>
      <c r="U4641" s="13"/>
      <c r="V4641" s="13"/>
      <c r="W4641" s="13"/>
    </row>
    <row r="4642" spans="11:23" x14ac:dyDescent="0.2">
      <c r="K4642" s="13" t="s">
        <v>334</v>
      </c>
      <c r="L4642" s="13" t="s">
        <v>383</v>
      </c>
      <c r="M4642" s="13" t="s">
        <v>420</v>
      </c>
      <c r="N4642" s="15">
        <v>5</v>
      </c>
      <c r="O4642" s="16">
        <v>0</v>
      </c>
      <c r="P4642" s="17">
        <v>0</v>
      </c>
      <c r="Q4642" s="17">
        <v>0</v>
      </c>
      <c r="R4642" s="13"/>
      <c r="S4642" s="13"/>
      <c r="T4642" s="13"/>
      <c r="U4642" s="13"/>
      <c r="V4642" s="13"/>
      <c r="W4642" s="13"/>
    </row>
    <row r="4643" spans="11:23" x14ac:dyDescent="0.2">
      <c r="K4643" s="13" t="s">
        <v>334</v>
      </c>
      <c r="L4643" s="13" t="s">
        <v>467</v>
      </c>
      <c r="M4643" s="13" t="s">
        <v>422</v>
      </c>
      <c r="N4643" s="15">
        <v>0</v>
      </c>
      <c r="O4643" s="16">
        <v>20.131466875046524</v>
      </c>
      <c r="P4643" s="17">
        <v>0</v>
      </c>
      <c r="Q4643" s="17">
        <v>0</v>
      </c>
      <c r="R4643" s="13"/>
      <c r="S4643" s="13"/>
      <c r="T4643" s="13"/>
      <c r="U4643" s="13"/>
      <c r="V4643" s="13"/>
      <c r="W4643" s="13"/>
    </row>
    <row r="4644" spans="11:23" x14ac:dyDescent="0.2">
      <c r="K4644" s="13" t="s">
        <v>334</v>
      </c>
      <c r="L4644" s="13" t="s">
        <v>528</v>
      </c>
      <c r="M4644" s="13" t="s">
        <v>384</v>
      </c>
      <c r="N4644" s="15">
        <v>0</v>
      </c>
      <c r="O4644" s="16">
        <v>19.685201044603602</v>
      </c>
      <c r="P4644" s="17">
        <v>0</v>
      </c>
      <c r="Q4644" s="17">
        <v>0</v>
      </c>
      <c r="R4644" s="13"/>
      <c r="S4644" s="13"/>
      <c r="T4644" s="13"/>
      <c r="U4644" s="13"/>
      <c r="V4644" s="13"/>
      <c r="W4644" s="13"/>
    </row>
    <row r="4645" spans="11:23" x14ac:dyDescent="0.2">
      <c r="K4645" s="13" t="s">
        <v>334</v>
      </c>
      <c r="L4645" s="13" t="s">
        <v>613</v>
      </c>
      <c r="M4645" s="13" t="s">
        <v>444</v>
      </c>
      <c r="N4645" s="15">
        <v>0</v>
      </c>
      <c r="O4645" s="16">
        <v>137.70014655642422</v>
      </c>
      <c r="P4645" s="17">
        <v>0</v>
      </c>
      <c r="Q4645" s="17">
        <v>0</v>
      </c>
      <c r="R4645" s="13"/>
      <c r="S4645" s="13"/>
      <c r="T4645" s="13"/>
      <c r="U4645" s="13"/>
      <c r="V4645" s="13"/>
      <c r="W4645" s="13"/>
    </row>
    <row r="4646" spans="11:23" x14ac:dyDescent="0.2">
      <c r="K4646" s="13" t="s">
        <v>334</v>
      </c>
      <c r="L4646" s="13" t="s">
        <v>446</v>
      </c>
      <c r="M4646" s="13" t="s">
        <v>371</v>
      </c>
      <c r="N4646" s="15">
        <v>3</v>
      </c>
      <c r="O4646" s="16">
        <v>0</v>
      </c>
      <c r="P4646" s="17">
        <v>0</v>
      </c>
      <c r="Q4646" s="17">
        <v>0</v>
      </c>
      <c r="R4646" s="13"/>
      <c r="S4646" s="13"/>
      <c r="T4646" s="13"/>
      <c r="U4646" s="13"/>
      <c r="V4646" s="13"/>
      <c r="W4646" s="13"/>
    </row>
    <row r="4647" spans="11:23" x14ac:dyDescent="0.2">
      <c r="K4647" s="13" t="s">
        <v>334</v>
      </c>
      <c r="L4647" s="13" t="s">
        <v>612</v>
      </c>
      <c r="M4647" s="13" t="s">
        <v>425</v>
      </c>
      <c r="N4647" s="15">
        <v>1</v>
      </c>
      <c r="O4647" s="16">
        <v>0</v>
      </c>
      <c r="P4647" s="17">
        <v>0</v>
      </c>
      <c r="Q4647" s="17">
        <v>0</v>
      </c>
      <c r="R4647" s="13"/>
      <c r="S4647" s="13"/>
      <c r="T4647" s="13"/>
      <c r="U4647" s="13"/>
      <c r="V4647" s="13"/>
      <c r="W4647" s="13"/>
    </row>
    <row r="4648" spans="11:23" x14ac:dyDescent="0.2">
      <c r="K4648" s="13" t="s">
        <v>334</v>
      </c>
      <c r="L4648" s="13" t="s">
        <v>433</v>
      </c>
      <c r="M4648" s="13" t="s">
        <v>434</v>
      </c>
      <c r="N4648" s="15">
        <v>0</v>
      </c>
      <c r="O4648" s="16">
        <v>0</v>
      </c>
      <c r="P4648" s="17">
        <v>2.766149999994576</v>
      </c>
      <c r="Q4648" s="17">
        <v>0</v>
      </c>
      <c r="R4648" s="13"/>
      <c r="S4648" s="13"/>
      <c r="T4648" s="13"/>
      <c r="U4648" s="13"/>
      <c r="V4648" s="13"/>
      <c r="W4648" s="13"/>
    </row>
    <row r="4649" spans="11:23" x14ac:dyDescent="0.2">
      <c r="K4649" s="13" t="s">
        <v>336</v>
      </c>
      <c r="L4649" s="13" t="s">
        <v>435</v>
      </c>
      <c r="M4649" s="13" t="s">
        <v>364</v>
      </c>
      <c r="N4649" s="15">
        <v>0</v>
      </c>
      <c r="O4649" s="16">
        <v>143.92632257106055</v>
      </c>
      <c r="P4649" s="17">
        <v>0</v>
      </c>
      <c r="Q4649" s="17">
        <v>0</v>
      </c>
      <c r="R4649" s="13"/>
      <c r="S4649" s="13"/>
      <c r="T4649" s="13"/>
      <c r="U4649" s="13"/>
      <c r="V4649" s="13"/>
      <c r="W4649" s="13"/>
    </row>
    <row r="4650" spans="11:23" x14ac:dyDescent="0.2">
      <c r="K4650" s="13" t="s">
        <v>336</v>
      </c>
      <c r="L4650" s="13" t="s">
        <v>544</v>
      </c>
      <c r="M4650" s="13" t="s">
        <v>545</v>
      </c>
      <c r="N4650" s="15">
        <v>0</v>
      </c>
      <c r="O4650" s="16">
        <v>0</v>
      </c>
      <c r="P4650" s="17">
        <v>156.46635001019467</v>
      </c>
      <c r="Q4650" s="17">
        <v>0</v>
      </c>
      <c r="R4650" s="13"/>
      <c r="S4650" s="13"/>
      <c r="T4650" s="13"/>
      <c r="U4650" s="13"/>
      <c r="V4650" s="13"/>
      <c r="W4650" s="13"/>
    </row>
    <row r="4651" spans="11:23" x14ac:dyDescent="0.2">
      <c r="K4651" s="13" t="s">
        <v>336</v>
      </c>
      <c r="L4651" s="13" t="s">
        <v>389</v>
      </c>
      <c r="M4651" s="13" t="s">
        <v>388</v>
      </c>
      <c r="N4651" s="15">
        <v>0</v>
      </c>
      <c r="O4651" s="16">
        <v>0</v>
      </c>
      <c r="P4651" s="17">
        <v>1146.9199999315572</v>
      </c>
      <c r="Q4651" s="17">
        <v>0</v>
      </c>
      <c r="R4651" s="13"/>
      <c r="S4651" s="13"/>
      <c r="T4651" s="13"/>
      <c r="U4651" s="13"/>
      <c r="V4651" s="13"/>
      <c r="W4651" s="13"/>
    </row>
    <row r="4652" spans="11:23" x14ac:dyDescent="0.2">
      <c r="K4652" s="13" t="s">
        <v>336</v>
      </c>
      <c r="L4652" s="13" t="s">
        <v>397</v>
      </c>
      <c r="M4652" s="13" t="s">
        <v>398</v>
      </c>
      <c r="N4652" s="15">
        <v>0</v>
      </c>
      <c r="O4652" s="16">
        <v>0</v>
      </c>
      <c r="P4652" s="17">
        <v>80.373900001643477</v>
      </c>
      <c r="Q4652" s="17">
        <v>0</v>
      </c>
      <c r="R4652" s="13"/>
      <c r="S4652" s="13"/>
      <c r="T4652" s="13"/>
      <c r="U4652" s="13"/>
      <c r="V4652" s="13"/>
      <c r="W4652" s="13"/>
    </row>
    <row r="4653" spans="11:23" x14ac:dyDescent="0.2">
      <c r="K4653" s="13" t="s">
        <v>336</v>
      </c>
      <c r="L4653" s="13" t="s">
        <v>401</v>
      </c>
      <c r="M4653" s="13" t="s">
        <v>360</v>
      </c>
      <c r="N4653" s="15">
        <v>0</v>
      </c>
      <c r="O4653" s="16">
        <v>0</v>
      </c>
      <c r="P4653" s="17">
        <v>76.795749984887777</v>
      </c>
      <c r="Q4653" s="17">
        <v>0</v>
      </c>
      <c r="R4653" s="13"/>
      <c r="S4653" s="13"/>
      <c r="T4653" s="13"/>
      <c r="U4653" s="13"/>
      <c r="V4653" s="13"/>
      <c r="W4653" s="13"/>
    </row>
    <row r="4654" spans="11:23" x14ac:dyDescent="0.2">
      <c r="K4654" s="13" t="s">
        <v>336</v>
      </c>
      <c r="L4654" s="13" t="s">
        <v>402</v>
      </c>
      <c r="M4654" s="13" t="s">
        <v>403</v>
      </c>
      <c r="N4654" s="15">
        <v>0</v>
      </c>
      <c r="O4654" s="16">
        <v>0</v>
      </c>
      <c r="P4654" s="17">
        <v>188.56064999297843</v>
      </c>
      <c r="Q4654" s="17">
        <v>0</v>
      </c>
      <c r="R4654" s="13"/>
      <c r="S4654" s="13"/>
      <c r="T4654" s="13"/>
      <c r="U4654" s="13"/>
      <c r="V4654" s="13"/>
      <c r="W4654" s="13"/>
    </row>
    <row r="4655" spans="11:23" x14ac:dyDescent="0.2">
      <c r="K4655" s="13" t="s">
        <v>336</v>
      </c>
      <c r="L4655" s="13" t="s">
        <v>404</v>
      </c>
      <c r="M4655" s="13" t="s">
        <v>405</v>
      </c>
      <c r="N4655" s="15">
        <v>0</v>
      </c>
      <c r="O4655" s="16">
        <v>0</v>
      </c>
      <c r="P4655" s="17">
        <v>2.255700000087451</v>
      </c>
      <c r="Q4655" s="17">
        <v>12.922770426320332</v>
      </c>
      <c r="R4655" s="13"/>
      <c r="S4655" s="13"/>
      <c r="T4655" s="13"/>
      <c r="U4655" s="13"/>
      <c r="V4655" s="13"/>
      <c r="W4655" s="13"/>
    </row>
    <row r="4656" spans="11:23" x14ac:dyDescent="0.2">
      <c r="K4656" s="13" t="s">
        <v>336</v>
      </c>
      <c r="L4656" s="13" t="s">
        <v>406</v>
      </c>
      <c r="M4656" s="13" t="s">
        <v>361</v>
      </c>
      <c r="N4656" s="15">
        <v>0</v>
      </c>
      <c r="O4656" s="16">
        <v>0</v>
      </c>
      <c r="P4656" s="17">
        <v>156.43650001069608</v>
      </c>
      <c r="Q4656" s="17">
        <v>285.83160728463542</v>
      </c>
      <c r="R4656" s="13"/>
      <c r="S4656" s="13"/>
      <c r="T4656" s="13"/>
      <c r="U4656" s="13"/>
      <c r="V4656" s="13"/>
      <c r="W4656" s="13"/>
    </row>
    <row r="4657" spans="11:23" x14ac:dyDescent="0.2">
      <c r="K4657" s="13" t="s">
        <v>336</v>
      </c>
      <c r="L4657" s="13" t="s">
        <v>381</v>
      </c>
      <c r="M4657" s="13" t="s">
        <v>382</v>
      </c>
      <c r="N4657" s="15">
        <v>9</v>
      </c>
      <c r="O4657" s="16">
        <v>0</v>
      </c>
      <c r="P4657" s="17">
        <v>0</v>
      </c>
      <c r="Q4657" s="17">
        <v>0</v>
      </c>
      <c r="R4657" s="13"/>
      <c r="S4657" s="13"/>
      <c r="T4657" s="13"/>
      <c r="U4657" s="13"/>
      <c r="V4657" s="13"/>
      <c r="W4657" s="13"/>
    </row>
    <row r="4658" spans="11:23" x14ac:dyDescent="0.2">
      <c r="K4658" s="13" t="s">
        <v>336</v>
      </c>
      <c r="L4658" s="13" t="s">
        <v>452</v>
      </c>
      <c r="M4658" s="13" t="s">
        <v>453</v>
      </c>
      <c r="N4658" s="15">
        <v>9</v>
      </c>
      <c r="O4658" s="16">
        <v>0</v>
      </c>
      <c r="P4658" s="17">
        <v>0</v>
      </c>
      <c r="Q4658" s="17">
        <v>0</v>
      </c>
      <c r="R4658" s="13"/>
      <c r="S4658" s="13"/>
      <c r="T4658" s="13"/>
      <c r="U4658" s="13"/>
      <c r="V4658" s="13"/>
      <c r="W4658" s="13"/>
    </row>
    <row r="4659" spans="11:23" x14ac:dyDescent="0.2">
      <c r="K4659" s="13" t="s">
        <v>336</v>
      </c>
      <c r="L4659" s="13" t="s">
        <v>505</v>
      </c>
      <c r="M4659" s="13" t="s">
        <v>506</v>
      </c>
      <c r="N4659" s="15">
        <v>1</v>
      </c>
      <c r="O4659" s="16">
        <v>0</v>
      </c>
      <c r="P4659" s="17">
        <v>0</v>
      </c>
      <c r="Q4659" s="17">
        <v>0</v>
      </c>
      <c r="R4659" s="13"/>
      <c r="S4659" s="13"/>
      <c r="T4659" s="13"/>
      <c r="U4659" s="13"/>
      <c r="V4659" s="13"/>
      <c r="W4659" s="13"/>
    </row>
    <row r="4660" spans="11:23" x14ac:dyDescent="0.2">
      <c r="K4660" s="13" t="s">
        <v>336</v>
      </c>
      <c r="L4660" s="13" t="s">
        <v>413</v>
      </c>
      <c r="M4660" s="13" t="s">
        <v>428</v>
      </c>
      <c r="N4660" s="15">
        <v>1</v>
      </c>
      <c r="O4660" s="16">
        <v>0</v>
      </c>
      <c r="P4660" s="17">
        <v>0</v>
      </c>
      <c r="Q4660" s="17">
        <v>0</v>
      </c>
      <c r="R4660" s="13"/>
      <c r="S4660" s="13"/>
      <c r="T4660" s="13"/>
      <c r="U4660" s="13"/>
      <c r="V4660" s="13"/>
      <c r="W4660" s="13"/>
    </row>
    <row r="4661" spans="11:23" x14ac:dyDescent="0.2">
      <c r="K4661" s="13" t="s">
        <v>336</v>
      </c>
      <c r="L4661" s="13" t="s">
        <v>603</v>
      </c>
      <c r="M4661" s="13" t="s">
        <v>385</v>
      </c>
      <c r="N4661" s="15">
        <v>4</v>
      </c>
      <c r="O4661" s="16">
        <v>0</v>
      </c>
      <c r="P4661" s="17">
        <v>0</v>
      </c>
      <c r="Q4661" s="17">
        <v>0</v>
      </c>
      <c r="R4661" s="13"/>
      <c r="S4661" s="13"/>
      <c r="T4661" s="13"/>
      <c r="U4661" s="13"/>
      <c r="V4661" s="13"/>
      <c r="W4661" s="13"/>
    </row>
    <row r="4662" spans="11:23" x14ac:dyDescent="0.2">
      <c r="K4662" s="13" t="s">
        <v>336</v>
      </c>
      <c r="L4662" s="13" t="s">
        <v>606</v>
      </c>
      <c r="M4662" s="13" t="s">
        <v>430</v>
      </c>
      <c r="N4662" s="15">
        <v>28</v>
      </c>
      <c r="O4662" s="16">
        <v>0</v>
      </c>
      <c r="P4662" s="17">
        <v>0</v>
      </c>
      <c r="Q4662" s="17">
        <v>0</v>
      </c>
      <c r="R4662" s="13"/>
      <c r="S4662" s="13"/>
      <c r="T4662" s="13"/>
      <c r="U4662" s="13"/>
      <c r="V4662" s="13"/>
      <c r="W4662" s="13"/>
    </row>
    <row r="4663" spans="11:23" x14ac:dyDescent="0.2">
      <c r="K4663" s="13" t="s">
        <v>336</v>
      </c>
      <c r="L4663" s="13" t="s">
        <v>623</v>
      </c>
      <c r="M4663" s="13" t="s">
        <v>530</v>
      </c>
      <c r="N4663" s="15">
        <v>0</v>
      </c>
      <c r="O4663" s="16">
        <v>174.67616516501903</v>
      </c>
      <c r="P4663" s="17">
        <v>0</v>
      </c>
      <c r="Q4663" s="17">
        <v>0</v>
      </c>
      <c r="R4663" s="13"/>
      <c r="S4663" s="13"/>
      <c r="T4663" s="13"/>
      <c r="U4663" s="13"/>
      <c r="V4663" s="13"/>
      <c r="W4663" s="13"/>
    </row>
    <row r="4664" spans="11:23" x14ac:dyDescent="0.2">
      <c r="K4664" s="13" t="s">
        <v>336</v>
      </c>
      <c r="L4664" s="13" t="s">
        <v>607</v>
      </c>
      <c r="M4664" s="13" t="s">
        <v>431</v>
      </c>
      <c r="N4664" s="15">
        <v>24</v>
      </c>
      <c r="O4664" s="16">
        <v>0</v>
      </c>
      <c r="P4664" s="17">
        <v>0</v>
      </c>
      <c r="Q4664" s="17">
        <v>0</v>
      </c>
      <c r="R4664" s="13"/>
      <c r="S4664" s="13"/>
      <c r="T4664" s="13"/>
      <c r="U4664" s="13"/>
      <c r="V4664" s="13"/>
      <c r="W4664" s="13"/>
    </row>
    <row r="4665" spans="11:23" x14ac:dyDescent="0.2">
      <c r="K4665" s="13" t="s">
        <v>336</v>
      </c>
      <c r="L4665" s="13" t="s">
        <v>615</v>
      </c>
      <c r="M4665" s="13" t="s">
        <v>449</v>
      </c>
      <c r="N4665" s="15">
        <v>1</v>
      </c>
      <c r="O4665" s="16">
        <v>0</v>
      </c>
      <c r="P4665" s="17">
        <v>0</v>
      </c>
      <c r="Q4665" s="17">
        <v>0</v>
      </c>
      <c r="R4665" s="13"/>
      <c r="S4665" s="13"/>
      <c r="T4665" s="13"/>
      <c r="U4665" s="13"/>
      <c r="V4665" s="13"/>
      <c r="W4665" s="13"/>
    </row>
    <row r="4666" spans="11:23" x14ac:dyDescent="0.2">
      <c r="K4666" s="13" t="s">
        <v>336</v>
      </c>
      <c r="L4666" s="13" t="s">
        <v>415</v>
      </c>
      <c r="M4666" s="13" t="s">
        <v>412</v>
      </c>
      <c r="N4666" s="15">
        <v>0</v>
      </c>
      <c r="O4666" s="16">
        <v>0</v>
      </c>
      <c r="P4666" s="17">
        <v>10.355700002245209</v>
      </c>
      <c r="Q4666" s="17">
        <v>0</v>
      </c>
      <c r="R4666" s="13"/>
      <c r="S4666" s="13"/>
      <c r="T4666" s="13"/>
      <c r="U4666" s="13"/>
      <c r="V4666" s="13"/>
      <c r="W4666" s="13"/>
    </row>
    <row r="4667" spans="11:23" x14ac:dyDescent="0.2">
      <c r="K4667" s="13" t="s">
        <v>336</v>
      </c>
      <c r="L4667" s="13" t="s">
        <v>419</v>
      </c>
      <c r="M4667" s="13" t="s">
        <v>442</v>
      </c>
      <c r="N4667" s="15">
        <v>0</v>
      </c>
      <c r="O4667" s="16">
        <v>54.315200678468415</v>
      </c>
      <c r="P4667" s="17">
        <v>0</v>
      </c>
      <c r="Q4667" s="17">
        <v>0</v>
      </c>
      <c r="R4667" s="13"/>
      <c r="S4667" s="13"/>
      <c r="T4667" s="13"/>
      <c r="U4667" s="13"/>
      <c r="V4667" s="13"/>
      <c r="W4667" s="13"/>
    </row>
    <row r="4668" spans="11:23" x14ac:dyDescent="0.2">
      <c r="K4668" s="13" t="s">
        <v>336</v>
      </c>
      <c r="L4668" s="13" t="s">
        <v>609</v>
      </c>
      <c r="M4668" s="13" t="s">
        <v>416</v>
      </c>
      <c r="N4668" s="15">
        <v>0</v>
      </c>
      <c r="O4668" s="16">
        <v>19.23903441733767</v>
      </c>
      <c r="P4668" s="17">
        <v>0</v>
      </c>
      <c r="Q4668" s="17">
        <v>0</v>
      </c>
      <c r="R4668" s="13"/>
      <c r="S4668" s="13"/>
      <c r="T4668" s="13"/>
      <c r="U4668" s="13"/>
      <c r="V4668" s="13"/>
      <c r="W4668" s="13"/>
    </row>
    <row r="4669" spans="11:23" x14ac:dyDescent="0.2">
      <c r="K4669" s="13" t="s">
        <v>336</v>
      </c>
      <c r="L4669" s="13" t="s">
        <v>421</v>
      </c>
      <c r="M4669" s="13" t="s">
        <v>443</v>
      </c>
      <c r="N4669" s="15">
        <v>4</v>
      </c>
      <c r="O4669" s="16">
        <v>0</v>
      </c>
      <c r="P4669" s="17">
        <v>0</v>
      </c>
      <c r="Q4669" s="17">
        <v>0</v>
      </c>
      <c r="R4669" s="13"/>
      <c r="S4669" s="13"/>
      <c r="T4669" s="13"/>
      <c r="U4669" s="13"/>
      <c r="V4669" s="13"/>
      <c r="W4669" s="13"/>
    </row>
    <row r="4670" spans="11:23" x14ac:dyDescent="0.2">
      <c r="K4670" s="13" t="s">
        <v>338</v>
      </c>
      <c r="L4670" s="13" t="s">
        <v>435</v>
      </c>
      <c r="M4670" s="13" t="s">
        <v>364</v>
      </c>
      <c r="N4670" s="15">
        <v>0</v>
      </c>
      <c r="O4670" s="16">
        <v>0</v>
      </c>
      <c r="P4670" s="17">
        <v>137.58820000240993</v>
      </c>
      <c r="Q4670" s="17">
        <v>0</v>
      </c>
      <c r="R4670" s="13"/>
      <c r="S4670" s="13"/>
      <c r="T4670" s="13"/>
      <c r="U4670" s="13"/>
      <c r="V4670" s="13"/>
      <c r="W4670" s="13"/>
    </row>
    <row r="4671" spans="11:23" x14ac:dyDescent="0.2">
      <c r="K4671" s="13" t="s">
        <v>338</v>
      </c>
      <c r="L4671" s="13" t="s">
        <v>389</v>
      </c>
      <c r="M4671" s="13" t="s">
        <v>388</v>
      </c>
      <c r="N4671" s="15">
        <v>0</v>
      </c>
      <c r="O4671" s="16">
        <v>0</v>
      </c>
      <c r="P4671" s="17">
        <v>102.71960982777964</v>
      </c>
      <c r="Q4671" s="17">
        <v>0</v>
      </c>
      <c r="R4671" s="13"/>
      <c r="S4671" s="13"/>
      <c r="T4671" s="13"/>
      <c r="U4671" s="13"/>
      <c r="V4671" s="13"/>
      <c r="W4671" s="13"/>
    </row>
    <row r="4672" spans="11:23" x14ac:dyDescent="0.2">
      <c r="K4672" s="13" t="s">
        <v>338</v>
      </c>
      <c r="L4672" s="13" t="s">
        <v>397</v>
      </c>
      <c r="M4672" s="13" t="s">
        <v>398</v>
      </c>
      <c r="N4672" s="15">
        <v>0</v>
      </c>
      <c r="O4672" s="16">
        <v>0</v>
      </c>
      <c r="P4672" s="17">
        <v>93.904799996218458</v>
      </c>
      <c r="Q4672" s="17">
        <v>0</v>
      </c>
      <c r="R4672" s="13"/>
      <c r="S4672" s="13"/>
      <c r="T4672" s="13"/>
      <c r="U4672" s="13"/>
      <c r="V4672" s="13"/>
      <c r="W4672" s="13"/>
    </row>
    <row r="4673" spans="11:23" x14ac:dyDescent="0.2">
      <c r="K4673" s="13" t="s">
        <v>338</v>
      </c>
      <c r="L4673" s="13" t="s">
        <v>399</v>
      </c>
      <c r="M4673" s="13" t="s">
        <v>400</v>
      </c>
      <c r="N4673" s="15">
        <v>0</v>
      </c>
      <c r="O4673" s="16">
        <v>0</v>
      </c>
      <c r="P4673" s="17">
        <v>34.627499987757766</v>
      </c>
      <c r="Q4673" s="17">
        <v>0</v>
      </c>
      <c r="R4673" s="13"/>
      <c r="S4673" s="13"/>
      <c r="T4673" s="13"/>
      <c r="U4673" s="13"/>
      <c r="V4673" s="13"/>
      <c r="W4673" s="13"/>
    </row>
    <row r="4674" spans="11:23" x14ac:dyDescent="0.2">
      <c r="K4674" s="13" t="s">
        <v>338</v>
      </c>
      <c r="L4674" s="13" t="s">
        <v>401</v>
      </c>
      <c r="M4674" s="13" t="s">
        <v>360</v>
      </c>
      <c r="N4674" s="15">
        <v>0</v>
      </c>
      <c r="O4674" s="16">
        <v>0</v>
      </c>
      <c r="P4674" s="17">
        <v>124.21815000270611</v>
      </c>
      <c r="Q4674" s="17">
        <v>0</v>
      </c>
      <c r="R4674" s="13"/>
      <c r="S4674" s="13"/>
      <c r="T4674" s="13"/>
      <c r="U4674" s="13"/>
      <c r="V4674" s="13"/>
      <c r="W4674" s="13"/>
    </row>
    <row r="4675" spans="11:23" x14ac:dyDescent="0.2">
      <c r="K4675" s="13" t="s">
        <v>338</v>
      </c>
      <c r="L4675" s="13" t="s">
        <v>402</v>
      </c>
      <c r="M4675" s="13" t="s">
        <v>403</v>
      </c>
      <c r="N4675" s="15">
        <v>0</v>
      </c>
      <c r="O4675" s="16">
        <v>0</v>
      </c>
      <c r="P4675" s="17">
        <v>1145.7505999643145</v>
      </c>
      <c r="Q4675" s="17">
        <v>0</v>
      </c>
      <c r="R4675" s="13"/>
      <c r="S4675" s="13"/>
      <c r="T4675" s="13"/>
      <c r="U4675" s="13"/>
      <c r="V4675" s="13"/>
      <c r="W4675" s="13"/>
    </row>
    <row r="4676" spans="11:23" x14ac:dyDescent="0.2">
      <c r="K4676" s="13" t="s">
        <v>338</v>
      </c>
      <c r="L4676" s="13" t="s">
        <v>404</v>
      </c>
      <c r="M4676" s="13" t="s">
        <v>405</v>
      </c>
      <c r="N4676" s="15">
        <v>0</v>
      </c>
      <c r="O4676" s="16">
        <v>0</v>
      </c>
      <c r="P4676" s="17">
        <v>140.05660002517726</v>
      </c>
      <c r="Q4676" s="17">
        <v>140.05660002517726</v>
      </c>
      <c r="R4676" s="13"/>
      <c r="S4676" s="13"/>
      <c r="T4676" s="13"/>
      <c r="U4676" s="13"/>
      <c r="V4676" s="13"/>
      <c r="W4676" s="13"/>
    </row>
    <row r="4677" spans="11:23" x14ac:dyDescent="0.2">
      <c r="K4677" s="13" t="s">
        <v>338</v>
      </c>
      <c r="L4677" s="13" t="s">
        <v>381</v>
      </c>
      <c r="M4677" s="13" t="s">
        <v>382</v>
      </c>
      <c r="N4677" s="15">
        <v>13</v>
      </c>
      <c r="O4677" s="16">
        <v>0</v>
      </c>
      <c r="P4677" s="17">
        <v>0</v>
      </c>
      <c r="Q4677" s="17">
        <v>0</v>
      </c>
      <c r="R4677" s="13"/>
      <c r="S4677" s="13"/>
      <c r="T4677" s="13"/>
      <c r="U4677" s="13"/>
      <c r="V4677" s="13"/>
      <c r="W4677" s="13"/>
    </row>
    <row r="4678" spans="11:23" x14ac:dyDescent="0.2">
      <c r="K4678" s="13" t="s">
        <v>338</v>
      </c>
      <c r="L4678" s="13" t="s">
        <v>415</v>
      </c>
      <c r="M4678" s="13" t="s">
        <v>412</v>
      </c>
      <c r="N4678" s="15">
        <v>0</v>
      </c>
      <c r="O4678" s="16">
        <v>0</v>
      </c>
      <c r="P4678" s="17">
        <v>3.2944000004377676</v>
      </c>
      <c r="Q4678" s="17">
        <v>0</v>
      </c>
      <c r="R4678" s="13"/>
      <c r="S4678" s="13"/>
      <c r="T4678" s="13"/>
      <c r="U4678" s="13"/>
      <c r="V4678" s="13"/>
      <c r="W4678" s="13"/>
    </row>
    <row r="4679" spans="11:23" x14ac:dyDescent="0.2">
      <c r="K4679" s="13" t="s">
        <v>338</v>
      </c>
      <c r="L4679" s="13" t="s">
        <v>609</v>
      </c>
      <c r="M4679" s="13" t="s">
        <v>416</v>
      </c>
      <c r="N4679" s="15">
        <v>0</v>
      </c>
      <c r="O4679" s="16">
        <v>45.529885829983407</v>
      </c>
      <c r="P4679" s="17">
        <v>0</v>
      </c>
      <c r="Q4679" s="17">
        <v>0</v>
      </c>
      <c r="R4679" s="13"/>
      <c r="S4679" s="13"/>
      <c r="T4679" s="13"/>
      <c r="U4679" s="13"/>
      <c r="V4679" s="13"/>
      <c r="W4679" s="13"/>
    </row>
    <row r="4680" spans="11:23" x14ac:dyDescent="0.2">
      <c r="K4680" s="13" t="s">
        <v>340</v>
      </c>
      <c r="L4680" s="13" t="s">
        <v>387</v>
      </c>
      <c r="M4680" s="13" t="s">
        <v>386</v>
      </c>
      <c r="N4680" s="15">
        <v>0</v>
      </c>
      <c r="O4680" s="16">
        <v>0</v>
      </c>
      <c r="P4680" s="17">
        <v>34.165449994549682</v>
      </c>
      <c r="Q4680" s="17">
        <v>0</v>
      </c>
      <c r="R4680" s="13"/>
      <c r="S4680" s="13"/>
      <c r="T4680" s="13"/>
      <c r="U4680" s="13"/>
      <c r="V4680" s="13"/>
      <c r="W4680" s="13"/>
    </row>
    <row r="4681" spans="11:23" x14ac:dyDescent="0.2">
      <c r="K4681" s="13" t="s">
        <v>340</v>
      </c>
      <c r="L4681" s="13" t="s">
        <v>389</v>
      </c>
      <c r="M4681" s="13" t="s">
        <v>388</v>
      </c>
      <c r="N4681" s="15">
        <v>0</v>
      </c>
      <c r="O4681" s="16">
        <v>0</v>
      </c>
      <c r="P4681" s="17">
        <v>214.27027562279267</v>
      </c>
      <c r="Q4681" s="17">
        <v>0</v>
      </c>
      <c r="R4681" s="13"/>
      <c r="S4681" s="13"/>
      <c r="T4681" s="13"/>
      <c r="U4681" s="13"/>
      <c r="V4681" s="13"/>
      <c r="W4681" s="13"/>
    </row>
    <row r="4682" spans="11:23" x14ac:dyDescent="0.2">
      <c r="K4682" s="13" t="s">
        <v>340</v>
      </c>
      <c r="L4682" s="13" t="s">
        <v>391</v>
      </c>
      <c r="M4682" s="13" t="s">
        <v>358</v>
      </c>
      <c r="N4682" s="15">
        <v>0</v>
      </c>
      <c r="O4682" s="16">
        <v>0</v>
      </c>
      <c r="P4682" s="17">
        <v>22.944324365935721</v>
      </c>
      <c r="Q4682" s="17">
        <v>0</v>
      </c>
      <c r="R4682" s="13"/>
      <c r="S4682" s="13"/>
      <c r="T4682" s="13"/>
      <c r="U4682" s="13"/>
      <c r="V4682" s="13"/>
      <c r="W4682" s="13"/>
    </row>
    <row r="4683" spans="11:23" x14ac:dyDescent="0.2">
      <c r="K4683" s="13" t="s">
        <v>340</v>
      </c>
      <c r="L4683" s="13" t="s">
        <v>392</v>
      </c>
      <c r="M4683" s="13" t="s">
        <v>437</v>
      </c>
      <c r="N4683" s="15">
        <v>0</v>
      </c>
      <c r="O4683" s="16">
        <v>0</v>
      </c>
      <c r="P4683" s="17">
        <v>22.318099990438757</v>
      </c>
      <c r="Q4683" s="17">
        <v>0</v>
      </c>
      <c r="R4683" s="13"/>
      <c r="S4683" s="13"/>
      <c r="T4683" s="13"/>
      <c r="U4683" s="13"/>
      <c r="V4683" s="13"/>
      <c r="W4683" s="13"/>
    </row>
    <row r="4684" spans="11:23" x14ac:dyDescent="0.2">
      <c r="K4684" s="13" t="s">
        <v>340</v>
      </c>
      <c r="L4684" s="13" t="s">
        <v>486</v>
      </c>
      <c r="M4684" s="13" t="s">
        <v>439</v>
      </c>
      <c r="N4684" s="15">
        <v>0</v>
      </c>
      <c r="O4684" s="16">
        <v>0</v>
      </c>
      <c r="P4684" s="17">
        <v>25.055350000990181</v>
      </c>
      <c r="Q4684" s="17">
        <v>0</v>
      </c>
      <c r="R4684" s="13"/>
      <c r="S4684" s="13"/>
      <c r="T4684" s="13"/>
      <c r="U4684" s="13"/>
      <c r="V4684" s="13"/>
      <c r="W4684" s="13"/>
    </row>
    <row r="4685" spans="11:23" x14ac:dyDescent="0.2">
      <c r="K4685" s="13" t="s">
        <v>340</v>
      </c>
      <c r="L4685" s="13" t="s">
        <v>394</v>
      </c>
      <c r="M4685" s="13" t="s">
        <v>359</v>
      </c>
      <c r="N4685" s="15">
        <v>0</v>
      </c>
      <c r="O4685" s="16">
        <v>0</v>
      </c>
      <c r="P4685" s="17">
        <v>0.64079999947645705</v>
      </c>
      <c r="Q4685" s="17">
        <v>0</v>
      </c>
      <c r="R4685" s="13"/>
      <c r="S4685" s="13"/>
      <c r="T4685" s="13"/>
      <c r="U4685" s="13"/>
      <c r="V4685" s="13"/>
      <c r="W4685" s="13"/>
    </row>
    <row r="4686" spans="11:23" x14ac:dyDescent="0.2">
      <c r="K4686" s="13" t="s">
        <v>340</v>
      </c>
      <c r="L4686" s="13" t="s">
        <v>399</v>
      </c>
      <c r="M4686" s="13" t="s">
        <v>400</v>
      </c>
      <c r="N4686" s="15">
        <v>0</v>
      </c>
      <c r="O4686" s="16">
        <v>0</v>
      </c>
      <c r="P4686" s="17">
        <v>85.578050010966194</v>
      </c>
      <c r="Q4686" s="17">
        <v>0</v>
      </c>
      <c r="R4686" s="13"/>
      <c r="S4686" s="13"/>
      <c r="T4686" s="13"/>
      <c r="U4686" s="13"/>
      <c r="V4686" s="13"/>
      <c r="W4686" s="13"/>
    </row>
    <row r="4687" spans="11:23" x14ac:dyDescent="0.2">
      <c r="K4687" s="13" t="s">
        <v>340</v>
      </c>
      <c r="L4687" s="13" t="s">
        <v>402</v>
      </c>
      <c r="M4687" s="13" t="s">
        <v>403</v>
      </c>
      <c r="N4687" s="15">
        <v>0</v>
      </c>
      <c r="O4687" s="16">
        <v>0</v>
      </c>
      <c r="P4687" s="17">
        <v>418.20649999363781</v>
      </c>
      <c r="Q4687" s="17">
        <v>0</v>
      </c>
      <c r="R4687" s="13"/>
      <c r="S4687" s="13"/>
      <c r="T4687" s="13"/>
      <c r="U4687" s="13"/>
      <c r="V4687" s="13"/>
      <c r="W4687" s="13"/>
    </row>
    <row r="4688" spans="11:23" x14ac:dyDescent="0.2">
      <c r="K4688" s="13" t="s">
        <v>340</v>
      </c>
      <c r="L4688" s="13" t="s">
        <v>404</v>
      </c>
      <c r="M4688" s="13" t="s">
        <v>405</v>
      </c>
      <c r="N4688" s="15">
        <v>0</v>
      </c>
      <c r="O4688" s="16">
        <v>0</v>
      </c>
      <c r="P4688" s="17">
        <v>52.919300008476611</v>
      </c>
      <c r="Q4688" s="17">
        <v>225.9161277350043</v>
      </c>
      <c r="R4688" s="13"/>
      <c r="S4688" s="13"/>
      <c r="T4688" s="13"/>
      <c r="U4688" s="13"/>
      <c r="V4688" s="13"/>
      <c r="W4688" s="13"/>
    </row>
    <row r="4689" spans="11:23" x14ac:dyDescent="0.2">
      <c r="K4689" s="13" t="s">
        <v>340</v>
      </c>
      <c r="L4689" s="13" t="s">
        <v>406</v>
      </c>
      <c r="M4689" s="13" t="s">
        <v>361</v>
      </c>
      <c r="N4689" s="15">
        <v>0</v>
      </c>
      <c r="O4689" s="16">
        <v>0</v>
      </c>
      <c r="P4689" s="17">
        <v>9.0338000072859472</v>
      </c>
      <c r="Q4689" s="17">
        <v>25.485251325539153</v>
      </c>
      <c r="R4689" s="13"/>
      <c r="S4689" s="13"/>
      <c r="T4689" s="13"/>
      <c r="U4689" s="13"/>
      <c r="V4689" s="13"/>
      <c r="W4689" s="13"/>
    </row>
    <row r="4690" spans="11:23" x14ac:dyDescent="0.2">
      <c r="K4690" s="13" t="s">
        <v>340</v>
      </c>
      <c r="L4690" s="13" t="s">
        <v>381</v>
      </c>
      <c r="M4690" s="13" t="s">
        <v>382</v>
      </c>
      <c r="N4690" s="15">
        <v>4</v>
      </c>
      <c r="O4690" s="16">
        <v>0</v>
      </c>
      <c r="P4690" s="17">
        <v>0</v>
      </c>
      <c r="Q4690" s="17">
        <v>0</v>
      </c>
      <c r="R4690" s="13"/>
      <c r="S4690" s="13"/>
      <c r="T4690" s="13"/>
      <c r="U4690" s="13"/>
      <c r="V4690" s="13"/>
      <c r="W4690" s="13"/>
    </row>
    <row r="4691" spans="11:23" x14ac:dyDescent="0.2">
      <c r="K4691" s="13" t="s">
        <v>340</v>
      </c>
      <c r="L4691" s="13" t="s">
        <v>411</v>
      </c>
      <c r="M4691" s="13" t="s">
        <v>362</v>
      </c>
      <c r="N4691" s="15">
        <v>0</v>
      </c>
      <c r="O4691" s="16">
        <v>0</v>
      </c>
      <c r="P4691" s="17">
        <v>29.644399996234011</v>
      </c>
      <c r="Q4691" s="17">
        <v>0</v>
      </c>
      <c r="R4691" s="13"/>
      <c r="S4691" s="13"/>
      <c r="T4691" s="13"/>
      <c r="U4691" s="13"/>
      <c r="V4691" s="13"/>
      <c r="W4691" s="13"/>
    </row>
    <row r="4692" spans="11:23" x14ac:dyDescent="0.2">
      <c r="K4692" s="13" t="s">
        <v>340</v>
      </c>
      <c r="L4692" s="13" t="s">
        <v>411</v>
      </c>
      <c r="M4692" s="13" t="s">
        <v>362</v>
      </c>
      <c r="N4692" s="15">
        <v>0</v>
      </c>
      <c r="O4692" s="16">
        <v>15.221894689830089</v>
      </c>
      <c r="P4692" s="17">
        <v>0</v>
      </c>
      <c r="Q4692" s="17">
        <v>0</v>
      </c>
      <c r="R4692" s="13"/>
      <c r="S4692" s="13"/>
      <c r="T4692" s="13"/>
      <c r="U4692" s="13"/>
      <c r="V4692" s="13"/>
      <c r="W4692" s="13"/>
    </row>
    <row r="4693" spans="11:23" x14ac:dyDescent="0.2">
      <c r="K4693" s="13" t="s">
        <v>340</v>
      </c>
      <c r="L4693" s="13" t="s">
        <v>606</v>
      </c>
      <c r="M4693" s="13" t="s">
        <v>430</v>
      </c>
      <c r="N4693" s="15">
        <v>4</v>
      </c>
      <c r="O4693" s="16">
        <v>0</v>
      </c>
      <c r="P4693" s="17">
        <v>0</v>
      </c>
      <c r="Q4693" s="17">
        <v>0</v>
      </c>
      <c r="R4693" s="13"/>
      <c r="S4693" s="13"/>
      <c r="T4693" s="13"/>
      <c r="U4693" s="13"/>
      <c r="V4693" s="13"/>
      <c r="W4693" s="13"/>
    </row>
    <row r="4694" spans="11:23" x14ac:dyDescent="0.2">
      <c r="K4694" s="13" t="s">
        <v>340</v>
      </c>
      <c r="L4694" s="13" t="s">
        <v>607</v>
      </c>
      <c r="M4694" s="13" t="s">
        <v>431</v>
      </c>
      <c r="N4694" s="15">
        <v>2</v>
      </c>
      <c r="O4694" s="16">
        <v>0</v>
      </c>
      <c r="P4694" s="17">
        <v>0</v>
      </c>
      <c r="Q4694" s="17">
        <v>0</v>
      </c>
      <c r="R4694" s="13"/>
      <c r="S4694" s="13"/>
      <c r="T4694" s="13"/>
      <c r="U4694" s="13"/>
      <c r="V4694" s="13"/>
      <c r="W4694" s="13"/>
    </row>
    <row r="4695" spans="11:23" x14ac:dyDescent="0.2">
      <c r="K4695" s="13" t="s">
        <v>340</v>
      </c>
      <c r="L4695" s="13" t="s">
        <v>608</v>
      </c>
      <c r="M4695" s="13" t="s">
        <v>432</v>
      </c>
      <c r="N4695" s="15">
        <v>1</v>
      </c>
      <c r="O4695" s="16">
        <v>0</v>
      </c>
      <c r="P4695" s="17">
        <v>0</v>
      </c>
      <c r="Q4695" s="17">
        <v>0</v>
      </c>
      <c r="R4695" s="13"/>
      <c r="S4695" s="13"/>
      <c r="T4695" s="13"/>
      <c r="U4695" s="13"/>
      <c r="V4695" s="13"/>
      <c r="W4695" s="13"/>
    </row>
    <row r="4696" spans="11:23" x14ac:dyDescent="0.2">
      <c r="K4696" s="13" t="s">
        <v>340</v>
      </c>
      <c r="L4696" s="13" t="s">
        <v>419</v>
      </c>
      <c r="M4696" s="13" t="s">
        <v>442</v>
      </c>
      <c r="N4696" s="15">
        <v>0</v>
      </c>
      <c r="O4696" s="16">
        <v>15.159517065278369</v>
      </c>
      <c r="P4696" s="17">
        <v>0</v>
      </c>
      <c r="Q4696" s="17">
        <v>0</v>
      </c>
      <c r="R4696" s="13"/>
      <c r="S4696" s="13"/>
      <c r="T4696" s="13"/>
      <c r="U4696" s="13"/>
      <c r="V4696" s="13"/>
      <c r="W4696" s="13"/>
    </row>
    <row r="4697" spans="11:23" x14ac:dyDescent="0.2">
      <c r="K4697" s="13" t="s">
        <v>340</v>
      </c>
      <c r="L4697" s="13" t="s">
        <v>421</v>
      </c>
      <c r="M4697" s="13" t="s">
        <v>443</v>
      </c>
      <c r="N4697" s="15">
        <v>3</v>
      </c>
      <c r="O4697" s="16">
        <v>0</v>
      </c>
      <c r="P4697" s="17">
        <v>0</v>
      </c>
      <c r="Q4697" s="17">
        <v>0</v>
      </c>
      <c r="R4697" s="13"/>
      <c r="S4697" s="13"/>
      <c r="T4697" s="13"/>
      <c r="U4697" s="13"/>
      <c r="V4697" s="13"/>
      <c r="W4697" s="13"/>
    </row>
    <row r="4698" spans="11:23" x14ac:dyDescent="0.2">
      <c r="K4698" s="13" t="s">
        <v>340</v>
      </c>
      <c r="L4698" s="13" t="s">
        <v>613</v>
      </c>
      <c r="M4698" s="13" t="s">
        <v>444</v>
      </c>
      <c r="N4698" s="15">
        <v>0</v>
      </c>
      <c r="O4698" s="16">
        <v>19.922659438032198</v>
      </c>
      <c r="P4698" s="17">
        <v>0</v>
      </c>
      <c r="Q4698" s="17">
        <v>0</v>
      </c>
      <c r="R4698" s="13"/>
      <c r="S4698" s="13"/>
      <c r="T4698" s="13"/>
      <c r="U4698" s="13"/>
      <c r="V4698" s="13"/>
      <c r="W4698" s="13"/>
    </row>
    <row r="4699" spans="11:23" x14ac:dyDescent="0.2">
      <c r="K4699" s="13" t="s">
        <v>342</v>
      </c>
      <c r="L4699" s="13" t="s">
        <v>435</v>
      </c>
      <c r="M4699" s="13" t="s">
        <v>364</v>
      </c>
      <c r="N4699" s="15">
        <v>0</v>
      </c>
      <c r="O4699" s="16">
        <v>0</v>
      </c>
      <c r="P4699" s="17">
        <v>24.181799996817066</v>
      </c>
      <c r="Q4699" s="17">
        <v>0</v>
      </c>
      <c r="R4699" s="13"/>
      <c r="S4699" s="13"/>
      <c r="T4699" s="13"/>
      <c r="U4699" s="13"/>
      <c r="V4699" s="13"/>
      <c r="W4699" s="13"/>
    </row>
    <row r="4700" spans="11:23" x14ac:dyDescent="0.2">
      <c r="K4700" s="13" t="s">
        <v>342</v>
      </c>
      <c r="L4700" s="13" t="s">
        <v>435</v>
      </c>
      <c r="M4700" s="13" t="s">
        <v>364</v>
      </c>
      <c r="N4700" s="15">
        <v>0</v>
      </c>
      <c r="O4700" s="16">
        <v>56.096650343597332</v>
      </c>
      <c r="P4700" s="17">
        <v>0</v>
      </c>
      <c r="Q4700" s="17">
        <v>0</v>
      </c>
      <c r="R4700" s="13"/>
      <c r="S4700" s="13"/>
      <c r="T4700" s="13"/>
      <c r="U4700" s="13"/>
      <c r="V4700" s="13"/>
      <c r="W4700" s="13"/>
    </row>
    <row r="4701" spans="11:23" x14ac:dyDescent="0.2">
      <c r="K4701" s="13" t="s">
        <v>342</v>
      </c>
      <c r="L4701" s="13" t="s">
        <v>387</v>
      </c>
      <c r="M4701" s="13" t="s">
        <v>386</v>
      </c>
      <c r="N4701" s="15">
        <v>0</v>
      </c>
      <c r="O4701" s="16">
        <v>0</v>
      </c>
      <c r="P4701" s="17">
        <v>133.55369999683697</v>
      </c>
      <c r="Q4701" s="17">
        <v>0</v>
      </c>
      <c r="R4701" s="13"/>
      <c r="S4701" s="13"/>
      <c r="T4701" s="13"/>
      <c r="U4701" s="13"/>
      <c r="V4701" s="13"/>
      <c r="W4701" s="13"/>
    </row>
    <row r="4702" spans="11:23" x14ac:dyDescent="0.2">
      <c r="K4702" s="13" t="s">
        <v>342</v>
      </c>
      <c r="L4702" s="13" t="s">
        <v>389</v>
      </c>
      <c r="M4702" s="13" t="s">
        <v>388</v>
      </c>
      <c r="N4702" s="15">
        <v>0</v>
      </c>
      <c r="O4702" s="16">
        <v>0</v>
      </c>
      <c r="P4702" s="17">
        <v>158.09214999668558</v>
      </c>
      <c r="Q4702" s="17">
        <v>0</v>
      </c>
      <c r="R4702" s="13"/>
      <c r="S4702" s="13"/>
      <c r="T4702" s="13"/>
      <c r="U4702" s="13"/>
      <c r="V4702" s="13"/>
      <c r="W4702" s="13"/>
    </row>
    <row r="4703" spans="11:23" x14ac:dyDescent="0.2">
      <c r="K4703" s="13" t="s">
        <v>342</v>
      </c>
      <c r="L4703" s="13" t="s">
        <v>512</v>
      </c>
      <c r="M4703" s="13" t="s">
        <v>466</v>
      </c>
      <c r="N4703" s="15">
        <v>0</v>
      </c>
      <c r="O4703" s="16">
        <v>0</v>
      </c>
      <c r="P4703" s="17">
        <v>295.14995000658848</v>
      </c>
      <c r="Q4703" s="17">
        <v>0</v>
      </c>
      <c r="R4703" s="13"/>
      <c r="S4703" s="13"/>
      <c r="T4703" s="13"/>
      <c r="U4703" s="13"/>
      <c r="V4703" s="13"/>
      <c r="W4703" s="13"/>
    </row>
    <row r="4704" spans="11:23" x14ac:dyDescent="0.2">
      <c r="K4704" s="13" t="s">
        <v>342</v>
      </c>
      <c r="L4704" s="13" t="s">
        <v>532</v>
      </c>
      <c r="M4704" s="13" t="s">
        <v>620</v>
      </c>
      <c r="N4704" s="15">
        <v>0</v>
      </c>
      <c r="O4704" s="16">
        <v>0</v>
      </c>
      <c r="P4704" s="17">
        <v>55.680150000580618</v>
      </c>
      <c r="Q4704" s="17">
        <v>0</v>
      </c>
      <c r="R4704" s="13"/>
      <c r="S4704" s="13"/>
      <c r="T4704" s="13"/>
      <c r="U4704" s="13"/>
      <c r="V4704" s="13"/>
      <c r="W4704" s="13"/>
    </row>
    <row r="4705" spans="11:23" x14ac:dyDescent="0.2">
      <c r="K4705" s="13" t="s">
        <v>342</v>
      </c>
      <c r="L4705" s="13" t="s">
        <v>394</v>
      </c>
      <c r="M4705" s="13" t="s">
        <v>359</v>
      </c>
      <c r="N4705" s="15">
        <v>0</v>
      </c>
      <c r="O4705" s="16">
        <v>0</v>
      </c>
      <c r="P4705" s="17">
        <v>5.6400500001869389</v>
      </c>
      <c r="Q4705" s="17">
        <v>0</v>
      </c>
      <c r="R4705" s="13"/>
      <c r="S4705" s="13"/>
      <c r="T4705" s="13"/>
      <c r="U4705" s="13"/>
      <c r="V4705" s="13"/>
      <c r="W4705" s="13"/>
    </row>
    <row r="4706" spans="11:23" x14ac:dyDescent="0.2">
      <c r="K4706" s="13" t="s">
        <v>342</v>
      </c>
      <c r="L4706" s="13" t="s">
        <v>399</v>
      </c>
      <c r="M4706" s="13" t="s">
        <v>400</v>
      </c>
      <c r="N4706" s="15">
        <v>0</v>
      </c>
      <c r="O4706" s="16">
        <v>0</v>
      </c>
      <c r="P4706" s="17">
        <v>30.74159999992672</v>
      </c>
      <c r="Q4706" s="17">
        <v>0</v>
      </c>
      <c r="R4706" s="13"/>
      <c r="S4706" s="13"/>
      <c r="T4706" s="13"/>
      <c r="U4706" s="13"/>
      <c r="V4706" s="13"/>
      <c r="W4706" s="13"/>
    </row>
    <row r="4707" spans="11:23" x14ac:dyDescent="0.2">
      <c r="K4707" s="13" t="s">
        <v>342</v>
      </c>
      <c r="L4707" s="13" t="s">
        <v>401</v>
      </c>
      <c r="M4707" s="13" t="s">
        <v>360</v>
      </c>
      <c r="N4707" s="15">
        <v>0</v>
      </c>
      <c r="O4707" s="16">
        <v>0</v>
      </c>
      <c r="P4707" s="17">
        <v>236.47589997860746</v>
      </c>
      <c r="Q4707" s="17">
        <v>0</v>
      </c>
      <c r="R4707" s="13"/>
      <c r="S4707" s="13"/>
      <c r="T4707" s="13"/>
      <c r="U4707" s="13"/>
      <c r="V4707" s="13"/>
      <c r="W4707" s="13"/>
    </row>
    <row r="4708" spans="11:23" x14ac:dyDescent="0.2">
      <c r="K4708" s="13" t="s">
        <v>342</v>
      </c>
      <c r="L4708" s="13" t="s">
        <v>402</v>
      </c>
      <c r="M4708" s="13" t="s">
        <v>403</v>
      </c>
      <c r="N4708" s="15">
        <v>0</v>
      </c>
      <c r="O4708" s="16">
        <v>0</v>
      </c>
      <c r="P4708" s="17">
        <v>1195.0413000037868</v>
      </c>
      <c r="Q4708" s="17">
        <v>0</v>
      </c>
      <c r="R4708" s="13"/>
      <c r="S4708" s="13"/>
      <c r="T4708" s="13"/>
      <c r="U4708" s="13"/>
      <c r="V4708" s="13"/>
      <c r="W4708" s="13"/>
    </row>
    <row r="4709" spans="11:23" x14ac:dyDescent="0.2">
      <c r="K4709" s="13" t="s">
        <v>342</v>
      </c>
      <c r="L4709" s="13" t="s">
        <v>448</v>
      </c>
      <c r="M4709" s="13" t="s">
        <v>366</v>
      </c>
      <c r="N4709" s="15">
        <v>0</v>
      </c>
      <c r="O4709" s="16">
        <v>0</v>
      </c>
      <c r="P4709" s="17">
        <v>123.02640000296014</v>
      </c>
      <c r="Q4709" s="17">
        <v>0</v>
      </c>
      <c r="R4709" s="13"/>
      <c r="S4709" s="13"/>
      <c r="T4709" s="13"/>
      <c r="U4709" s="13"/>
      <c r="V4709" s="13"/>
      <c r="W4709" s="13"/>
    </row>
    <row r="4710" spans="11:23" x14ac:dyDescent="0.2">
      <c r="K4710" s="13" t="s">
        <v>342</v>
      </c>
      <c r="L4710" s="13" t="s">
        <v>381</v>
      </c>
      <c r="M4710" s="13" t="s">
        <v>382</v>
      </c>
      <c r="N4710" s="15">
        <v>13</v>
      </c>
      <c r="O4710" s="16">
        <v>0</v>
      </c>
      <c r="P4710" s="17">
        <v>0</v>
      </c>
      <c r="Q4710" s="17">
        <v>0</v>
      </c>
      <c r="R4710" s="13"/>
      <c r="S4710" s="13"/>
      <c r="T4710" s="13"/>
      <c r="U4710" s="13"/>
      <c r="V4710" s="13"/>
      <c r="W4710" s="13"/>
    </row>
    <row r="4711" spans="11:23" x14ac:dyDescent="0.2">
      <c r="K4711" s="13" t="s">
        <v>342</v>
      </c>
      <c r="L4711" s="13" t="s">
        <v>623</v>
      </c>
      <c r="M4711" s="13" t="s">
        <v>530</v>
      </c>
      <c r="N4711" s="15">
        <v>0</v>
      </c>
      <c r="O4711" s="16">
        <v>10.205106565202627</v>
      </c>
      <c r="P4711" s="17">
        <v>0</v>
      </c>
      <c r="Q4711" s="17">
        <v>0</v>
      </c>
      <c r="R4711" s="13"/>
      <c r="S4711" s="13"/>
      <c r="T4711" s="13"/>
      <c r="U4711" s="13"/>
      <c r="V4711" s="13"/>
      <c r="W4711" s="13"/>
    </row>
    <row r="4712" spans="11:23" x14ac:dyDescent="0.2">
      <c r="K4712" s="13" t="s">
        <v>342</v>
      </c>
      <c r="L4712" s="13" t="s">
        <v>607</v>
      </c>
      <c r="M4712" s="13" t="s">
        <v>431</v>
      </c>
      <c r="N4712" s="15">
        <v>1</v>
      </c>
      <c r="O4712" s="16">
        <v>0</v>
      </c>
      <c r="P4712" s="17">
        <v>0</v>
      </c>
      <c r="Q4712" s="17">
        <v>0</v>
      </c>
      <c r="R4712" s="13"/>
      <c r="S4712" s="13"/>
      <c r="T4712" s="13"/>
      <c r="U4712" s="13"/>
      <c r="V4712" s="13"/>
      <c r="W4712" s="13"/>
    </row>
    <row r="4713" spans="11:23" x14ac:dyDescent="0.2">
      <c r="K4713" s="13" t="s">
        <v>342</v>
      </c>
      <c r="L4713" s="13" t="s">
        <v>608</v>
      </c>
      <c r="M4713" s="13" t="s">
        <v>432</v>
      </c>
      <c r="N4713" s="15">
        <v>60</v>
      </c>
      <c r="O4713" s="16">
        <v>0</v>
      </c>
      <c r="P4713" s="17">
        <v>0</v>
      </c>
      <c r="Q4713" s="17">
        <v>0</v>
      </c>
      <c r="R4713" s="13"/>
      <c r="S4713" s="13"/>
      <c r="T4713" s="13"/>
      <c r="U4713" s="13"/>
      <c r="V4713" s="13"/>
      <c r="W4713" s="13"/>
    </row>
    <row r="4714" spans="11:23" x14ac:dyDescent="0.2">
      <c r="K4714" s="13" t="s">
        <v>342</v>
      </c>
      <c r="L4714" s="13" t="s">
        <v>523</v>
      </c>
      <c r="M4714" s="13" t="s">
        <v>476</v>
      </c>
      <c r="N4714" s="15">
        <v>0</v>
      </c>
      <c r="O4714" s="16">
        <v>0</v>
      </c>
      <c r="P4714" s="17">
        <v>4.6906499973067781</v>
      </c>
      <c r="Q4714" s="17">
        <v>0</v>
      </c>
      <c r="R4714" s="13"/>
      <c r="S4714" s="13"/>
      <c r="T4714" s="13"/>
      <c r="U4714" s="13"/>
      <c r="V4714" s="13"/>
      <c r="W4714" s="13"/>
    </row>
    <row r="4715" spans="11:23" x14ac:dyDescent="0.2">
      <c r="K4715" s="13" t="s">
        <v>342</v>
      </c>
      <c r="L4715" s="13" t="s">
        <v>421</v>
      </c>
      <c r="M4715" s="13" t="s">
        <v>443</v>
      </c>
      <c r="N4715" s="15">
        <v>4</v>
      </c>
      <c r="O4715" s="16">
        <v>0</v>
      </c>
      <c r="P4715" s="17">
        <v>0</v>
      </c>
      <c r="Q4715" s="17">
        <v>0</v>
      </c>
      <c r="R4715" s="13"/>
      <c r="S4715" s="13"/>
      <c r="T4715" s="13"/>
      <c r="U4715" s="13"/>
      <c r="V4715" s="13"/>
      <c r="W4715" s="13"/>
    </row>
    <row r="4716" spans="11:23" x14ac:dyDescent="0.2">
      <c r="K4716" s="13" t="s">
        <v>342</v>
      </c>
      <c r="L4716" s="13" t="s">
        <v>383</v>
      </c>
      <c r="M4716" s="13" t="s">
        <v>420</v>
      </c>
      <c r="N4716" s="15">
        <v>3</v>
      </c>
      <c r="O4716" s="16">
        <v>0</v>
      </c>
      <c r="P4716" s="17">
        <v>0</v>
      </c>
      <c r="Q4716" s="17">
        <v>0</v>
      </c>
      <c r="R4716" s="13"/>
      <c r="S4716" s="13"/>
      <c r="T4716" s="13"/>
      <c r="U4716" s="13"/>
      <c r="V4716" s="13"/>
      <c r="W4716" s="13"/>
    </row>
    <row r="4717" spans="11:23" x14ac:dyDescent="0.2">
      <c r="K4717" s="13" t="s">
        <v>342</v>
      </c>
      <c r="L4717" s="13" t="s">
        <v>528</v>
      </c>
      <c r="M4717" s="13" t="s">
        <v>384</v>
      </c>
      <c r="N4717" s="15">
        <v>0</v>
      </c>
      <c r="O4717" s="16">
        <v>239.78931397148312</v>
      </c>
      <c r="P4717" s="17">
        <v>0</v>
      </c>
      <c r="Q4717" s="17">
        <v>0</v>
      </c>
      <c r="R4717" s="13"/>
      <c r="S4717" s="13"/>
      <c r="T4717" s="13"/>
      <c r="U4717" s="13"/>
      <c r="V4717" s="13"/>
      <c r="W4717" s="13"/>
    </row>
    <row r="4718" spans="11:23" x14ac:dyDescent="0.2">
      <c r="K4718" s="13" t="s">
        <v>342</v>
      </c>
      <c r="L4718" s="13" t="s">
        <v>613</v>
      </c>
      <c r="M4718" s="13" t="s">
        <v>444</v>
      </c>
      <c r="N4718" s="15">
        <v>0</v>
      </c>
      <c r="O4718" s="16">
        <v>15.238747975214501</v>
      </c>
      <c r="P4718" s="17">
        <v>0</v>
      </c>
      <c r="Q4718" s="17">
        <v>0</v>
      </c>
      <c r="R4718" s="13"/>
      <c r="S4718" s="13"/>
      <c r="T4718" s="13"/>
      <c r="U4718" s="13"/>
      <c r="V4718" s="13"/>
      <c r="W4718" s="13"/>
    </row>
    <row r="4719" spans="11:23" x14ac:dyDescent="0.2">
      <c r="K4719" s="13" t="s">
        <v>342</v>
      </c>
      <c r="L4719" s="13" t="s">
        <v>611</v>
      </c>
      <c r="M4719" s="13" t="s">
        <v>423</v>
      </c>
      <c r="N4719" s="15">
        <v>0</v>
      </c>
      <c r="O4719" s="16">
        <v>61.046576180388712</v>
      </c>
      <c r="P4719" s="17">
        <v>0</v>
      </c>
      <c r="Q4719" s="17">
        <v>0</v>
      </c>
      <c r="R4719" s="13"/>
      <c r="S4719" s="13"/>
      <c r="T4719" s="13"/>
      <c r="U4719" s="13"/>
      <c r="V4719" s="13"/>
      <c r="W4719" s="13"/>
    </row>
    <row r="4720" spans="11:23" x14ac:dyDescent="0.2">
      <c r="K4720" s="13" t="s">
        <v>342</v>
      </c>
      <c r="L4720" s="13" t="s">
        <v>446</v>
      </c>
      <c r="M4720" s="13" t="s">
        <v>371</v>
      </c>
      <c r="N4720" s="15">
        <v>12</v>
      </c>
      <c r="O4720" s="16">
        <v>0</v>
      </c>
      <c r="P4720" s="17">
        <v>0</v>
      </c>
      <c r="Q4720" s="17">
        <v>0</v>
      </c>
      <c r="R4720" s="13"/>
      <c r="S4720" s="13"/>
      <c r="T4720" s="13"/>
      <c r="U4720" s="13"/>
      <c r="V4720" s="13"/>
      <c r="W4720" s="13"/>
    </row>
    <row r="4721" spans="11:23" x14ac:dyDescent="0.2">
      <c r="K4721" s="13" t="s">
        <v>345</v>
      </c>
      <c r="L4721" s="13" t="s">
        <v>389</v>
      </c>
      <c r="M4721" s="13" t="s">
        <v>388</v>
      </c>
      <c r="N4721" s="15">
        <v>0</v>
      </c>
      <c r="O4721" s="16">
        <v>0</v>
      </c>
      <c r="P4721" s="17">
        <v>152.3265000039423</v>
      </c>
      <c r="Q4721" s="17">
        <v>0</v>
      </c>
      <c r="R4721" s="13"/>
      <c r="S4721" s="13"/>
      <c r="T4721" s="13"/>
      <c r="U4721" s="13"/>
      <c r="V4721" s="13"/>
      <c r="W4721" s="13"/>
    </row>
    <row r="4722" spans="11:23" x14ac:dyDescent="0.2">
      <c r="K4722" s="13" t="s">
        <v>345</v>
      </c>
      <c r="L4722" s="13" t="s">
        <v>399</v>
      </c>
      <c r="M4722" s="13" t="s">
        <v>400</v>
      </c>
      <c r="N4722" s="15">
        <v>0</v>
      </c>
      <c r="O4722" s="16">
        <v>0</v>
      </c>
      <c r="P4722" s="17">
        <v>18.461199997945172</v>
      </c>
      <c r="Q4722" s="17">
        <v>0</v>
      </c>
      <c r="R4722" s="13"/>
      <c r="S4722" s="13"/>
      <c r="T4722" s="13"/>
      <c r="U4722" s="13"/>
      <c r="V4722" s="13"/>
      <c r="W4722" s="13"/>
    </row>
    <row r="4723" spans="11:23" x14ac:dyDescent="0.2">
      <c r="K4723" s="13" t="s">
        <v>345</v>
      </c>
      <c r="L4723" s="13" t="s">
        <v>401</v>
      </c>
      <c r="M4723" s="13" t="s">
        <v>360</v>
      </c>
      <c r="N4723" s="15">
        <v>0</v>
      </c>
      <c r="O4723" s="16">
        <v>0</v>
      </c>
      <c r="P4723" s="17">
        <v>520.07154993654785</v>
      </c>
      <c r="Q4723" s="17">
        <v>0</v>
      </c>
      <c r="R4723" s="13"/>
      <c r="S4723" s="13"/>
      <c r="T4723" s="13"/>
      <c r="U4723" s="13"/>
      <c r="V4723" s="13"/>
      <c r="W4723" s="13"/>
    </row>
    <row r="4724" spans="11:23" x14ac:dyDescent="0.2">
      <c r="K4724" s="13" t="s">
        <v>345</v>
      </c>
      <c r="L4724" s="13" t="s">
        <v>402</v>
      </c>
      <c r="M4724" s="13" t="s">
        <v>403</v>
      </c>
      <c r="N4724" s="15">
        <v>0</v>
      </c>
      <c r="O4724" s="16">
        <v>0</v>
      </c>
      <c r="P4724" s="17">
        <v>3867.3452306217005</v>
      </c>
      <c r="Q4724" s="17">
        <v>0</v>
      </c>
      <c r="R4724" s="13"/>
      <c r="S4724" s="13"/>
      <c r="T4724" s="13"/>
      <c r="U4724" s="13"/>
      <c r="V4724" s="13"/>
      <c r="W4724" s="13"/>
    </row>
    <row r="4725" spans="11:23" x14ac:dyDescent="0.2">
      <c r="K4725" s="13" t="s">
        <v>345</v>
      </c>
      <c r="L4725" s="13" t="s">
        <v>381</v>
      </c>
      <c r="M4725" s="13" t="s">
        <v>382</v>
      </c>
      <c r="N4725" s="15">
        <v>11</v>
      </c>
      <c r="O4725" s="16">
        <v>0</v>
      </c>
      <c r="P4725" s="17">
        <v>0</v>
      </c>
      <c r="Q4725" s="17">
        <v>0</v>
      </c>
      <c r="R4725" s="13"/>
      <c r="S4725" s="13"/>
      <c r="T4725" s="13"/>
      <c r="U4725" s="13"/>
      <c r="V4725" s="13"/>
      <c r="W4725" s="13"/>
    </row>
    <row r="4726" spans="11:23" x14ac:dyDescent="0.2">
      <c r="K4726" s="13" t="s">
        <v>345</v>
      </c>
      <c r="L4726" s="13" t="s">
        <v>407</v>
      </c>
      <c r="M4726" s="13" t="s">
        <v>408</v>
      </c>
      <c r="N4726" s="15">
        <v>7</v>
      </c>
      <c r="O4726" s="16">
        <v>0</v>
      </c>
      <c r="P4726" s="17">
        <v>0</v>
      </c>
      <c r="Q4726" s="17">
        <v>0</v>
      </c>
      <c r="R4726" s="13"/>
      <c r="S4726" s="13"/>
      <c r="T4726" s="13"/>
      <c r="U4726" s="13"/>
      <c r="V4726" s="13"/>
      <c r="W4726" s="13"/>
    </row>
    <row r="4727" spans="11:23" x14ac:dyDescent="0.2">
      <c r="K4727" s="13" t="s">
        <v>345</v>
      </c>
      <c r="L4727" s="13" t="s">
        <v>411</v>
      </c>
      <c r="M4727" s="13" t="s">
        <v>362</v>
      </c>
      <c r="N4727" s="15">
        <v>1</v>
      </c>
      <c r="O4727" s="16">
        <v>0</v>
      </c>
      <c r="P4727" s="17">
        <v>0</v>
      </c>
      <c r="Q4727" s="17">
        <v>0</v>
      </c>
      <c r="R4727" s="13"/>
      <c r="S4727" s="13"/>
      <c r="T4727" s="13"/>
      <c r="U4727" s="13"/>
      <c r="V4727" s="13"/>
      <c r="W4727" s="13"/>
    </row>
    <row r="4728" spans="11:23" x14ac:dyDescent="0.2">
      <c r="K4728" s="13" t="s">
        <v>345</v>
      </c>
      <c r="L4728" s="13" t="s">
        <v>605</v>
      </c>
      <c r="M4728" s="13" t="s">
        <v>429</v>
      </c>
      <c r="N4728" s="15">
        <v>1</v>
      </c>
      <c r="O4728" s="16">
        <v>0</v>
      </c>
      <c r="P4728" s="17">
        <v>0</v>
      </c>
      <c r="Q4728" s="17">
        <v>0</v>
      </c>
      <c r="R4728" s="13"/>
      <c r="S4728" s="13"/>
      <c r="T4728" s="13"/>
      <c r="U4728" s="13"/>
      <c r="V4728" s="13"/>
      <c r="W4728" s="13"/>
    </row>
    <row r="4729" spans="11:23" x14ac:dyDescent="0.2">
      <c r="K4729" s="13" t="s">
        <v>347</v>
      </c>
      <c r="L4729" s="13" t="s">
        <v>389</v>
      </c>
      <c r="M4729" s="13" t="s">
        <v>388</v>
      </c>
      <c r="N4729" s="15">
        <v>0</v>
      </c>
      <c r="O4729" s="16">
        <v>0</v>
      </c>
      <c r="P4729" s="17">
        <v>150.33454999318769</v>
      </c>
      <c r="Q4729" s="17">
        <v>0</v>
      </c>
      <c r="R4729" s="13"/>
      <c r="S4729" s="13"/>
      <c r="T4729" s="13"/>
      <c r="U4729" s="13"/>
      <c r="V4729" s="13"/>
      <c r="W4729" s="13"/>
    </row>
    <row r="4730" spans="11:23" x14ac:dyDescent="0.2">
      <c r="K4730" s="13" t="s">
        <v>347</v>
      </c>
      <c r="L4730" s="13" t="s">
        <v>397</v>
      </c>
      <c r="M4730" s="13" t="s">
        <v>398</v>
      </c>
      <c r="N4730" s="15">
        <v>0</v>
      </c>
      <c r="O4730" s="16">
        <v>0</v>
      </c>
      <c r="P4730" s="17">
        <v>8.464529552443139</v>
      </c>
      <c r="Q4730" s="17">
        <v>0</v>
      </c>
      <c r="R4730" s="13"/>
      <c r="S4730" s="13"/>
      <c r="T4730" s="13"/>
      <c r="U4730" s="13"/>
      <c r="V4730" s="13"/>
      <c r="W4730" s="13"/>
    </row>
    <row r="4731" spans="11:23" x14ac:dyDescent="0.2">
      <c r="K4731" s="13" t="s">
        <v>347</v>
      </c>
      <c r="L4731" s="13" t="s">
        <v>399</v>
      </c>
      <c r="M4731" s="13" t="s">
        <v>400</v>
      </c>
      <c r="N4731" s="15">
        <v>0</v>
      </c>
      <c r="O4731" s="16">
        <v>0</v>
      </c>
      <c r="P4731" s="17">
        <v>0.16594999967347834</v>
      </c>
      <c r="Q4731" s="17">
        <v>0</v>
      </c>
      <c r="R4731" s="13"/>
      <c r="S4731" s="13"/>
      <c r="T4731" s="13"/>
      <c r="U4731" s="13"/>
      <c r="V4731" s="13"/>
      <c r="W4731" s="13"/>
    </row>
    <row r="4732" spans="11:23" x14ac:dyDescent="0.2">
      <c r="K4732" s="13" t="s">
        <v>347</v>
      </c>
      <c r="L4732" s="13" t="s">
        <v>402</v>
      </c>
      <c r="M4732" s="13" t="s">
        <v>403</v>
      </c>
      <c r="N4732" s="15">
        <v>0</v>
      </c>
      <c r="O4732" s="16">
        <v>0</v>
      </c>
      <c r="P4732" s="17">
        <v>177.49724999768929</v>
      </c>
      <c r="Q4732" s="17">
        <v>0</v>
      </c>
      <c r="R4732" s="13"/>
      <c r="S4732" s="13"/>
      <c r="T4732" s="13"/>
      <c r="U4732" s="13"/>
      <c r="V4732" s="13"/>
      <c r="W4732" s="13"/>
    </row>
    <row r="4733" spans="11:23" x14ac:dyDescent="0.2">
      <c r="K4733" s="13" t="s">
        <v>349</v>
      </c>
      <c r="L4733" s="13" t="s">
        <v>435</v>
      </c>
      <c r="M4733" s="13" t="s">
        <v>364</v>
      </c>
      <c r="N4733" s="15">
        <v>0</v>
      </c>
      <c r="O4733" s="16">
        <v>0</v>
      </c>
      <c r="P4733" s="17">
        <v>15.825250001562761</v>
      </c>
      <c r="Q4733" s="17">
        <v>0</v>
      </c>
      <c r="R4733" s="13"/>
      <c r="S4733" s="13"/>
      <c r="T4733" s="13"/>
      <c r="U4733" s="13"/>
      <c r="V4733" s="13"/>
      <c r="W4733" s="13"/>
    </row>
    <row r="4734" spans="11:23" x14ac:dyDescent="0.2">
      <c r="K4734" s="13" t="s">
        <v>349</v>
      </c>
      <c r="L4734" s="13" t="s">
        <v>387</v>
      </c>
      <c r="M4734" s="13" t="s">
        <v>386</v>
      </c>
      <c r="N4734" s="15">
        <v>0</v>
      </c>
      <c r="O4734" s="16">
        <v>0</v>
      </c>
      <c r="P4734" s="17">
        <v>132.26375000391911</v>
      </c>
      <c r="Q4734" s="17">
        <v>0</v>
      </c>
      <c r="R4734" s="13"/>
      <c r="S4734" s="13"/>
      <c r="T4734" s="13"/>
      <c r="U4734" s="13"/>
      <c r="V4734" s="13"/>
      <c r="W4734" s="13"/>
    </row>
    <row r="4735" spans="11:23" x14ac:dyDescent="0.2">
      <c r="K4735" s="13" t="s">
        <v>349</v>
      </c>
      <c r="L4735" s="13" t="s">
        <v>389</v>
      </c>
      <c r="M4735" s="13" t="s">
        <v>388</v>
      </c>
      <c r="N4735" s="15">
        <v>0</v>
      </c>
      <c r="O4735" s="16">
        <v>0</v>
      </c>
      <c r="P4735" s="17">
        <v>1088.0766999579898</v>
      </c>
      <c r="Q4735" s="17">
        <v>0</v>
      </c>
      <c r="R4735" s="13"/>
      <c r="S4735" s="13"/>
      <c r="T4735" s="13"/>
      <c r="U4735" s="13"/>
      <c r="V4735" s="13"/>
      <c r="W4735" s="13"/>
    </row>
    <row r="4736" spans="11:23" x14ac:dyDescent="0.2">
      <c r="K4736" s="13" t="s">
        <v>349</v>
      </c>
      <c r="L4736" s="13" t="s">
        <v>391</v>
      </c>
      <c r="M4736" s="13" t="s">
        <v>358</v>
      </c>
      <c r="N4736" s="15">
        <v>0</v>
      </c>
      <c r="O4736" s="16">
        <v>0</v>
      </c>
      <c r="P4736" s="17">
        <v>4.4257999990038108</v>
      </c>
      <c r="Q4736" s="17">
        <v>0</v>
      </c>
      <c r="R4736" s="13"/>
      <c r="S4736" s="13"/>
      <c r="T4736" s="13"/>
      <c r="U4736" s="13"/>
      <c r="V4736" s="13"/>
      <c r="W4736" s="13"/>
    </row>
    <row r="4737" spans="11:23" x14ac:dyDescent="0.2">
      <c r="K4737" s="13" t="s">
        <v>349</v>
      </c>
      <c r="L4737" s="13" t="s">
        <v>486</v>
      </c>
      <c r="M4737" s="13" t="s">
        <v>439</v>
      </c>
      <c r="N4737" s="15">
        <v>0</v>
      </c>
      <c r="O4737" s="16">
        <v>0</v>
      </c>
      <c r="P4737" s="17">
        <v>2.9204499995078192</v>
      </c>
      <c r="Q4737" s="17">
        <v>0</v>
      </c>
      <c r="R4737" s="13"/>
      <c r="S4737" s="13"/>
      <c r="T4737" s="13"/>
      <c r="U4737" s="13"/>
      <c r="V4737" s="13"/>
      <c r="W4737" s="13"/>
    </row>
    <row r="4738" spans="11:23" x14ac:dyDescent="0.2">
      <c r="K4738" s="13" t="s">
        <v>349</v>
      </c>
      <c r="L4738" s="13" t="s">
        <v>512</v>
      </c>
      <c r="M4738" s="13" t="s">
        <v>466</v>
      </c>
      <c r="N4738" s="15">
        <v>0</v>
      </c>
      <c r="O4738" s="16">
        <v>0</v>
      </c>
      <c r="P4738" s="17">
        <v>248.10520000636131</v>
      </c>
      <c r="Q4738" s="17">
        <v>0</v>
      </c>
      <c r="R4738" s="13"/>
      <c r="S4738" s="13"/>
      <c r="T4738" s="13"/>
      <c r="U4738" s="13"/>
      <c r="V4738" s="13"/>
      <c r="W4738" s="13"/>
    </row>
    <row r="4739" spans="11:23" x14ac:dyDescent="0.2">
      <c r="K4739" s="13" t="s">
        <v>349</v>
      </c>
      <c r="L4739" s="13" t="s">
        <v>532</v>
      </c>
      <c r="M4739" s="13" t="s">
        <v>620</v>
      </c>
      <c r="N4739" s="15">
        <v>0</v>
      </c>
      <c r="O4739" s="16">
        <v>0</v>
      </c>
      <c r="P4739" s="17">
        <v>19.894700002962793</v>
      </c>
      <c r="Q4739" s="17">
        <v>0</v>
      </c>
      <c r="R4739" s="13"/>
      <c r="S4739" s="13"/>
      <c r="T4739" s="13"/>
      <c r="U4739" s="13"/>
      <c r="V4739" s="13"/>
      <c r="W4739" s="13"/>
    </row>
    <row r="4740" spans="11:23" x14ac:dyDescent="0.2">
      <c r="K4740" s="13" t="s">
        <v>349</v>
      </c>
      <c r="L4740" s="13" t="s">
        <v>440</v>
      </c>
      <c r="M4740" s="13" t="s">
        <v>441</v>
      </c>
      <c r="N4740" s="15">
        <v>10</v>
      </c>
      <c r="O4740" s="16">
        <v>0</v>
      </c>
      <c r="P4740" s="17">
        <v>0</v>
      </c>
      <c r="Q4740" s="17">
        <v>0</v>
      </c>
      <c r="R4740" s="13"/>
      <c r="S4740" s="13"/>
      <c r="T4740" s="13"/>
      <c r="U4740" s="13"/>
      <c r="V4740" s="13"/>
      <c r="W4740" s="13"/>
    </row>
    <row r="4741" spans="11:23" x14ac:dyDescent="0.2">
      <c r="K4741" s="13" t="s">
        <v>349</v>
      </c>
      <c r="L4741" s="13" t="s">
        <v>394</v>
      </c>
      <c r="M4741" s="13" t="s">
        <v>359</v>
      </c>
      <c r="N4741" s="15">
        <v>0</v>
      </c>
      <c r="O4741" s="16">
        <v>0</v>
      </c>
      <c r="P4741" s="17">
        <v>1.7834499993457693</v>
      </c>
      <c r="Q4741" s="17">
        <v>0</v>
      </c>
      <c r="R4741" s="13"/>
      <c r="S4741" s="13"/>
      <c r="T4741" s="13"/>
      <c r="U4741" s="13"/>
      <c r="V4741" s="13"/>
      <c r="W4741" s="13"/>
    </row>
    <row r="4742" spans="11:23" x14ac:dyDescent="0.2">
      <c r="K4742" s="13" t="s">
        <v>349</v>
      </c>
      <c r="L4742" s="13" t="s">
        <v>401</v>
      </c>
      <c r="M4742" s="13" t="s">
        <v>360</v>
      </c>
      <c r="N4742" s="15">
        <v>0</v>
      </c>
      <c r="O4742" s="16">
        <v>0</v>
      </c>
      <c r="P4742" s="17">
        <v>206.09904998827693</v>
      </c>
      <c r="Q4742" s="17">
        <v>0</v>
      </c>
      <c r="R4742" s="13"/>
      <c r="S4742" s="13"/>
      <c r="T4742" s="13"/>
      <c r="U4742" s="13"/>
      <c r="V4742" s="13"/>
      <c r="W4742" s="13"/>
    </row>
    <row r="4743" spans="11:23" x14ac:dyDescent="0.2">
      <c r="K4743" s="13" t="s">
        <v>349</v>
      </c>
      <c r="L4743" s="13" t="s">
        <v>402</v>
      </c>
      <c r="M4743" s="13" t="s">
        <v>403</v>
      </c>
      <c r="N4743" s="15">
        <v>0</v>
      </c>
      <c r="O4743" s="16">
        <v>0</v>
      </c>
      <c r="P4743" s="17">
        <v>758.33278265314607</v>
      </c>
      <c r="Q4743" s="17">
        <v>0</v>
      </c>
      <c r="R4743" s="13"/>
      <c r="S4743" s="13"/>
      <c r="T4743" s="13"/>
      <c r="U4743" s="13"/>
      <c r="V4743" s="13"/>
      <c r="W4743" s="13"/>
    </row>
    <row r="4744" spans="11:23" x14ac:dyDescent="0.2">
      <c r="K4744" s="13" t="s">
        <v>349</v>
      </c>
      <c r="L4744" s="13" t="s">
        <v>448</v>
      </c>
      <c r="M4744" s="13" t="s">
        <v>366</v>
      </c>
      <c r="N4744" s="15">
        <v>0</v>
      </c>
      <c r="O4744" s="16">
        <v>0</v>
      </c>
      <c r="P4744" s="17">
        <v>260.69401731573629</v>
      </c>
      <c r="Q4744" s="17">
        <v>0</v>
      </c>
      <c r="R4744" s="13"/>
      <c r="S4744" s="13"/>
      <c r="T4744" s="13"/>
      <c r="U4744" s="13"/>
      <c r="V4744" s="13"/>
      <c r="W4744" s="13"/>
    </row>
    <row r="4745" spans="11:23" x14ac:dyDescent="0.2">
      <c r="K4745" s="13" t="s">
        <v>349</v>
      </c>
      <c r="L4745" s="13" t="s">
        <v>404</v>
      </c>
      <c r="M4745" s="13" t="s">
        <v>405</v>
      </c>
      <c r="N4745" s="15">
        <v>0</v>
      </c>
      <c r="O4745" s="16">
        <v>0</v>
      </c>
      <c r="P4745" s="17">
        <v>289.69109995801773</v>
      </c>
      <c r="Q4745" s="17">
        <v>989.84149147908045</v>
      </c>
      <c r="R4745" s="13"/>
      <c r="S4745" s="13"/>
      <c r="T4745" s="13"/>
      <c r="U4745" s="13"/>
      <c r="V4745" s="13"/>
      <c r="W4745" s="13"/>
    </row>
    <row r="4746" spans="11:23" x14ac:dyDescent="0.2">
      <c r="K4746" s="13" t="s">
        <v>349</v>
      </c>
      <c r="L4746" s="13" t="s">
        <v>381</v>
      </c>
      <c r="M4746" s="13" t="s">
        <v>382</v>
      </c>
      <c r="N4746" s="15">
        <v>22</v>
      </c>
      <c r="O4746" s="16">
        <v>0</v>
      </c>
      <c r="P4746" s="17">
        <v>0</v>
      </c>
      <c r="Q4746" s="17">
        <v>0</v>
      </c>
      <c r="R4746" s="13"/>
      <c r="S4746" s="13"/>
      <c r="T4746" s="13"/>
      <c r="U4746" s="13"/>
      <c r="V4746" s="13"/>
      <c r="W4746" s="13"/>
    </row>
    <row r="4747" spans="11:23" x14ac:dyDescent="0.2">
      <c r="K4747" s="13" t="s">
        <v>349</v>
      </c>
      <c r="L4747" s="13" t="s">
        <v>505</v>
      </c>
      <c r="M4747" s="13" t="s">
        <v>506</v>
      </c>
      <c r="N4747" s="15">
        <v>1</v>
      </c>
      <c r="O4747" s="16">
        <v>0</v>
      </c>
      <c r="P4747" s="17">
        <v>0</v>
      </c>
      <c r="Q4747" s="17">
        <v>0</v>
      </c>
      <c r="R4747" s="13"/>
      <c r="S4747" s="13"/>
      <c r="T4747" s="13"/>
      <c r="U4747" s="13"/>
      <c r="V4747" s="13"/>
      <c r="W4747" s="13"/>
    </row>
    <row r="4748" spans="11:23" x14ac:dyDescent="0.2">
      <c r="K4748" s="13" t="s">
        <v>349</v>
      </c>
      <c r="L4748" s="13" t="s">
        <v>409</v>
      </c>
      <c r="M4748" s="13" t="s">
        <v>410</v>
      </c>
      <c r="N4748" s="15">
        <v>3</v>
      </c>
      <c r="O4748" s="16">
        <v>0</v>
      </c>
      <c r="P4748" s="17">
        <v>0</v>
      </c>
      <c r="Q4748" s="17">
        <v>0</v>
      </c>
      <c r="R4748" s="13"/>
      <c r="S4748" s="13"/>
      <c r="T4748" s="13"/>
      <c r="U4748" s="13"/>
      <c r="V4748" s="13"/>
      <c r="W4748" s="13"/>
    </row>
    <row r="4749" spans="11:23" x14ac:dyDescent="0.2">
      <c r="K4749" s="13" t="s">
        <v>349</v>
      </c>
      <c r="L4749" s="13" t="s">
        <v>411</v>
      </c>
      <c r="M4749" s="13" t="s">
        <v>362</v>
      </c>
      <c r="N4749" s="15">
        <v>0</v>
      </c>
      <c r="O4749" s="16">
        <v>14.737305809021066</v>
      </c>
      <c r="P4749" s="17">
        <v>0</v>
      </c>
      <c r="Q4749" s="17">
        <v>0</v>
      </c>
      <c r="R4749" s="13"/>
      <c r="S4749" s="13"/>
      <c r="T4749" s="13"/>
      <c r="U4749" s="13"/>
      <c r="V4749" s="13"/>
      <c r="W4749" s="13"/>
    </row>
    <row r="4750" spans="11:23" x14ac:dyDescent="0.2">
      <c r="K4750" s="13" t="s">
        <v>349</v>
      </c>
      <c r="L4750" s="13" t="s">
        <v>411</v>
      </c>
      <c r="M4750" s="13" t="s">
        <v>362</v>
      </c>
      <c r="N4750" s="15">
        <v>2</v>
      </c>
      <c r="O4750" s="16">
        <v>0</v>
      </c>
      <c r="P4750" s="17">
        <v>0</v>
      </c>
      <c r="Q4750" s="17">
        <v>0</v>
      </c>
      <c r="R4750" s="13"/>
      <c r="S4750" s="13"/>
      <c r="T4750" s="13"/>
      <c r="U4750" s="13"/>
      <c r="V4750" s="13"/>
      <c r="W4750" s="13"/>
    </row>
    <row r="4751" spans="11:23" x14ac:dyDescent="0.2">
      <c r="K4751" s="13" t="s">
        <v>349</v>
      </c>
      <c r="L4751" s="13" t="s">
        <v>413</v>
      </c>
      <c r="M4751" s="13" t="s">
        <v>428</v>
      </c>
      <c r="N4751" s="15">
        <v>2</v>
      </c>
      <c r="O4751" s="16">
        <v>0</v>
      </c>
      <c r="P4751" s="17">
        <v>0</v>
      </c>
      <c r="Q4751" s="17">
        <v>0</v>
      </c>
      <c r="R4751" s="13"/>
      <c r="S4751" s="13"/>
      <c r="T4751" s="13"/>
      <c r="U4751" s="13"/>
      <c r="V4751" s="13"/>
      <c r="W4751" s="13"/>
    </row>
    <row r="4752" spans="11:23" x14ac:dyDescent="0.2">
      <c r="K4752" s="13" t="s">
        <v>349</v>
      </c>
      <c r="L4752" s="13" t="s">
        <v>605</v>
      </c>
      <c r="M4752" s="13" t="s">
        <v>429</v>
      </c>
      <c r="N4752" s="15">
        <v>0</v>
      </c>
      <c r="O4752" s="16">
        <v>6.0760019747617795</v>
      </c>
      <c r="P4752" s="17">
        <v>0</v>
      </c>
      <c r="Q4752" s="17">
        <v>0</v>
      </c>
      <c r="R4752" s="13"/>
      <c r="S4752" s="13"/>
      <c r="T4752" s="13"/>
      <c r="U4752" s="13"/>
      <c r="V4752" s="13"/>
      <c r="W4752" s="13"/>
    </row>
    <row r="4753" spans="11:23" x14ac:dyDescent="0.2">
      <c r="K4753" s="13" t="s">
        <v>349</v>
      </c>
      <c r="L4753" s="13" t="s">
        <v>606</v>
      </c>
      <c r="M4753" s="13" t="s">
        <v>430</v>
      </c>
      <c r="N4753" s="15">
        <v>8</v>
      </c>
      <c r="O4753" s="16">
        <v>0</v>
      </c>
      <c r="P4753" s="17">
        <v>0</v>
      </c>
      <c r="Q4753" s="17">
        <v>0</v>
      </c>
      <c r="R4753" s="13"/>
      <c r="S4753" s="13"/>
      <c r="T4753" s="13"/>
      <c r="U4753" s="13"/>
      <c r="V4753" s="13"/>
      <c r="W4753" s="13"/>
    </row>
    <row r="4754" spans="11:23" x14ac:dyDescent="0.2">
      <c r="K4754" s="13" t="s">
        <v>349</v>
      </c>
      <c r="L4754" s="13" t="s">
        <v>623</v>
      </c>
      <c r="M4754" s="13" t="s">
        <v>530</v>
      </c>
      <c r="N4754" s="15">
        <v>0</v>
      </c>
      <c r="O4754" s="16">
        <v>203.56976018476536</v>
      </c>
      <c r="P4754" s="17">
        <v>0</v>
      </c>
      <c r="Q4754" s="17">
        <v>0</v>
      </c>
      <c r="R4754" s="13"/>
      <c r="S4754" s="13"/>
      <c r="T4754" s="13"/>
      <c r="U4754" s="13"/>
      <c r="V4754" s="13"/>
      <c r="W4754" s="13"/>
    </row>
    <row r="4755" spans="11:23" x14ac:dyDescent="0.2">
      <c r="K4755" s="13" t="s">
        <v>349</v>
      </c>
      <c r="L4755" s="13" t="s">
        <v>608</v>
      </c>
      <c r="M4755" s="13" t="s">
        <v>432</v>
      </c>
      <c r="N4755" s="15">
        <v>1</v>
      </c>
      <c r="O4755" s="16">
        <v>0</v>
      </c>
      <c r="P4755" s="17">
        <v>0</v>
      </c>
      <c r="Q4755" s="17">
        <v>0</v>
      </c>
      <c r="R4755" s="13"/>
      <c r="S4755" s="13"/>
      <c r="T4755" s="13"/>
      <c r="U4755" s="13"/>
      <c r="V4755" s="13"/>
      <c r="W4755" s="13"/>
    </row>
    <row r="4756" spans="11:23" x14ac:dyDescent="0.2">
      <c r="K4756" s="13" t="s">
        <v>349</v>
      </c>
      <c r="L4756" s="13" t="s">
        <v>615</v>
      </c>
      <c r="M4756" s="13" t="s">
        <v>449</v>
      </c>
      <c r="N4756" s="15">
        <v>1</v>
      </c>
      <c r="O4756" s="16">
        <v>0</v>
      </c>
      <c r="P4756" s="17">
        <v>0</v>
      </c>
      <c r="Q4756" s="17">
        <v>0</v>
      </c>
      <c r="R4756" s="13"/>
      <c r="S4756" s="13"/>
      <c r="T4756" s="13"/>
      <c r="U4756" s="13"/>
      <c r="V4756" s="13"/>
      <c r="W4756" s="13"/>
    </row>
    <row r="4757" spans="11:23" x14ac:dyDescent="0.2">
      <c r="K4757" s="13" t="s">
        <v>349</v>
      </c>
      <c r="L4757" s="13" t="s">
        <v>421</v>
      </c>
      <c r="M4757" s="13" t="s">
        <v>443</v>
      </c>
      <c r="N4757" s="15">
        <v>2</v>
      </c>
      <c r="O4757" s="16">
        <v>0</v>
      </c>
      <c r="P4757" s="17">
        <v>0</v>
      </c>
      <c r="Q4757" s="17">
        <v>0</v>
      </c>
      <c r="R4757" s="13"/>
      <c r="S4757" s="13"/>
      <c r="T4757" s="13"/>
      <c r="U4757" s="13"/>
      <c r="V4757" s="13"/>
      <c r="W4757" s="13"/>
    </row>
    <row r="4758" spans="11:23" x14ac:dyDescent="0.2">
      <c r="K4758" s="13" t="s">
        <v>349</v>
      </c>
      <c r="L4758" s="13" t="s">
        <v>383</v>
      </c>
      <c r="M4758" s="13" t="s">
        <v>420</v>
      </c>
      <c r="N4758" s="15">
        <v>4</v>
      </c>
      <c r="O4758" s="16">
        <v>0</v>
      </c>
      <c r="P4758" s="17">
        <v>0</v>
      </c>
      <c r="Q4758" s="17">
        <v>0</v>
      </c>
      <c r="R4758" s="13"/>
      <c r="S4758" s="13"/>
      <c r="T4758" s="13"/>
      <c r="U4758" s="13"/>
      <c r="V4758" s="13"/>
      <c r="W4758" s="13"/>
    </row>
    <row r="4759" spans="11:23" x14ac:dyDescent="0.2">
      <c r="K4759" s="13" t="s">
        <v>349</v>
      </c>
      <c r="L4759" s="13" t="s">
        <v>528</v>
      </c>
      <c r="M4759" s="13" t="s">
        <v>384</v>
      </c>
      <c r="N4759" s="15">
        <v>0</v>
      </c>
      <c r="O4759" s="16">
        <v>211.39999843072195</v>
      </c>
      <c r="P4759" s="17">
        <v>0</v>
      </c>
      <c r="Q4759" s="17">
        <v>0</v>
      </c>
      <c r="R4759" s="13"/>
      <c r="S4759" s="13"/>
      <c r="T4759" s="13"/>
      <c r="U4759" s="13"/>
      <c r="V4759" s="13"/>
      <c r="W4759" s="13"/>
    </row>
    <row r="4760" spans="11:23" x14ac:dyDescent="0.2">
      <c r="K4760" s="13" t="s">
        <v>349</v>
      </c>
      <c r="L4760" s="13" t="s">
        <v>613</v>
      </c>
      <c r="M4760" s="13" t="s">
        <v>444</v>
      </c>
      <c r="N4760" s="15">
        <v>0</v>
      </c>
      <c r="O4760" s="16">
        <v>79.741378150821475</v>
      </c>
      <c r="P4760" s="17">
        <v>0</v>
      </c>
      <c r="Q4760" s="17">
        <v>0</v>
      </c>
      <c r="R4760" s="13"/>
      <c r="S4760" s="13"/>
      <c r="T4760" s="13"/>
      <c r="U4760" s="13"/>
      <c r="V4760" s="13"/>
      <c r="W4760" s="13"/>
    </row>
    <row r="4761" spans="11:23" x14ac:dyDescent="0.2">
      <c r="K4761" s="13" t="s">
        <v>349</v>
      </c>
      <c r="L4761" s="13" t="s">
        <v>446</v>
      </c>
      <c r="M4761" s="13" t="s">
        <v>371</v>
      </c>
      <c r="N4761" s="15">
        <v>7</v>
      </c>
      <c r="O4761" s="16">
        <v>0</v>
      </c>
      <c r="P4761" s="17">
        <v>0</v>
      </c>
      <c r="Q4761" s="17">
        <v>0</v>
      </c>
      <c r="R4761" s="13"/>
      <c r="S4761" s="13"/>
      <c r="T4761" s="13"/>
      <c r="U4761" s="13"/>
      <c r="V4761" s="13"/>
      <c r="W4761" s="13"/>
    </row>
    <row r="4762" spans="11:23" x14ac:dyDescent="0.2">
      <c r="K4762" s="13" t="s">
        <v>349</v>
      </c>
      <c r="L4762" s="13" t="s">
        <v>614</v>
      </c>
      <c r="M4762" s="13" t="s">
        <v>447</v>
      </c>
      <c r="N4762" s="15">
        <v>1</v>
      </c>
      <c r="O4762" s="16">
        <v>0</v>
      </c>
      <c r="P4762" s="17">
        <v>0</v>
      </c>
      <c r="Q4762" s="17">
        <v>0</v>
      </c>
      <c r="R4762" s="13"/>
      <c r="S4762" s="13"/>
      <c r="T4762" s="13"/>
      <c r="U4762" s="13"/>
      <c r="V4762" s="13"/>
      <c r="W4762" s="13"/>
    </row>
    <row r="4763" spans="11:23" x14ac:dyDescent="0.2">
      <c r="K4763" s="13" t="s">
        <v>351</v>
      </c>
      <c r="L4763" s="13" t="s">
        <v>387</v>
      </c>
      <c r="M4763" s="13" t="s">
        <v>386</v>
      </c>
      <c r="N4763" s="15">
        <v>0</v>
      </c>
      <c r="O4763" s="16">
        <v>0</v>
      </c>
      <c r="P4763" s="17">
        <v>2239.6505499880859</v>
      </c>
      <c r="Q4763" s="17">
        <v>0</v>
      </c>
      <c r="R4763" s="13"/>
      <c r="S4763" s="13"/>
      <c r="T4763" s="13"/>
      <c r="U4763" s="13"/>
      <c r="V4763" s="13"/>
      <c r="W4763" s="13"/>
    </row>
    <row r="4764" spans="11:23" x14ac:dyDescent="0.2">
      <c r="K4764" s="13" t="s">
        <v>351</v>
      </c>
      <c r="L4764" s="13" t="s">
        <v>389</v>
      </c>
      <c r="M4764" s="13" t="s">
        <v>388</v>
      </c>
      <c r="N4764" s="15">
        <v>0</v>
      </c>
      <c r="O4764" s="16">
        <v>0</v>
      </c>
      <c r="P4764" s="17">
        <v>141.83624998493175</v>
      </c>
      <c r="Q4764" s="17">
        <v>0</v>
      </c>
      <c r="R4764" s="13"/>
      <c r="S4764" s="13"/>
      <c r="T4764" s="13"/>
      <c r="U4764" s="13"/>
      <c r="V4764" s="13"/>
      <c r="W4764" s="13"/>
    </row>
    <row r="4765" spans="11:23" x14ac:dyDescent="0.2">
      <c r="K4765" s="13" t="s">
        <v>351</v>
      </c>
      <c r="L4765" s="13" t="s">
        <v>397</v>
      </c>
      <c r="M4765" s="13" t="s">
        <v>398</v>
      </c>
      <c r="N4765" s="15">
        <v>0</v>
      </c>
      <c r="O4765" s="16">
        <v>0</v>
      </c>
      <c r="P4765" s="17">
        <v>64.320450034002832</v>
      </c>
      <c r="Q4765" s="17">
        <v>0</v>
      </c>
      <c r="R4765" s="13"/>
      <c r="S4765" s="13"/>
      <c r="T4765" s="13"/>
      <c r="U4765" s="13"/>
      <c r="V4765" s="13"/>
      <c r="W4765" s="13"/>
    </row>
    <row r="4766" spans="11:23" x14ac:dyDescent="0.2">
      <c r="K4766" s="13" t="s">
        <v>351</v>
      </c>
      <c r="L4766" s="13" t="s">
        <v>399</v>
      </c>
      <c r="M4766" s="13" t="s">
        <v>400</v>
      </c>
      <c r="N4766" s="15">
        <v>0</v>
      </c>
      <c r="O4766" s="16">
        <v>0</v>
      </c>
      <c r="P4766" s="17">
        <v>182.73084998673255</v>
      </c>
      <c r="Q4766" s="17">
        <v>0</v>
      </c>
      <c r="R4766" s="13"/>
      <c r="S4766" s="13"/>
      <c r="T4766" s="13"/>
      <c r="U4766" s="13"/>
      <c r="V4766" s="13"/>
      <c r="W4766" s="13"/>
    </row>
    <row r="4767" spans="11:23" x14ac:dyDescent="0.2">
      <c r="K4767" s="13" t="s">
        <v>351</v>
      </c>
      <c r="L4767" s="13" t="s">
        <v>401</v>
      </c>
      <c r="M4767" s="13" t="s">
        <v>360</v>
      </c>
      <c r="N4767" s="15">
        <v>0</v>
      </c>
      <c r="O4767" s="16">
        <v>0</v>
      </c>
      <c r="P4767" s="17">
        <v>335.85885001732811</v>
      </c>
      <c r="Q4767" s="17">
        <v>0</v>
      </c>
      <c r="R4767" s="13"/>
      <c r="S4767" s="13"/>
      <c r="T4767" s="13"/>
      <c r="U4767" s="13"/>
      <c r="V4767" s="13"/>
      <c r="W4767" s="13"/>
    </row>
    <row r="4768" spans="11:23" x14ac:dyDescent="0.2">
      <c r="K4768" s="13" t="s">
        <v>351</v>
      </c>
      <c r="L4768" s="13" t="s">
        <v>402</v>
      </c>
      <c r="M4768" s="13" t="s">
        <v>403</v>
      </c>
      <c r="N4768" s="15">
        <v>0</v>
      </c>
      <c r="O4768" s="16">
        <v>0</v>
      </c>
      <c r="P4768" s="17">
        <v>3504.2516999386348</v>
      </c>
      <c r="Q4768" s="17">
        <v>0</v>
      </c>
      <c r="R4768" s="13"/>
      <c r="S4768" s="13"/>
      <c r="T4768" s="13"/>
      <c r="U4768" s="13"/>
      <c r="V4768" s="13"/>
      <c r="W4768" s="13"/>
    </row>
    <row r="4769" spans="11:23" x14ac:dyDescent="0.2">
      <c r="K4769" s="13" t="s">
        <v>351</v>
      </c>
      <c r="L4769" s="13" t="s">
        <v>404</v>
      </c>
      <c r="M4769" s="13" t="s">
        <v>405</v>
      </c>
      <c r="N4769" s="15">
        <v>0</v>
      </c>
      <c r="O4769" s="16">
        <v>0</v>
      </c>
      <c r="P4769" s="17">
        <v>50.824999981952828</v>
      </c>
      <c r="Q4769" s="17">
        <v>171.35519392652378</v>
      </c>
      <c r="R4769" s="13"/>
      <c r="S4769" s="13"/>
      <c r="T4769" s="13"/>
      <c r="U4769" s="13"/>
      <c r="V4769" s="13"/>
      <c r="W4769" s="13"/>
    </row>
    <row r="4770" spans="11:23" x14ac:dyDescent="0.2">
      <c r="K4770" s="13" t="s">
        <v>351</v>
      </c>
      <c r="L4770" s="13" t="s">
        <v>406</v>
      </c>
      <c r="M4770" s="13" t="s">
        <v>361</v>
      </c>
      <c r="N4770" s="15">
        <v>0</v>
      </c>
      <c r="O4770" s="16">
        <v>0</v>
      </c>
      <c r="P4770" s="17">
        <v>4.9184000066536484</v>
      </c>
      <c r="Q4770" s="17">
        <v>15.103176851031975</v>
      </c>
      <c r="R4770" s="13"/>
      <c r="S4770" s="13"/>
      <c r="T4770" s="13"/>
      <c r="U4770" s="13"/>
      <c r="V4770" s="13"/>
      <c r="W4770" s="13"/>
    </row>
    <row r="4771" spans="11:23" x14ac:dyDescent="0.2">
      <c r="K4771" s="13" t="s">
        <v>351</v>
      </c>
      <c r="L4771" s="13" t="s">
        <v>381</v>
      </c>
      <c r="M4771" s="13" t="s">
        <v>382</v>
      </c>
      <c r="N4771" s="15">
        <v>29</v>
      </c>
      <c r="O4771" s="16">
        <v>0</v>
      </c>
      <c r="P4771" s="17">
        <v>0</v>
      </c>
      <c r="Q4771" s="17">
        <v>0</v>
      </c>
      <c r="R4771" s="13"/>
      <c r="S4771" s="13"/>
      <c r="T4771" s="13"/>
      <c r="U4771" s="13"/>
      <c r="V4771" s="13"/>
      <c r="W4771" s="13"/>
    </row>
    <row r="4772" spans="11:23" x14ac:dyDescent="0.2">
      <c r="K4772" s="13" t="s">
        <v>351</v>
      </c>
      <c r="L4772" s="13" t="s">
        <v>505</v>
      </c>
      <c r="M4772" s="13" t="s">
        <v>506</v>
      </c>
      <c r="N4772" s="15">
        <v>1</v>
      </c>
      <c r="O4772" s="16">
        <v>0</v>
      </c>
      <c r="P4772" s="17">
        <v>0</v>
      </c>
      <c r="Q4772" s="17">
        <v>0</v>
      </c>
      <c r="R4772" s="13"/>
      <c r="S4772" s="13"/>
      <c r="T4772" s="13"/>
      <c r="U4772" s="13"/>
      <c r="V4772" s="13"/>
      <c r="W4772" s="13"/>
    </row>
    <row r="4773" spans="11:23" x14ac:dyDescent="0.2">
      <c r="K4773" s="13" t="s">
        <v>351</v>
      </c>
      <c r="L4773" s="13" t="s">
        <v>411</v>
      </c>
      <c r="M4773" s="13" t="s">
        <v>362</v>
      </c>
      <c r="N4773" s="15">
        <v>1</v>
      </c>
      <c r="O4773" s="16">
        <v>0</v>
      </c>
      <c r="P4773" s="17">
        <v>0</v>
      </c>
      <c r="Q4773" s="17">
        <v>0</v>
      </c>
      <c r="R4773" s="13"/>
      <c r="S4773" s="13"/>
      <c r="T4773" s="13"/>
      <c r="U4773" s="13"/>
      <c r="V4773" s="13"/>
      <c r="W4773" s="13"/>
    </row>
    <row r="4774" spans="11:23" x14ac:dyDescent="0.2">
      <c r="K4774" s="13" t="s">
        <v>351</v>
      </c>
      <c r="L4774" s="13" t="s">
        <v>413</v>
      </c>
      <c r="M4774" s="13" t="s">
        <v>428</v>
      </c>
      <c r="N4774" s="15">
        <v>10</v>
      </c>
      <c r="O4774" s="16">
        <v>0</v>
      </c>
      <c r="P4774" s="17">
        <v>0</v>
      </c>
      <c r="Q4774" s="17">
        <v>0</v>
      </c>
      <c r="R4774" s="13"/>
      <c r="S4774" s="13"/>
      <c r="T4774" s="13"/>
      <c r="U4774" s="13"/>
      <c r="V4774" s="13"/>
      <c r="W4774" s="13"/>
    </row>
    <row r="4775" spans="11:23" x14ac:dyDescent="0.2">
      <c r="K4775" s="13" t="s">
        <v>351</v>
      </c>
      <c r="L4775" s="13" t="s">
        <v>606</v>
      </c>
      <c r="M4775" s="13" t="s">
        <v>430</v>
      </c>
      <c r="N4775" s="15">
        <v>9</v>
      </c>
      <c r="O4775" s="16">
        <v>0</v>
      </c>
      <c r="P4775" s="17">
        <v>0</v>
      </c>
      <c r="Q4775" s="17">
        <v>0</v>
      </c>
      <c r="R4775" s="13"/>
      <c r="S4775" s="13"/>
      <c r="T4775" s="13"/>
      <c r="U4775" s="13"/>
      <c r="V4775" s="13"/>
      <c r="W4775" s="13"/>
    </row>
    <row r="4776" spans="11:23" x14ac:dyDescent="0.2">
      <c r="K4776" s="13" t="s">
        <v>351</v>
      </c>
      <c r="L4776" s="13" t="s">
        <v>619</v>
      </c>
      <c r="M4776" s="13" t="s">
        <v>508</v>
      </c>
      <c r="N4776" s="15">
        <v>1</v>
      </c>
      <c r="O4776" s="16">
        <v>0</v>
      </c>
      <c r="P4776" s="17">
        <v>0</v>
      </c>
      <c r="Q4776" s="17">
        <v>0</v>
      </c>
      <c r="R4776" s="13"/>
      <c r="S4776" s="13"/>
      <c r="T4776" s="13"/>
      <c r="U4776" s="13"/>
      <c r="V4776" s="13"/>
      <c r="W4776" s="13"/>
    </row>
    <row r="4777" spans="11:23" x14ac:dyDescent="0.2">
      <c r="K4777" s="13" t="s">
        <v>351</v>
      </c>
      <c r="L4777" s="13" t="s">
        <v>615</v>
      </c>
      <c r="M4777" s="13" t="s">
        <v>449</v>
      </c>
      <c r="N4777" s="15">
        <v>1</v>
      </c>
      <c r="O4777" s="16">
        <v>0</v>
      </c>
      <c r="P4777" s="17">
        <v>0</v>
      </c>
      <c r="Q4777" s="17">
        <v>0</v>
      </c>
      <c r="R4777" s="13"/>
      <c r="S4777" s="13"/>
      <c r="T4777" s="13"/>
      <c r="U4777" s="13"/>
      <c r="V4777" s="13"/>
      <c r="W4777" s="13"/>
    </row>
    <row r="4778" spans="11:23" x14ac:dyDescent="0.2"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</row>
    <row r="4779" spans="11:23" x14ac:dyDescent="0.2"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</row>
    <row r="4780" spans="11:23" x14ac:dyDescent="0.2"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</row>
    <row r="4781" spans="11:23" x14ac:dyDescent="0.2"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</row>
    <row r="4782" spans="11:23" x14ac:dyDescent="0.2"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</row>
    <row r="4783" spans="11:23" x14ac:dyDescent="0.2"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</row>
    <row r="4784" spans="11:23" x14ac:dyDescent="0.2"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</row>
    <row r="4785" spans="11:23" x14ac:dyDescent="0.2"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</row>
    <row r="4786" spans="11:23" x14ac:dyDescent="0.2"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</row>
    <row r="4787" spans="11:23" x14ac:dyDescent="0.2"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</row>
    <row r="4788" spans="11:23" x14ac:dyDescent="0.2"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</row>
    <row r="4789" spans="11:23" x14ac:dyDescent="0.2"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</row>
    <row r="4790" spans="11:23" x14ac:dyDescent="0.2"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</row>
    <row r="4791" spans="11:23" x14ac:dyDescent="0.2"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</row>
    <row r="4792" spans="11:23" x14ac:dyDescent="0.2"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</row>
    <row r="4793" spans="11:23" x14ac:dyDescent="0.2"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</row>
    <row r="4794" spans="11:23" x14ac:dyDescent="0.2"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</row>
    <row r="4795" spans="11:23" x14ac:dyDescent="0.2"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</row>
    <row r="4796" spans="11:23" x14ac:dyDescent="0.2"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</row>
    <row r="4797" spans="11:23" x14ac:dyDescent="0.2"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</row>
    <row r="4798" spans="11:23" x14ac:dyDescent="0.2"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</row>
    <row r="4799" spans="11:23" x14ac:dyDescent="0.2"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</row>
    <row r="4800" spans="11:23" x14ac:dyDescent="0.2"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</row>
    <row r="4801" spans="11:23" x14ac:dyDescent="0.2"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</row>
    <row r="4802" spans="11:23" x14ac:dyDescent="0.2"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</row>
    <row r="4803" spans="11:23" x14ac:dyDescent="0.2"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</row>
    <row r="4804" spans="11:23" x14ac:dyDescent="0.2"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</row>
    <row r="4805" spans="11:23" x14ac:dyDescent="0.2"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</row>
    <row r="4806" spans="11:23" x14ac:dyDescent="0.2"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</row>
    <row r="4807" spans="11:23" x14ac:dyDescent="0.2"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</row>
    <row r="4808" spans="11:23" x14ac:dyDescent="0.2"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</row>
    <row r="4809" spans="11:23" x14ac:dyDescent="0.2"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</row>
    <row r="4810" spans="11:23" x14ac:dyDescent="0.2"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</row>
    <row r="4811" spans="11:23" x14ac:dyDescent="0.2"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</row>
    <row r="4812" spans="11:23" x14ac:dyDescent="0.2"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</row>
    <row r="4813" spans="11:23" x14ac:dyDescent="0.2"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</row>
    <row r="4814" spans="11:23" x14ac:dyDescent="0.2"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</row>
    <row r="4815" spans="11:23" x14ac:dyDescent="0.2"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</row>
    <row r="4816" spans="11:23" x14ac:dyDescent="0.2"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</row>
    <row r="4817" spans="11:23" x14ac:dyDescent="0.2"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</row>
    <row r="4818" spans="11:23" x14ac:dyDescent="0.2"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</row>
    <row r="4819" spans="11:23" x14ac:dyDescent="0.2"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</row>
    <row r="4820" spans="11:23" x14ac:dyDescent="0.2"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</row>
    <row r="4821" spans="11:23" x14ac:dyDescent="0.2"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</row>
    <row r="4822" spans="11:23" x14ac:dyDescent="0.2"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</row>
    <row r="4823" spans="11:23" x14ac:dyDescent="0.2"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</row>
    <row r="4824" spans="11:23" x14ac:dyDescent="0.2"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</row>
    <row r="4825" spans="11:23" x14ac:dyDescent="0.2"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</row>
    <row r="4826" spans="11:23" x14ac:dyDescent="0.2"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</row>
    <row r="4827" spans="11:23" x14ac:dyDescent="0.2"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</row>
    <row r="4828" spans="11:23" x14ac:dyDescent="0.2"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</row>
    <row r="4829" spans="11:23" x14ac:dyDescent="0.2"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</row>
    <row r="4830" spans="11:23" x14ac:dyDescent="0.2"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</row>
    <row r="4831" spans="11:23" x14ac:dyDescent="0.2"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</row>
    <row r="4832" spans="11:23" x14ac:dyDescent="0.2"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</row>
    <row r="4833" spans="11:23" x14ac:dyDescent="0.2"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</row>
    <row r="4834" spans="11:23" x14ac:dyDescent="0.2"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</row>
    <row r="4835" spans="11:23" x14ac:dyDescent="0.2"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</row>
    <row r="4836" spans="11:23" x14ac:dyDescent="0.2"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</row>
    <row r="4837" spans="11:23" x14ac:dyDescent="0.2"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</row>
    <row r="4838" spans="11:23" x14ac:dyDescent="0.2"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</row>
    <row r="4839" spans="11:23" x14ac:dyDescent="0.2"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</row>
    <row r="4840" spans="11:23" x14ac:dyDescent="0.2"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</row>
    <row r="4841" spans="11:23" x14ac:dyDescent="0.2"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</row>
    <row r="4842" spans="11:23" x14ac:dyDescent="0.2"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</row>
    <row r="4843" spans="11:23" x14ac:dyDescent="0.2"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</row>
    <row r="4844" spans="11:23" x14ac:dyDescent="0.2"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</row>
    <row r="4845" spans="11:23" x14ac:dyDescent="0.2"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</row>
    <row r="4846" spans="11:23" x14ac:dyDescent="0.2"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</row>
    <row r="4847" spans="11:23" x14ac:dyDescent="0.2"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</row>
    <row r="4848" spans="11:23" x14ac:dyDescent="0.2"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</row>
    <row r="4849" spans="11:23" x14ac:dyDescent="0.2"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</row>
    <row r="4850" spans="11:23" x14ac:dyDescent="0.2"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</row>
    <row r="4851" spans="11:23" x14ac:dyDescent="0.2"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</row>
    <row r="4852" spans="11:23" x14ac:dyDescent="0.2"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</row>
    <row r="4853" spans="11:23" x14ac:dyDescent="0.2"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</row>
    <row r="4854" spans="11:23" x14ac:dyDescent="0.2"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</row>
    <row r="4855" spans="11:23" x14ac:dyDescent="0.2"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</row>
    <row r="4856" spans="11:23" x14ac:dyDescent="0.2"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</row>
    <row r="4857" spans="11:23" x14ac:dyDescent="0.2"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</row>
    <row r="4858" spans="11:23" x14ac:dyDescent="0.2"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</row>
    <row r="4859" spans="11:23" x14ac:dyDescent="0.2"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</row>
    <row r="4860" spans="11:23" x14ac:dyDescent="0.2"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</row>
    <row r="4861" spans="11:23" x14ac:dyDescent="0.2"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</row>
    <row r="4862" spans="11:23" x14ac:dyDescent="0.2"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</row>
    <row r="4863" spans="11:23" x14ac:dyDescent="0.2"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</row>
    <row r="4864" spans="11:23" x14ac:dyDescent="0.2"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</row>
    <row r="4865" spans="11:23" x14ac:dyDescent="0.2"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</row>
    <row r="4866" spans="11:23" x14ac:dyDescent="0.2"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</row>
    <row r="4867" spans="11:23" x14ac:dyDescent="0.2"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</row>
    <row r="4868" spans="11:23" x14ac:dyDescent="0.2"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</row>
    <row r="4869" spans="11:23" x14ac:dyDescent="0.2"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</row>
    <row r="4870" spans="11:23" x14ac:dyDescent="0.2"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</row>
    <row r="4871" spans="11:23" x14ac:dyDescent="0.2"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</row>
    <row r="4872" spans="11:23" x14ac:dyDescent="0.2"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</row>
    <row r="4873" spans="11:23" x14ac:dyDescent="0.2"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</row>
    <row r="4874" spans="11:23" x14ac:dyDescent="0.2"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</row>
    <row r="4875" spans="11:23" x14ac:dyDescent="0.2"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</row>
    <row r="4876" spans="11:23" x14ac:dyDescent="0.2"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</row>
    <row r="4877" spans="11:23" x14ac:dyDescent="0.2"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</row>
    <row r="4878" spans="11:23" x14ac:dyDescent="0.2"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</row>
    <row r="4879" spans="11:23" x14ac:dyDescent="0.2"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</row>
    <row r="4880" spans="11:23" x14ac:dyDescent="0.2"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</row>
    <row r="4881" spans="11:23" x14ac:dyDescent="0.2"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</row>
    <row r="4882" spans="11:23" x14ac:dyDescent="0.2"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</row>
    <row r="4883" spans="11:23" x14ac:dyDescent="0.2"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</row>
    <row r="4884" spans="11:23" x14ac:dyDescent="0.2"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</row>
    <row r="4885" spans="11:23" x14ac:dyDescent="0.2"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</row>
    <row r="4886" spans="11:23" x14ac:dyDescent="0.2"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</row>
    <row r="4887" spans="11:23" x14ac:dyDescent="0.2"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</row>
    <row r="4888" spans="11:23" x14ac:dyDescent="0.2"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</row>
    <row r="4889" spans="11:23" x14ac:dyDescent="0.2"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</row>
    <row r="4890" spans="11:23" x14ac:dyDescent="0.2"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</row>
    <row r="4891" spans="11:23" x14ac:dyDescent="0.2"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</row>
    <row r="4892" spans="11:23" x14ac:dyDescent="0.2"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</row>
    <row r="4893" spans="11:23" x14ac:dyDescent="0.2"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</row>
    <row r="4894" spans="11:23" x14ac:dyDescent="0.2"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</row>
    <row r="4895" spans="11:23" x14ac:dyDescent="0.2"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</row>
    <row r="4896" spans="11:23" x14ac:dyDescent="0.2"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</row>
    <row r="4897" spans="11:23" x14ac:dyDescent="0.2"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</row>
    <row r="4898" spans="11:23" x14ac:dyDescent="0.2"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</row>
    <row r="4899" spans="11:23" x14ac:dyDescent="0.2"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</row>
    <row r="4900" spans="11:23" x14ac:dyDescent="0.2"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</row>
    <row r="4901" spans="11:23" x14ac:dyDescent="0.2"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</row>
    <row r="4902" spans="11:23" x14ac:dyDescent="0.2"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</row>
    <row r="4903" spans="11:23" x14ac:dyDescent="0.2"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</row>
    <row r="4904" spans="11:23" x14ac:dyDescent="0.2"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</row>
    <row r="4905" spans="11:23" x14ac:dyDescent="0.2"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</row>
    <row r="4906" spans="11:23" x14ac:dyDescent="0.2"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</row>
    <row r="4907" spans="11:23" x14ac:dyDescent="0.2"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</row>
    <row r="4908" spans="11:23" x14ac:dyDescent="0.2"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</row>
    <row r="4909" spans="11:23" x14ac:dyDescent="0.2"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</row>
    <row r="4910" spans="11:23" x14ac:dyDescent="0.2"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</row>
    <row r="4911" spans="11:23" x14ac:dyDescent="0.2"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</row>
    <row r="4912" spans="11:23" x14ac:dyDescent="0.2"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</row>
    <row r="4913" spans="11:23" x14ac:dyDescent="0.2"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</row>
    <row r="4914" spans="11:23" x14ac:dyDescent="0.2"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</row>
    <row r="4915" spans="11:23" x14ac:dyDescent="0.2"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</row>
    <row r="4916" spans="11:23" x14ac:dyDescent="0.2"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</row>
    <row r="4917" spans="11:23" x14ac:dyDescent="0.2"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</row>
    <row r="4918" spans="11:23" x14ac:dyDescent="0.2"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</row>
    <row r="4919" spans="11:23" x14ac:dyDescent="0.2"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</row>
    <row r="4920" spans="11:23" x14ac:dyDescent="0.2"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</row>
    <row r="4921" spans="11:23" x14ac:dyDescent="0.2"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</row>
    <row r="4922" spans="11:23" x14ac:dyDescent="0.2"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</row>
    <row r="4923" spans="11:23" x14ac:dyDescent="0.2"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</row>
    <row r="4924" spans="11:23" x14ac:dyDescent="0.2"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</row>
    <row r="4925" spans="11:23" x14ac:dyDescent="0.2"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</row>
    <row r="4926" spans="11:23" x14ac:dyDescent="0.2"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</row>
    <row r="4927" spans="11:23" x14ac:dyDescent="0.2"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</row>
    <row r="4928" spans="11:23" x14ac:dyDescent="0.2"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</row>
    <row r="4929" spans="11:23" x14ac:dyDescent="0.2"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</row>
    <row r="4930" spans="11:23" x14ac:dyDescent="0.2"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</row>
    <row r="4931" spans="11:23" x14ac:dyDescent="0.2"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</row>
    <row r="4932" spans="11:23" x14ac:dyDescent="0.2"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</row>
    <row r="4933" spans="11:23" x14ac:dyDescent="0.2"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</row>
    <row r="4934" spans="11:23" x14ac:dyDescent="0.2"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</row>
    <row r="4935" spans="11:23" x14ac:dyDescent="0.2"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</row>
    <row r="4936" spans="11:23" x14ac:dyDescent="0.2"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</row>
    <row r="4937" spans="11:23" x14ac:dyDescent="0.2"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</row>
    <row r="4938" spans="11:23" x14ac:dyDescent="0.2"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</row>
    <row r="4939" spans="11:23" x14ac:dyDescent="0.2"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</row>
    <row r="4940" spans="11:23" x14ac:dyDescent="0.2"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</row>
    <row r="4941" spans="11:23" x14ac:dyDescent="0.2"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</row>
    <row r="4942" spans="11:23" x14ac:dyDescent="0.2"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</row>
    <row r="4943" spans="11:23" x14ac:dyDescent="0.2"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</row>
    <row r="4944" spans="11:23" x14ac:dyDescent="0.2"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</row>
    <row r="4945" spans="11:23" x14ac:dyDescent="0.2"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</row>
    <row r="4946" spans="11:23" x14ac:dyDescent="0.2"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</row>
    <row r="4947" spans="11:23" x14ac:dyDescent="0.2"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</row>
    <row r="4948" spans="11:23" x14ac:dyDescent="0.2"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</row>
    <row r="4949" spans="11:23" x14ac:dyDescent="0.2"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</row>
    <row r="4950" spans="11:23" x14ac:dyDescent="0.2"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</row>
    <row r="4951" spans="11:23" x14ac:dyDescent="0.2"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</row>
    <row r="4952" spans="11:23" x14ac:dyDescent="0.2"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</row>
    <row r="4953" spans="11:23" x14ac:dyDescent="0.2"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</row>
    <row r="4954" spans="11:23" x14ac:dyDescent="0.2"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</row>
    <row r="4955" spans="11:23" x14ac:dyDescent="0.2"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</row>
    <row r="4956" spans="11:23" x14ac:dyDescent="0.2"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</row>
    <row r="4957" spans="11:23" x14ac:dyDescent="0.2"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</row>
    <row r="4958" spans="11:23" x14ac:dyDescent="0.2"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</row>
    <row r="4959" spans="11:23" x14ac:dyDescent="0.2"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</row>
    <row r="4960" spans="11:23" x14ac:dyDescent="0.2"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</row>
    <row r="4961" spans="11:23" x14ac:dyDescent="0.2"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</row>
    <row r="4962" spans="11:23" x14ac:dyDescent="0.2"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</row>
    <row r="4963" spans="11:23" x14ac:dyDescent="0.2"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</row>
    <row r="4964" spans="11:23" x14ac:dyDescent="0.2"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</row>
    <row r="4965" spans="11:23" x14ac:dyDescent="0.2"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</row>
    <row r="4966" spans="11:23" x14ac:dyDescent="0.2"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</row>
    <row r="4967" spans="11:23" x14ac:dyDescent="0.2"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</row>
    <row r="4968" spans="11:23" x14ac:dyDescent="0.2"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</row>
    <row r="4969" spans="11:23" x14ac:dyDescent="0.2"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</row>
    <row r="4970" spans="11:23" x14ac:dyDescent="0.2"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</row>
    <row r="4971" spans="11:23" x14ac:dyDescent="0.2"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</row>
    <row r="4972" spans="11:23" x14ac:dyDescent="0.2"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</row>
    <row r="4973" spans="11:23" x14ac:dyDescent="0.2"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</row>
    <row r="4974" spans="11:23" x14ac:dyDescent="0.2"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</row>
    <row r="4975" spans="11:23" x14ac:dyDescent="0.2"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</row>
    <row r="4976" spans="11:23" x14ac:dyDescent="0.2"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</row>
    <row r="4977" spans="11:23" x14ac:dyDescent="0.2"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</row>
    <row r="4978" spans="11:23" x14ac:dyDescent="0.2"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</row>
    <row r="4979" spans="11:23" x14ac:dyDescent="0.2"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</row>
    <row r="4980" spans="11:23" x14ac:dyDescent="0.2"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</row>
    <row r="4981" spans="11:23" x14ac:dyDescent="0.2"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</row>
    <row r="4982" spans="11:23" x14ac:dyDescent="0.2"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</row>
    <row r="4983" spans="11:23" x14ac:dyDescent="0.2"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</row>
    <row r="4984" spans="11:23" x14ac:dyDescent="0.2"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</row>
    <row r="4985" spans="11:23" x14ac:dyDescent="0.2"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</row>
    <row r="4986" spans="11:23" x14ac:dyDescent="0.2"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</row>
    <row r="4987" spans="11:23" x14ac:dyDescent="0.2"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</row>
    <row r="4988" spans="11:23" x14ac:dyDescent="0.2"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</row>
    <row r="4989" spans="11:23" x14ac:dyDescent="0.2"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</row>
    <row r="4990" spans="11:23" x14ac:dyDescent="0.2"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</row>
    <row r="4991" spans="11:23" x14ac:dyDescent="0.2"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</row>
    <row r="4992" spans="11:23" x14ac:dyDescent="0.2"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</row>
    <row r="4993" spans="11:23" x14ac:dyDescent="0.2"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</row>
    <row r="4994" spans="11:23" x14ac:dyDescent="0.2"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</row>
    <row r="4995" spans="11:23" x14ac:dyDescent="0.2"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</row>
    <row r="4996" spans="11:23" x14ac:dyDescent="0.2"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</row>
    <row r="4997" spans="11:23" x14ac:dyDescent="0.2"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</row>
    <row r="4998" spans="11:23" x14ac:dyDescent="0.2"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</row>
    <row r="4999" spans="11:23" x14ac:dyDescent="0.2"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</row>
    <row r="5000" spans="11:23" x14ac:dyDescent="0.2"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</row>
    <row r="5001" spans="11:23" x14ac:dyDescent="0.2"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</row>
    <row r="5002" spans="11:23" x14ac:dyDescent="0.2"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</row>
    <row r="5003" spans="11:23" x14ac:dyDescent="0.2"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</row>
    <row r="5004" spans="11:23" x14ac:dyDescent="0.2"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</row>
    <row r="5005" spans="11:23" x14ac:dyDescent="0.2"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</row>
    <row r="5006" spans="11:23" x14ac:dyDescent="0.2"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</row>
    <row r="5007" spans="11:23" x14ac:dyDescent="0.2"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</row>
    <row r="5008" spans="11:23" x14ac:dyDescent="0.2"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</row>
    <row r="5009" spans="11:23" x14ac:dyDescent="0.2"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</row>
    <row r="5010" spans="11:23" x14ac:dyDescent="0.2"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</row>
    <row r="5011" spans="11:23" x14ac:dyDescent="0.2"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</row>
    <row r="5012" spans="11:23" x14ac:dyDescent="0.2"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</row>
    <row r="5013" spans="11:23" x14ac:dyDescent="0.2"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</row>
    <row r="5014" spans="11:23" x14ac:dyDescent="0.2"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</row>
    <row r="5015" spans="11:23" x14ac:dyDescent="0.2"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</row>
    <row r="5016" spans="11:23" x14ac:dyDescent="0.2"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</row>
    <row r="5017" spans="11:23" x14ac:dyDescent="0.2"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</row>
    <row r="5018" spans="11:23" x14ac:dyDescent="0.2"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</row>
    <row r="5019" spans="11:23" x14ac:dyDescent="0.2"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</row>
    <row r="5020" spans="11:23" x14ac:dyDescent="0.2"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</row>
    <row r="5021" spans="11:23" x14ac:dyDescent="0.2"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</row>
    <row r="5022" spans="11:23" x14ac:dyDescent="0.2"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</row>
    <row r="5023" spans="11:23" x14ac:dyDescent="0.2"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</row>
    <row r="5024" spans="11:23" x14ac:dyDescent="0.2"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</row>
    <row r="5025" spans="11:23" x14ac:dyDescent="0.2"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</row>
    <row r="5026" spans="11:23" x14ac:dyDescent="0.2"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</row>
    <row r="5027" spans="11:23" x14ac:dyDescent="0.2"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</row>
    <row r="5028" spans="11:23" x14ac:dyDescent="0.2"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</row>
    <row r="5029" spans="11:23" x14ac:dyDescent="0.2">
      <c r="K5029" s="13"/>
      <c r="L5029" s="13"/>
      <c r="M5029" s="13"/>
      <c r="N5029" s="13"/>
      <c r="O5029" s="13"/>
      <c r="P5029" s="13"/>
      <c r="Q5029" s="13"/>
      <c r="R5029" s="13"/>
      <c r="S5029" s="13"/>
      <c r="T5029" s="13"/>
      <c r="U5029" s="13"/>
      <c r="V5029" s="13"/>
      <c r="W5029" s="13"/>
    </row>
    <row r="5030" spans="11:23" x14ac:dyDescent="0.2">
      <c r="K5030" s="13"/>
      <c r="L5030" s="13"/>
      <c r="M5030" s="13"/>
      <c r="N5030" s="13"/>
      <c r="O5030" s="13"/>
      <c r="P5030" s="13"/>
      <c r="Q5030" s="13"/>
      <c r="R5030" s="13"/>
      <c r="S5030" s="13"/>
      <c r="T5030" s="13"/>
      <c r="U5030" s="13"/>
      <c r="V5030" s="13"/>
      <c r="W5030" s="13"/>
    </row>
    <row r="5031" spans="11:23" x14ac:dyDescent="0.2"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</row>
    <row r="5032" spans="11:23" x14ac:dyDescent="0.2"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</row>
    <row r="5033" spans="11:23" x14ac:dyDescent="0.2">
      <c r="K5033" s="13"/>
      <c r="L5033" s="13"/>
      <c r="M5033" s="13"/>
      <c r="N5033" s="13"/>
      <c r="O5033" s="13"/>
      <c r="P5033" s="13"/>
      <c r="Q5033" s="13"/>
      <c r="R5033" s="13"/>
      <c r="S5033" s="13"/>
      <c r="T5033" s="13"/>
      <c r="U5033" s="13"/>
      <c r="V5033" s="13"/>
      <c r="W5033" s="13"/>
    </row>
    <row r="5034" spans="11:23" x14ac:dyDescent="0.2">
      <c r="K5034" s="13"/>
      <c r="L5034" s="13"/>
      <c r="M5034" s="13"/>
      <c r="N5034" s="13"/>
      <c r="O5034" s="13"/>
      <c r="P5034" s="13"/>
      <c r="Q5034" s="13"/>
      <c r="R5034" s="13"/>
      <c r="S5034" s="13"/>
      <c r="T5034" s="13"/>
      <c r="U5034" s="13"/>
      <c r="V5034" s="13"/>
      <c r="W5034" s="13"/>
    </row>
    <row r="5035" spans="11:23" x14ac:dyDescent="0.2"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</row>
    <row r="5036" spans="11:23" x14ac:dyDescent="0.2"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</row>
    <row r="5037" spans="11:23" x14ac:dyDescent="0.2">
      <c r="K5037" s="13"/>
      <c r="L5037" s="13"/>
      <c r="M5037" s="13"/>
      <c r="N5037" s="13"/>
      <c r="O5037" s="13"/>
      <c r="P5037" s="13"/>
      <c r="Q5037" s="13"/>
      <c r="R5037" s="13"/>
      <c r="S5037" s="13"/>
      <c r="T5037" s="13"/>
      <c r="U5037" s="13"/>
      <c r="V5037" s="13"/>
      <c r="W5037" s="13"/>
    </row>
    <row r="5038" spans="11:23" x14ac:dyDescent="0.2">
      <c r="K5038" s="13"/>
      <c r="L5038" s="13"/>
      <c r="M5038" s="13"/>
      <c r="N5038" s="13"/>
      <c r="O5038" s="13"/>
      <c r="P5038" s="13"/>
      <c r="Q5038" s="13"/>
      <c r="R5038" s="13"/>
      <c r="S5038" s="13"/>
      <c r="T5038" s="13"/>
      <c r="U5038" s="13"/>
      <c r="V5038" s="13"/>
      <c r="W5038" s="13"/>
    </row>
    <row r="5039" spans="11:23" x14ac:dyDescent="0.2"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</row>
    <row r="5040" spans="11:23" x14ac:dyDescent="0.2"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</row>
    <row r="5041" spans="11:23" x14ac:dyDescent="0.2">
      <c r="K5041" s="13"/>
      <c r="L5041" s="13"/>
      <c r="M5041" s="13"/>
      <c r="N5041" s="13"/>
      <c r="O5041" s="13"/>
      <c r="P5041" s="13"/>
      <c r="Q5041" s="13"/>
      <c r="R5041" s="13"/>
      <c r="S5041" s="13"/>
      <c r="T5041" s="13"/>
      <c r="U5041" s="13"/>
      <c r="V5041" s="13"/>
      <c r="W5041" s="13"/>
    </row>
    <row r="5042" spans="11:23" x14ac:dyDescent="0.2">
      <c r="K5042" s="13"/>
      <c r="L5042" s="13"/>
      <c r="M5042" s="13"/>
      <c r="N5042" s="13"/>
      <c r="O5042" s="13"/>
      <c r="P5042" s="13"/>
      <c r="Q5042" s="13"/>
      <c r="R5042" s="13"/>
      <c r="S5042" s="13"/>
      <c r="T5042" s="13"/>
      <c r="U5042" s="13"/>
      <c r="V5042" s="13"/>
      <c r="W5042" s="13"/>
    </row>
    <row r="5043" spans="11:23" x14ac:dyDescent="0.2"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</row>
    <row r="5044" spans="11:23" x14ac:dyDescent="0.2"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</row>
    <row r="5045" spans="11:23" x14ac:dyDescent="0.2"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</row>
    <row r="5046" spans="11:23" x14ac:dyDescent="0.2"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</row>
    <row r="5047" spans="11:23" x14ac:dyDescent="0.2"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</row>
    <row r="5048" spans="11:23" x14ac:dyDescent="0.2"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</row>
    <row r="5049" spans="11:23" x14ac:dyDescent="0.2"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</row>
    <row r="5050" spans="11:23" x14ac:dyDescent="0.2"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</row>
    <row r="5051" spans="11:23" x14ac:dyDescent="0.2"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</row>
    <row r="5052" spans="11:23" x14ac:dyDescent="0.2"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</row>
    <row r="5053" spans="11:23" x14ac:dyDescent="0.2"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</row>
    <row r="5054" spans="11:23" x14ac:dyDescent="0.2"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</row>
    <row r="5055" spans="11:23" x14ac:dyDescent="0.2"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</row>
    <row r="5056" spans="11:23" x14ac:dyDescent="0.2"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</row>
    <row r="5057" spans="11:23" x14ac:dyDescent="0.2"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</row>
    <row r="5058" spans="11:23" x14ac:dyDescent="0.2"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</row>
    <row r="5059" spans="11:23" x14ac:dyDescent="0.2"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</row>
    <row r="5060" spans="11:23" x14ac:dyDescent="0.2"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</row>
    <row r="5061" spans="11:23" x14ac:dyDescent="0.2"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</row>
    <row r="5062" spans="11:23" x14ac:dyDescent="0.2"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</row>
    <row r="5063" spans="11:23" x14ac:dyDescent="0.2"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</row>
    <row r="5064" spans="11:23" x14ac:dyDescent="0.2"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</row>
    <row r="5065" spans="11:23" x14ac:dyDescent="0.2"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</row>
    <row r="5066" spans="11:23" x14ac:dyDescent="0.2"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</row>
    <row r="5067" spans="11:23" x14ac:dyDescent="0.2"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</row>
    <row r="5068" spans="11:23" x14ac:dyDescent="0.2"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</row>
    <row r="5069" spans="11:23" x14ac:dyDescent="0.2"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</row>
    <row r="5070" spans="11:23" x14ac:dyDescent="0.2"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</row>
    <row r="5071" spans="11:23" x14ac:dyDescent="0.2"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</row>
    <row r="5072" spans="11:23" x14ac:dyDescent="0.2"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</row>
    <row r="5073" spans="11:23" x14ac:dyDescent="0.2"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</row>
    <row r="5074" spans="11:23" x14ac:dyDescent="0.2"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</row>
    <row r="5075" spans="11:23" x14ac:dyDescent="0.2"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</row>
    <row r="5076" spans="11:23" x14ac:dyDescent="0.2"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</row>
    <row r="5077" spans="11:23" x14ac:dyDescent="0.2"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</row>
    <row r="5078" spans="11:23" x14ac:dyDescent="0.2"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</row>
    <row r="5079" spans="11:23" x14ac:dyDescent="0.2"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</row>
    <row r="5080" spans="11:23" x14ac:dyDescent="0.2"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</row>
    <row r="5081" spans="11:23" x14ac:dyDescent="0.2"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</row>
    <row r="5082" spans="11:23" x14ac:dyDescent="0.2"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</row>
    <row r="5083" spans="11:23" x14ac:dyDescent="0.2"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</row>
    <row r="5084" spans="11:23" x14ac:dyDescent="0.2"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</row>
    <row r="5085" spans="11:23" x14ac:dyDescent="0.2"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</row>
    <row r="5086" spans="11:23" x14ac:dyDescent="0.2"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</row>
    <row r="5087" spans="11:23" x14ac:dyDescent="0.2"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</row>
    <row r="5088" spans="11:23" x14ac:dyDescent="0.2"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</row>
    <row r="5089" spans="11:23" x14ac:dyDescent="0.2"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</row>
    <row r="5090" spans="11:23" x14ac:dyDescent="0.2"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</row>
    <row r="5091" spans="11:23" x14ac:dyDescent="0.2"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</row>
    <row r="5092" spans="11:23" x14ac:dyDescent="0.2"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</row>
    <row r="5093" spans="11:23" x14ac:dyDescent="0.2"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</row>
    <row r="5094" spans="11:23" x14ac:dyDescent="0.2"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</row>
    <row r="5095" spans="11:23" x14ac:dyDescent="0.2"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</row>
    <row r="5096" spans="11:23" x14ac:dyDescent="0.2"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</row>
    <row r="5097" spans="11:23" x14ac:dyDescent="0.2"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</row>
    <row r="5098" spans="11:23" x14ac:dyDescent="0.2"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</row>
    <row r="5099" spans="11:23" x14ac:dyDescent="0.2"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</row>
    <row r="5100" spans="11:23" x14ac:dyDescent="0.2"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</row>
    <row r="5101" spans="11:23" x14ac:dyDescent="0.2"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</row>
    <row r="5102" spans="11:23" x14ac:dyDescent="0.2"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</row>
    <row r="5103" spans="11:23" x14ac:dyDescent="0.2"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</row>
    <row r="5104" spans="11:23" x14ac:dyDescent="0.2"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</row>
    <row r="5105" spans="11:23" x14ac:dyDescent="0.2"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</row>
    <row r="5106" spans="11:23" x14ac:dyDescent="0.2"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</row>
    <row r="5107" spans="11:23" x14ac:dyDescent="0.2"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</row>
    <row r="5108" spans="11:23" x14ac:dyDescent="0.2"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</row>
    <row r="5109" spans="11:23" x14ac:dyDescent="0.2"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</row>
    <row r="5110" spans="11:23" x14ac:dyDescent="0.2"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</row>
    <row r="5111" spans="11:23" x14ac:dyDescent="0.2"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</row>
    <row r="5112" spans="11:23" x14ac:dyDescent="0.2"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</row>
    <row r="5113" spans="11:23" x14ac:dyDescent="0.2"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</row>
    <row r="5114" spans="11:23" x14ac:dyDescent="0.2"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</row>
    <row r="5115" spans="11:23" x14ac:dyDescent="0.2"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</row>
    <row r="5116" spans="11:23" x14ac:dyDescent="0.2"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</row>
    <row r="5117" spans="11:23" x14ac:dyDescent="0.2"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</row>
    <row r="5118" spans="11:23" x14ac:dyDescent="0.2"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</row>
    <row r="5119" spans="11:23" x14ac:dyDescent="0.2"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</row>
    <row r="5120" spans="11:23" x14ac:dyDescent="0.2"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</row>
    <row r="5121" spans="11:23" x14ac:dyDescent="0.2"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</row>
    <row r="5122" spans="11:23" x14ac:dyDescent="0.2"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</row>
    <row r="5123" spans="11:23" x14ac:dyDescent="0.2"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</row>
    <row r="5124" spans="11:23" x14ac:dyDescent="0.2"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</row>
    <row r="5125" spans="11:23" x14ac:dyDescent="0.2"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</row>
    <row r="5126" spans="11:23" x14ac:dyDescent="0.2"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</row>
    <row r="5127" spans="11:23" x14ac:dyDescent="0.2"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</row>
    <row r="5128" spans="11:23" x14ac:dyDescent="0.2"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</row>
    <row r="5129" spans="11:23" x14ac:dyDescent="0.2"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</row>
    <row r="5130" spans="11:23" x14ac:dyDescent="0.2"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</row>
    <row r="5131" spans="11:23" x14ac:dyDescent="0.2"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</row>
    <row r="5132" spans="11:23" x14ac:dyDescent="0.2"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</row>
    <row r="5133" spans="11:23" x14ac:dyDescent="0.2"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</row>
    <row r="5134" spans="11:23" x14ac:dyDescent="0.2"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</row>
    <row r="5135" spans="11:23" x14ac:dyDescent="0.2"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</row>
    <row r="5136" spans="11:23" x14ac:dyDescent="0.2"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</row>
    <row r="5137" spans="11:23" x14ac:dyDescent="0.2"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</row>
    <row r="5138" spans="11:23" x14ac:dyDescent="0.2"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</row>
    <row r="5139" spans="11:23" x14ac:dyDescent="0.2"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</row>
    <row r="5140" spans="11:23" x14ac:dyDescent="0.2"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</row>
    <row r="5141" spans="11:23" x14ac:dyDescent="0.2"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</row>
    <row r="5142" spans="11:23" x14ac:dyDescent="0.2">
      <c r="K5142" s="13"/>
      <c r="L5142" s="13"/>
      <c r="M5142" s="13"/>
      <c r="N5142" s="13"/>
      <c r="O5142" s="13"/>
      <c r="P5142" s="13"/>
      <c r="Q5142" s="13"/>
      <c r="R5142" s="13"/>
      <c r="S5142" s="13"/>
      <c r="T5142" s="13"/>
      <c r="U5142" s="13"/>
      <c r="V5142" s="13"/>
      <c r="W5142" s="13"/>
    </row>
    <row r="5143" spans="11:23" x14ac:dyDescent="0.2"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</row>
    <row r="5144" spans="11:23" x14ac:dyDescent="0.2"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</row>
    <row r="5145" spans="11:23" x14ac:dyDescent="0.2"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</row>
    <row r="5146" spans="11:23" x14ac:dyDescent="0.2"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</row>
    <row r="5147" spans="11:23" x14ac:dyDescent="0.2"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</row>
    <row r="5148" spans="11:23" x14ac:dyDescent="0.2"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</row>
    <row r="5149" spans="11:23" x14ac:dyDescent="0.2"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</row>
    <row r="5150" spans="11:23" x14ac:dyDescent="0.2"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</row>
    <row r="5151" spans="11:23" x14ac:dyDescent="0.2"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</row>
    <row r="5152" spans="11:23" x14ac:dyDescent="0.2"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</row>
    <row r="5153" spans="11:23" x14ac:dyDescent="0.2"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</row>
    <row r="5154" spans="11:23" x14ac:dyDescent="0.2"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</row>
    <row r="5155" spans="11:23" x14ac:dyDescent="0.2"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</row>
    <row r="5156" spans="11:23" x14ac:dyDescent="0.2"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</row>
    <row r="5157" spans="11:23" x14ac:dyDescent="0.2"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</row>
    <row r="5158" spans="11:23" x14ac:dyDescent="0.2"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</row>
    <row r="5159" spans="11:23" x14ac:dyDescent="0.2"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</row>
    <row r="5160" spans="11:23" x14ac:dyDescent="0.2"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</row>
    <row r="5161" spans="11:23" x14ac:dyDescent="0.2"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</row>
    <row r="5162" spans="11:23" x14ac:dyDescent="0.2"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</row>
    <row r="5163" spans="11:23" x14ac:dyDescent="0.2"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</row>
    <row r="5164" spans="11:23" x14ac:dyDescent="0.2"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</row>
    <row r="5165" spans="11:23" x14ac:dyDescent="0.2"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</row>
    <row r="5166" spans="11:23" x14ac:dyDescent="0.2"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</row>
    <row r="5167" spans="11:23" x14ac:dyDescent="0.2"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</row>
    <row r="5168" spans="11:23" x14ac:dyDescent="0.2"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</row>
    <row r="5169" spans="11:23" x14ac:dyDescent="0.2"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</row>
    <row r="5170" spans="11:23" x14ac:dyDescent="0.2"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</row>
    <row r="5171" spans="11:23" x14ac:dyDescent="0.2"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</row>
    <row r="5172" spans="11:23" x14ac:dyDescent="0.2"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</row>
    <row r="5173" spans="11:23" x14ac:dyDescent="0.2"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</row>
    <row r="5174" spans="11:23" x14ac:dyDescent="0.2"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</row>
    <row r="5175" spans="11:23" x14ac:dyDescent="0.2"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</row>
    <row r="5176" spans="11:23" x14ac:dyDescent="0.2"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</row>
    <row r="5177" spans="11:23" x14ac:dyDescent="0.2">
      <c r="K5177" s="13"/>
      <c r="L5177" s="13"/>
      <c r="M5177" s="13"/>
      <c r="N5177" s="13"/>
      <c r="O5177" s="13"/>
      <c r="P5177" s="13"/>
      <c r="Q5177" s="13"/>
      <c r="R5177" s="13"/>
      <c r="S5177" s="13"/>
      <c r="T5177" s="13"/>
      <c r="U5177" s="13"/>
      <c r="V5177" s="13"/>
      <c r="W5177" s="13"/>
    </row>
    <row r="5178" spans="11:23" x14ac:dyDescent="0.2">
      <c r="K5178" s="13"/>
      <c r="L5178" s="13"/>
      <c r="M5178" s="13"/>
      <c r="N5178" s="13"/>
      <c r="O5178" s="13"/>
      <c r="P5178" s="13"/>
      <c r="Q5178" s="13"/>
      <c r="R5178" s="13"/>
      <c r="S5178" s="13"/>
      <c r="T5178" s="13"/>
      <c r="U5178" s="13"/>
      <c r="V5178" s="13"/>
      <c r="W5178" s="13"/>
    </row>
    <row r="5179" spans="11:23" x14ac:dyDescent="0.2"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</row>
    <row r="5180" spans="11:23" x14ac:dyDescent="0.2"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</row>
    <row r="5181" spans="11:23" x14ac:dyDescent="0.2">
      <c r="K5181" s="13"/>
      <c r="L5181" s="13"/>
      <c r="M5181" s="13"/>
      <c r="N5181" s="13"/>
      <c r="O5181" s="13"/>
      <c r="P5181" s="13"/>
      <c r="Q5181" s="13"/>
      <c r="R5181" s="13"/>
      <c r="S5181" s="13"/>
      <c r="T5181" s="13"/>
      <c r="U5181" s="13"/>
      <c r="V5181" s="13"/>
      <c r="W5181" s="13"/>
    </row>
    <row r="5182" spans="11:23" x14ac:dyDescent="0.2">
      <c r="K5182" s="13"/>
      <c r="L5182" s="13"/>
      <c r="M5182" s="13"/>
      <c r="N5182" s="13"/>
      <c r="O5182" s="13"/>
      <c r="P5182" s="13"/>
      <c r="Q5182" s="13"/>
      <c r="R5182" s="13"/>
      <c r="S5182" s="13"/>
      <c r="T5182" s="13"/>
      <c r="U5182" s="13"/>
      <c r="V5182" s="13"/>
      <c r="W5182" s="13"/>
    </row>
    <row r="5183" spans="11:23" x14ac:dyDescent="0.2"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</row>
    <row r="5184" spans="11:23" x14ac:dyDescent="0.2"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</row>
    <row r="5185" spans="11:23" x14ac:dyDescent="0.2">
      <c r="K5185" s="13"/>
      <c r="L5185" s="13"/>
      <c r="M5185" s="13"/>
      <c r="N5185" s="13"/>
      <c r="O5185" s="13"/>
      <c r="P5185" s="13"/>
      <c r="Q5185" s="13"/>
      <c r="R5185" s="13"/>
      <c r="S5185" s="13"/>
      <c r="T5185" s="13"/>
      <c r="U5185" s="13"/>
      <c r="V5185" s="13"/>
      <c r="W5185" s="13"/>
    </row>
    <row r="5186" spans="11:23" x14ac:dyDescent="0.2">
      <c r="K5186" s="13"/>
      <c r="L5186" s="13"/>
      <c r="M5186" s="13"/>
      <c r="N5186" s="13"/>
      <c r="O5186" s="13"/>
      <c r="P5186" s="13"/>
      <c r="Q5186" s="13"/>
      <c r="R5186" s="13"/>
      <c r="S5186" s="13"/>
      <c r="T5186" s="13"/>
      <c r="U5186" s="13"/>
      <c r="V5186" s="13"/>
      <c r="W5186" s="13"/>
    </row>
    <row r="5187" spans="11:23" x14ac:dyDescent="0.2"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</row>
    <row r="5188" spans="11:23" x14ac:dyDescent="0.2"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</row>
    <row r="5189" spans="11:23" x14ac:dyDescent="0.2"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</row>
    <row r="5190" spans="11:23" x14ac:dyDescent="0.2"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</row>
    <row r="5191" spans="11:23" x14ac:dyDescent="0.2"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</row>
    <row r="5192" spans="11:23" x14ac:dyDescent="0.2"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</row>
    <row r="5193" spans="11:23" x14ac:dyDescent="0.2"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</row>
    <row r="5194" spans="11:23" x14ac:dyDescent="0.2"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</row>
    <row r="5195" spans="11:23" x14ac:dyDescent="0.2"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</row>
    <row r="5196" spans="11:23" x14ac:dyDescent="0.2"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</row>
    <row r="5197" spans="11:23" x14ac:dyDescent="0.2"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</row>
    <row r="5198" spans="11:23" x14ac:dyDescent="0.2"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</row>
    <row r="5199" spans="11:23" x14ac:dyDescent="0.2"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</row>
    <row r="5200" spans="11:23" x14ac:dyDescent="0.2"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</row>
    <row r="5201" spans="11:23" x14ac:dyDescent="0.2"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</row>
    <row r="5202" spans="11:23" x14ac:dyDescent="0.2"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</row>
    <row r="5203" spans="11:23" x14ac:dyDescent="0.2"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</row>
    <row r="5204" spans="11:23" x14ac:dyDescent="0.2"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</row>
    <row r="5205" spans="11:23" x14ac:dyDescent="0.2"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</row>
    <row r="5206" spans="11:23" x14ac:dyDescent="0.2"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</row>
    <row r="5207" spans="11:23" x14ac:dyDescent="0.2"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</row>
    <row r="5208" spans="11:23" x14ac:dyDescent="0.2"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</row>
    <row r="5209" spans="11:23" x14ac:dyDescent="0.2"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</row>
    <row r="5210" spans="11:23" x14ac:dyDescent="0.2"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</row>
    <row r="5211" spans="11:23" x14ac:dyDescent="0.2"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</row>
    <row r="5212" spans="11:23" x14ac:dyDescent="0.2"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</row>
    <row r="5213" spans="11:23" x14ac:dyDescent="0.2"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</row>
    <row r="5214" spans="11:23" x14ac:dyDescent="0.2"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</row>
    <row r="5215" spans="11:23" x14ac:dyDescent="0.2"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</row>
    <row r="5216" spans="11:23" x14ac:dyDescent="0.2"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</row>
    <row r="5217" spans="11:23" x14ac:dyDescent="0.2"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</row>
    <row r="5218" spans="11:23" x14ac:dyDescent="0.2"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</row>
    <row r="5219" spans="11:23" x14ac:dyDescent="0.2"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</row>
    <row r="5220" spans="11:23" x14ac:dyDescent="0.2"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</row>
    <row r="5221" spans="11:23" x14ac:dyDescent="0.2"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</row>
    <row r="5222" spans="11:23" x14ac:dyDescent="0.2"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</row>
    <row r="5223" spans="11:23" x14ac:dyDescent="0.2"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</row>
    <row r="5224" spans="11:23" x14ac:dyDescent="0.2"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</row>
    <row r="5225" spans="11:23" x14ac:dyDescent="0.2"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</row>
    <row r="5226" spans="11:23" x14ac:dyDescent="0.2"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</row>
    <row r="5227" spans="11:23" x14ac:dyDescent="0.2"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</row>
    <row r="5228" spans="11:23" x14ac:dyDescent="0.2"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</row>
    <row r="5229" spans="11:23" x14ac:dyDescent="0.2"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</row>
    <row r="5230" spans="11:23" x14ac:dyDescent="0.2"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</row>
    <row r="5231" spans="11:23" x14ac:dyDescent="0.2"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</row>
    <row r="5232" spans="11:23" x14ac:dyDescent="0.2"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</row>
    <row r="5233" spans="11:23" x14ac:dyDescent="0.2"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</row>
    <row r="5234" spans="11:23" x14ac:dyDescent="0.2"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</row>
    <row r="5235" spans="11:23" x14ac:dyDescent="0.2"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</row>
    <row r="5236" spans="11:23" x14ac:dyDescent="0.2"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</row>
    <row r="5237" spans="11:23" x14ac:dyDescent="0.2">
      <c r="K5237" s="13"/>
      <c r="L5237" s="13"/>
      <c r="M5237" s="13"/>
      <c r="N5237" s="13"/>
      <c r="O5237" s="13"/>
      <c r="P5237" s="13"/>
      <c r="Q5237" s="13"/>
      <c r="R5237" s="13"/>
      <c r="S5237" s="13"/>
      <c r="T5237" s="13"/>
      <c r="U5237" s="13"/>
      <c r="V5237" s="13"/>
      <c r="W5237" s="13"/>
    </row>
    <row r="5238" spans="11:23" x14ac:dyDescent="0.2">
      <c r="K5238" s="13"/>
      <c r="L5238" s="13"/>
      <c r="M5238" s="13"/>
      <c r="N5238" s="13"/>
      <c r="O5238" s="13"/>
      <c r="P5238" s="13"/>
      <c r="Q5238" s="13"/>
      <c r="R5238" s="13"/>
      <c r="S5238" s="13"/>
      <c r="T5238" s="13"/>
      <c r="U5238" s="13"/>
      <c r="V5238" s="13"/>
      <c r="W5238" s="13"/>
    </row>
    <row r="5239" spans="11:23" x14ac:dyDescent="0.2"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</row>
    <row r="5240" spans="11:23" x14ac:dyDescent="0.2"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</row>
    <row r="5241" spans="11:23" x14ac:dyDescent="0.2">
      <c r="K5241" s="13"/>
      <c r="L5241" s="13"/>
      <c r="M5241" s="13"/>
      <c r="N5241" s="13"/>
      <c r="O5241" s="13"/>
      <c r="P5241" s="13"/>
      <c r="Q5241" s="13"/>
      <c r="R5241" s="13"/>
      <c r="S5241" s="13"/>
      <c r="T5241" s="13"/>
      <c r="U5241" s="13"/>
      <c r="V5241" s="13"/>
      <c r="W5241" s="13"/>
    </row>
    <row r="5242" spans="11:23" x14ac:dyDescent="0.2">
      <c r="K5242" s="13"/>
      <c r="L5242" s="13"/>
      <c r="M5242" s="13"/>
      <c r="N5242" s="13"/>
      <c r="O5242" s="13"/>
      <c r="P5242" s="13"/>
      <c r="Q5242" s="13"/>
      <c r="R5242" s="13"/>
      <c r="S5242" s="13"/>
      <c r="T5242" s="13"/>
      <c r="U5242" s="13"/>
      <c r="V5242" s="13"/>
      <c r="W5242" s="13"/>
    </row>
    <row r="5243" spans="11:23" x14ac:dyDescent="0.2"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</row>
    <row r="5244" spans="11:23" x14ac:dyDescent="0.2"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</row>
    <row r="5245" spans="11:23" x14ac:dyDescent="0.2">
      <c r="K5245" s="13"/>
      <c r="L5245" s="13"/>
      <c r="M5245" s="13"/>
      <c r="N5245" s="13"/>
      <c r="O5245" s="13"/>
      <c r="P5245" s="13"/>
      <c r="Q5245" s="13"/>
      <c r="R5245" s="13"/>
      <c r="S5245" s="13"/>
      <c r="T5245" s="13"/>
      <c r="U5245" s="13"/>
      <c r="V5245" s="13"/>
      <c r="W5245" s="13"/>
    </row>
    <row r="5246" spans="11:23" x14ac:dyDescent="0.2">
      <c r="K5246" s="13"/>
      <c r="L5246" s="13"/>
      <c r="M5246" s="13"/>
      <c r="N5246" s="13"/>
      <c r="O5246" s="13"/>
      <c r="P5246" s="13"/>
      <c r="Q5246" s="13"/>
      <c r="R5246" s="13"/>
      <c r="S5246" s="13"/>
      <c r="T5246" s="13"/>
      <c r="U5246" s="13"/>
      <c r="V5246" s="13"/>
      <c r="W5246" s="13"/>
    </row>
    <row r="5247" spans="11:23" x14ac:dyDescent="0.2"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</row>
    <row r="5248" spans="11:23" x14ac:dyDescent="0.2"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</row>
    <row r="5249" spans="11:23" x14ac:dyDescent="0.2">
      <c r="K5249" s="13"/>
      <c r="L5249" s="13"/>
      <c r="M5249" s="13"/>
      <c r="N5249" s="13"/>
      <c r="O5249" s="13"/>
      <c r="P5249" s="13"/>
      <c r="Q5249" s="13"/>
      <c r="R5249" s="13"/>
      <c r="S5249" s="13"/>
      <c r="T5249" s="13"/>
      <c r="U5249" s="13"/>
      <c r="V5249" s="13"/>
      <c r="W5249" s="13"/>
    </row>
    <row r="5250" spans="11:23" x14ac:dyDescent="0.2">
      <c r="K5250" s="13"/>
      <c r="L5250" s="13"/>
      <c r="M5250" s="13"/>
      <c r="N5250" s="13"/>
      <c r="O5250" s="13"/>
      <c r="P5250" s="13"/>
      <c r="Q5250" s="13"/>
      <c r="R5250" s="13"/>
      <c r="S5250" s="13"/>
      <c r="T5250" s="13"/>
      <c r="U5250" s="13"/>
      <c r="V5250" s="13"/>
      <c r="W5250" s="13"/>
    </row>
    <row r="5251" spans="11:23" x14ac:dyDescent="0.2"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</row>
    <row r="5252" spans="11:23" x14ac:dyDescent="0.2"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</row>
    <row r="5253" spans="11:23" x14ac:dyDescent="0.2"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</row>
    <row r="5254" spans="11:23" x14ac:dyDescent="0.2"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</row>
    <row r="5255" spans="11:23" x14ac:dyDescent="0.2"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</row>
    <row r="5256" spans="11:23" x14ac:dyDescent="0.2"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</row>
    <row r="5257" spans="11:23" x14ac:dyDescent="0.2"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</row>
    <row r="5258" spans="11:23" x14ac:dyDescent="0.2">
      <c r="K5258" s="13"/>
      <c r="L5258" s="13"/>
      <c r="M5258" s="13"/>
      <c r="N5258" s="13"/>
      <c r="O5258" s="13"/>
      <c r="P5258" s="13"/>
      <c r="Q5258" s="13"/>
      <c r="R5258" s="13"/>
      <c r="S5258" s="13"/>
      <c r="T5258" s="13"/>
      <c r="U5258" s="13"/>
      <c r="V5258" s="13"/>
      <c r="W5258" s="13"/>
    </row>
    <row r="5259" spans="11:23" x14ac:dyDescent="0.2"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</row>
    <row r="5260" spans="11:23" x14ac:dyDescent="0.2"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</row>
    <row r="5261" spans="11:23" x14ac:dyDescent="0.2"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</row>
    <row r="5262" spans="11:23" x14ac:dyDescent="0.2"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</row>
    <row r="5263" spans="11:23" x14ac:dyDescent="0.2"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</row>
    <row r="5264" spans="11:23" x14ac:dyDescent="0.2"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</row>
    <row r="5265" spans="11:23" x14ac:dyDescent="0.2">
      <c r="K5265" s="13"/>
      <c r="L5265" s="13"/>
      <c r="M5265" s="13"/>
      <c r="N5265" s="13"/>
      <c r="O5265" s="13"/>
      <c r="P5265" s="13"/>
      <c r="Q5265" s="13"/>
      <c r="R5265" s="13"/>
      <c r="S5265" s="13"/>
      <c r="T5265" s="13"/>
      <c r="U5265" s="13"/>
      <c r="V5265" s="13"/>
      <c r="W5265" s="13"/>
    </row>
    <row r="5266" spans="11:23" x14ac:dyDescent="0.2"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</row>
    <row r="5267" spans="11:23" x14ac:dyDescent="0.2"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</row>
    <row r="5268" spans="11:23" x14ac:dyDescent="0.2"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</row>
    <row r="5269" spans="11:23" x14ac:dyDescent="0.2"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</row>
    <row r="5270" spans="11:23" x14ac:dyDescent="0.2">
      <c r="K5270" s="13"/>
      <c r="L5270" s="13"/>
      <c r="M5270" s="13"/>
      <c r="N5270" s="13"/>
      <c r="O5270" s="13"/>
      <c r="P5270" s="13"/>
      <c r="Q5270" s="13"/>
      <c r="R5270" s="13"/>
      <c r="S5270" s="13"/>
      <c r="T5270" s="13"/>
      <c r="U5270" s="13"/>
      <c r="V5270" s="13"/>
      <c r="W5270" s="13"/>
    </row>
    <row r="5271" spans="11:23" x14ac:dyDescent="0.2"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</row>
    <row r="5272" spans="11:23" x14ac:dyDescent="0.2"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</row>
    <row r="5273" spans="11:23" x14ac:dyDescent="0.2"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</row>
    <row r="5274" spans="11:23" x14ac:dyDescent="0.2"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</row>
    <row r="5275" spans="11:23" x14ac:dyDescent="0.2"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</row>
    <row r="5276" spans="11:23" x14ac:dyDescent="0.2"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</row>
    <row r="5277" spans="11:23" x14ac:dyDescent="0.2"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</row>
    <row r="5278" spans="11:23" x14ac:dyDescent="0.2"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</row>
    <row r="5279" spans="11:23" x14ac:dyDescent="0.2"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</row>
    <row r="5280" spans="11:23" x14ac:dyDescent="0.2"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</row>
    <row r="5281" spans="11:23" x14ac:dyDescent="0.2"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</row>
    <row r="5282" spans="11:23" x14ac:dyDescent="0.2"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</row>
    <row r="5283" spans="11:23" x14ac:dyDescent="0.2"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</row>
    <row r="5284" spans="11:23" x14ac:dyDescent="0.2"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</row>
    <row r="5285" spans="11:23" x14ac:dyDescent="0.2"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</row>
    <row r="5286" spans="11:23" x14ac:dyDescent="0.2"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</row>
    <row r="5287" spans="11:23" x14ac:dyDescent="0.2"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</row>
    <row r="5288" spans="11:23" x14ac:dyDescent="0.2"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</row>
    <row r="5289" spans="11:23" x14ac:dyDescent="0.2"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</row>
    <row r="5290" spans="11:23" x14ac:dyDescent="0.2"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</row>
    <row r="5291" spans="11:23" x14ac:dyDescent="0.2"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</row>
    <row r="5292" spans="11:23" x14ac:dyDescent="0.2"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</row>
    <row r="5293" spans="11:23" x14ac:dyDescent="0.2"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</row>
    <row r="5294" spans="11:23" x14ac:dyDescent="0.2"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</row>
    <row r="5295" spans="11:23" x14ac:dyDescent="0.2"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</row>
    <row r="5296" spans="11:23" x14ac:dyDescent="0.2"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</row>
    <row r="5297" spans="11:23" x14ac:dyDescent="0.2"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</row>
    <row r="5298" spans="11:23" x14ac:dyDescent="0.2"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</row>
    <row r="5299" spans="11:23" x14ac:dyDescent="0.2"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</row>
    <row r="5300" spans="11:23" x14ac:dyDescent="0.2"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</row>
    <row r="5301" spans="11:23" x14ac:dyDescent="0.2"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</row>
    <row r="5302" spans="11:23" x14ac:dyDescent="0.2">
      <c r="K5302" s="13"/>
      <c r="L5302" s="13"/>
      <c r="M5302" s="13"/>
      <c r="N5302" s="13"/>
      <c r="O5302" s="13"/>
      <c r="P5302" s="13"/>
      <c r="Q5302" s="13"/>
      <c r="R5302" s="13"/>
      <c r="S5302" s="13"/>
      <c r="T5302" s="13"/>
      <c r="U5302" s="13"/>
      <c r="V5302" s="13"/>
      <c r="W5302" s="13"/>
    </row>
    <row r="5303" spans="11:23" x14ac:dyDescent="0.2"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</row>
    <row r="5304" spans="11:23" x14ac:dyDescent="0.2"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</row>
    <row r="5305" spans="11:23" x14ac:dyDescent="0.2"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</row>
    <row r="5306" spans="11:23" x14ac:dyDescent="0.2"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</row>
    <row r="5307" spans="11:23" x14ac:dyDescent="0.2"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</row>
    <row r="5308" spans="11:23" x14ac:dyDescent="0.2"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</row>
    <row r="5309" spans="11:23" x14ac:dyDescent="0.2"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</row>
    <row r="5310" spans="11:23" x14ac:dyDescent="0.2"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</row>
    <row r="5311" spans="11:23" x14ac:dyDescent="0.2"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</row>
    <row r="5312" spans="11:23" x14ac:dyDescent="0.2"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</row>
    <row r="5313" spans="11:23" x14ac:dyDescent="0.2"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</row>
    <row r="5314" spans="11:23" x14ac:dyDescent="0.2"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</row>
    <row r="5315" spans="11:23" x14ac:dyDescent="0.2"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</row>
    <row r="5316" spans="11:23" x14ac:dyDescent="0.2"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</row>
    <row r="5317" spans="11:23" x14ac:dyDescent="0.2"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</row>
    <row r="5318" spans="11:23" x14ac:dyDescent="0.2"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</row>
    <row r="5319" spans="11:23" x14ac:dyDescent="0.2"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</row>
    <row r="5320" spans="11:23" x14ac:dyDescent="0.2"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</row>
    <row r="5321" spans="11:23" x14ac:dyDescent="0.2"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</row>
    <row r="5322" spans="11:23" x14ac:dyDescent="0.2"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</row>
    <row r="5323" spans="11:23" x14ac:dyDescent="0.2"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</row>
    <row r="5324" spans="11:23" x14ac:dyDescent="0.2"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</row>
    <row r="5325" spans="11:23" x14ac:dyDescent="0.2"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</row>
    <row r="5326" spans="11:23" x14ac:dyDescent="0.2"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</row>
    <row r="5327" spans="11:23" x14ac:dyDescent="0.2"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</row>
    <row r="5328" spans="11:23" x14ac:dyDescent="0.2"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</row>
    <row r="5329" spans="11:23" x14ac:dyDescent="0.2"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</row>
    <row r="5330" spans="11:23" x14ac:dyDescent="0.2">
      <c r="K5330" s="13"/>
      <c r="L5330" s="13"/>
      <c r="M5330" s="13"/>
      <c r="N5330" s="13"/>
      <c r="O5330" s="13"/>
      <c r="P5330" s="13"/>
      <c r="Q5330" s="13"/>
      <c r="R5330" s="13"/>
      <c r="S5330" s="13"/>
      <c r="T5330" s="13"/>
      <c r="U5330" s="13"/>
      <c r="V5330" s="13"/>
      <c r="W5330" s="13"/>
    </row>
    <row r="5331" spans="11:23" x14ac:dyDescent="0.2"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</row>
    <row r="5332" spans="11:23" x14ac:dyDescent="0.2"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</row>
    <row r="5333" spans="11:23" x14ac:dyDescent="0.2"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</row>
    <row r="5334" spans="11:23" x14ac:dyDescent="0.2">
      <c r="K5334" s="13"/>
      <c r="L5334" s="13"/>
      <c r="M5334" s="13"/>
      <c r="N5334" s="13"/>
      <c r="O5334" s="13"/>
      <c r="P5334" s="13"/>
      <c r="Q5334" s="13"/>
      <c r="R5334" s="13"/>
      <c r="S5334" s="13"/>
      <c r="T5334" s="13"/>
      <c r="U5334" s="13"/>
      <c r="V5334" s="13"/>
      <c r="W5334" s="13"/>
    </row>
    <row r="5335" spans="11:23" x14ac:dyDescent="0.2"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</row>
    <row r="5336" spans="11:23" x14ac:dyDescent="0.2"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</row>
    <row r="5337" spans="11:23" x14ac:dyDescent="0.2"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</row>
    <row r="5338" spans="11:23" x14ac:dyDescent="0.2"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</row>
    <row r="5339" spans="11:23" x14ac:dyDescent="0.2"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</row>
    <row r="5340" spans="11:23" x14ac:dyDescent="0.2"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</row>
    <row r="5341" spans="11:23" x14ac:dyDescent="0.2"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</row>
    <row r="5342" spans="11:23" x14ac:dyDescent="0.2"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</row>
    <row r="5343" spans="11:23" x14ac:dyDescent="0.2"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</row>
    <row r="5344" spans="11:23" x14ac:dyDescent="0.2"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</row>
    <row r="5345" spans="11:23" x14ac:dyDescent="0.2"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</row>
    <row r="5346" spans="11:23" x14ac:dyDescent="0.2"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</row>
    <row r="5347" spans="11:23" x14ac:dyDescent="0.2"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</row>
    <row r="5348" spans="11:23" x14ac:dyDescent="0.2"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</row>
    <row r="5349" spans="11:23" x14ac:dyDescent="0.2"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</row>
    <row r="5350" spans="11:23" x14ac:dyDescent="0.2"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</row>
    <row r="5351" spans="11:23" x14ac:dyDescent="0.2"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</row>
    <row r="5352" spans="11:23" x14ac:dyDescent="0.2"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</row>
    <row r="5353" spans="11:23" x14ac:dyDescent="0.2"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</row>
    <row r="5354" spans="11:23" x14ac:dyDescent="0.2"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</row>
    <row r="5355" spans="11:23" x14ac:dyDescent="0.2"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</row>
    <row r="5356" spans="11:23" x14ac:dyDescent="0.2"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</row>
    <row r="5357" spans="11:23" x14ac:dyDescent="0.2"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</row>
    <row r="5358" spans="11:23" x14ac:dyDescent="0.2"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</row>
    <row r="5359" spans="11:23" x14ac:dyDescent="0.2"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</row>
    <row r="5360" spans="11:23" x14ac:dyDescent="0.2"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</row>
    <row r="5361" spans="11:23" x14ac:dyDescent="0.2"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</row>
    <row r="5362" spans="11:23" x14ac:dyDescent="0.2"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</row>
    <row r="5363" spans="11:23" x14ac:dyDescent="0.2"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</row>
    <row r="5364" spans="11:23" x14ac:dyDescent="0.2"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</row>
    <row r="5365" spans="11:23" x14ac:dyDescent="0.2"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</row>
    <row r="5366" spans="11:23" x14ac:dyDescent="0.2"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</row>
    <row r="5367" spans="11:23" x14ac:dyDescent="0.2"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</row>
    <row r="5368" spans="11:23" x14ac:dyDescent="0.2"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</row>
    <row r="5369" spans="11:23" x14ac:dyDescent="0.2"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</row>
    <row r="5370" spans="11:23" x14ac:dyDescent="0.2"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</row>
    <row r="5371" spans="11:23" x14ac:dyDescent="0.2"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</row>
    <row r="5372" spans="11:23" x14ac:dyDescent="0.2"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</row>
    <row r="5373" spans="11:23" x14ac:dyDescent="0.2"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</row>
    <row r="5374" spans="11:23" x14ac:dyDescent="0.2"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</row>
    <row r="5375" spans="11:23" x14ac:dyDescent="0.2"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</row>
    <row r="5376" spans="11:23" x14ac:dyDescent="0.2"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</row>
    <row r="5377" spans="11:23" x14ac:dyDescent="0.2"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13"/>
    </row>
    <row r="5378" spans="11:23" x14ac:dyDescent="0.2"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</row>
    <row r="5379" spans="11:23" x14ac:dyDescent="0.2"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</row>
    <row r="5380" spans="11:23" x14ac:dyDescent="0.2"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</row>
    <row r="5381" spans="11:23" x14ac:dyDescent="0.2"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</row>
    <row r="5382" spans="11:23" x14ac:dyDescent="0.2"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</row>
    <row r="5383" spans="11:23" x14ac:dyDescent="0.2"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</row>
    <row r="5384" spans="11:23" x14ac:dyDescent="0.2"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</row>
    <row r="5385" spans="11:23" x14ac:dyDescent="0.2"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</row>
    <row r="5386" spans="11:23" x14ac:dyDescent="0.2"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</row>
    <row r="5387" spans="11:23" x14ac:dyDescent="0.2"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</row>
    <row r="5388" spans="11:23" x14ac:dyDescent="0.2"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</row>
    <row r="5389" spans="11:23" x14ac:dyDescent="0.2"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</row>
    <row r="5390" spans="11:23" x14ac:dyDescent="0.2"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</row>
    <row r="5391" spans="11:23" x14ac:dyDescent="0.2"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</row>
    <row r="5392" spans="11:23" x14ac:dyDescent="0.2"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</row>
    <row r="5393" spans="11:23" x14ac:dyDescent="0.2"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</row>
    <row r="5394" spans="11:23" x14ac:dyDescent="0.2"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</row>
    <row r="5395" spans="11:23" x14ac:dyDescent="0.2"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</row>
    <row r="5396" spans="11:23" x14ac:dyDescent="0.2"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</row>
    <row r="5397" spans="11:23" x14ac:dyDescent="0.2"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</row>
    <row r="5398" spans="11:23" x14ac:dyDescent="0.2"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</row>
    <row r="5399" spans="11:23" x14ac:dyDescent="0.2"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</row>
    <row r="5400" spans="11:23" x14ac:dyDescent="0.2"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</row>
    <row r="5401" spans="11:23" x14ac:dyDescent="0.2"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</row>
    <row r="5402" spans="11:23" x14ac:dyDescent="0.2"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</row>
    <row r="5403" spans="11:23" x14ac:dyDescent="0.2"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</row>
    <row r="5404" spans="11:23" x14ac:dyDescent="0.2"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</row>
    <row r="5405" spans="11:23" x14ac:dyDescent="0.2"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</row>
    <row r="5406" spans="11:23" x14ac:dyDescent="0.2"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</row>
    <row r="5407" spans="11:23" x14ac:dyDescent="0.2"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</row>
    <row r="5408" spans="11:23" x14ac:dyDescent="0.2"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</row>
    <row r="5409" spans="11:23" x14ac:dyDescent="0.2"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</row>
    <row r="5410" spans="11:23" x14ac:dyDescent="0.2"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</row>
    <row r="5411" spans="11:23" x14ac:dyDescent="0.2"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</row>
    <row r="5412" spans="11:23" x14ac:dyDescent="0.2"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</row>
    <row r="5413" spans="11:23" x14ac:dyDescent="0.2"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</row>
    <row r="5414" spans="11:23" x14ac:dyDescent="0.2"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</row>
    <row r="5415" spans="11:23" x14ac:dyDescent="0.2"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</row>
    <row r="5416" spans="11:23" x14ac:dyDescent="0.2"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</row>
    <row r="5417" spans="11:23" x14ac:dyDescent="0.2"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</row>
    <row r="5418" spans="11:23" x14ac:dyDescent="0.2"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</row>
    <row r="5419" spans="11:23" x14ac:dyDescent="0.2"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</row>
    <row r="5420" spans="11:23" x14ac:dyDescent="0.2"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</row>
    <row r="5421" spans="11:23" x14ac:dyDescent="0.2"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</row>
    <row r="5422" spans="11:23" x14ac:dyDescent="0.2"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</row>
    <row r="5423" spans="11:23" x14ac:dyDescent="0.2"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</row>
    <row r="5424" spans="11:23" x14ac:dyDescent="0.2"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</row>
    <row r="5425" spans="11:23" x14ac:dyDescent="0.2"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</row>
    <row r="5426" spans="11:23" x14ac:dyDescent="0.2"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</row>
    <row r="5427" spans="11:23" x14ac:dyDescent="0.2"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</row>
    <row r="5428" spans="11:23" x14ac:dyDescent="0.2"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</row>
    <row r="5429" spans="11:23" x14ac:dyDescent="0.2"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</row>
    <row r="5430" spans="11:23" x14ac:dyDescent="0.2"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</row>
    <row r="5431" spans="11:23" x14ac:dyDescent="0.2"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</row>
    <row r="5432" spans="11:23" x14ac:dyDescent="0.2"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</row>
    <row r="5433" spans="11:23" x14ac:dyDescent="0.2"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</row>
    <row r="5434" spans="11:23" x14ac:dyDescent="0.2"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</row>
    <row r="5435" spans="11:23" x14ac:dyDescent="0.2"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</row>
    <row r="5436" spans="11:23" x14ac:dyDescent="0.2"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</row>
    <row r="5437" spans="11:23" x14ac:dyDescent="0.2"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</row>
    <row r="5438" spans="11:23" x14ac:dyDescent="0.2"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</row>
    <row r="5439" spans="11:23" x14ac:dyDescent="0.2"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</row>
    <row r="5440" spans="11:23" x14ac:dyDescent="0.2"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</row>
    <row r="5441" spans="11:23" x14ac:dyDescent="0.2"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</row>
    <row r="5442" spans="11:23" x14ac:dyDescent="0.2"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</row>
    <row r="5443" spans="11:23" x14ac:dyDescent="0.2"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</row>
    <row r="5444" spans="11:23" x14ac:dyDescent="0.2"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</row>
    <row r="5445" spans="11:23" x14ac:dyDescent="0.2"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</row>
    <row r="5446" spans="11:23" x14ac:dyDescent="0.2"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</row>
    <row r="5447" spans="11:23" x14ac:dyDescent="0.2"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</row>
    <row r="5448" spans="11:23" x14ac:dyDescent="0.2"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</row>
    <row r="5449" spans="11:23" x14ac:dyDescent="0.2"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</row>
    <row r="5450" spans="11:23" x14ac:dyDescent="0.2"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</row>
    <row r="5451" spans="11:23" x14ac:dyDescent="0.2"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</row>
    <row r="5452" spans="11:23" x14ac:dyDescent="0.2"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</row>
    <row r="5453" spans="11:23" x14ac:dyDescent="0.2"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</row>
    <row r="5454" spans="11:23" x14ac:dyDescent="0.2"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</row>
    <row r="5455" spans="11:23" x14ac:dyDescent="0.2"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</row>
    <row r="5456" spans="11:23" x14ac:dyDescent="0.2"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</row>
    <row r="5457" spans="11:23" x14ac:dyDescent="0.2"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</row>
    <row r="5458" spans="11:23" x14ac:dyDescent="0.2"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</row>
    <row r="5459" spans="11:23" x14ac:dyDescent="0.2"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</row>
    <row r="5460" spans="11:23" x14ac:dyDescent="0.2"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</row>
    <row r="5461" spans="11:23" x14ac:dyDescent="0.2"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</row>
    <row r="5462" spans="11:23" x14ac:dyDescent="0.2"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</row>
    <row r="5463" spans="11:23" x14ac:dyDescent="0.2"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</row>
    <row r="5464" spans="11:23" x14ac:dyDescent="0.2"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</row>
    <row r="5465" spans="11:23" x14ac:dyDescent="0.2"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</row>
    <row r="5466" spans="11:23" x14ac:dyDescent="0.2"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</row>
    <row r="5467" spans="11:23" x14ac:dyDescent="0.2"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</row>
    <row r="5468" spans="11:23" x14ac:dyDescent="0.2"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</row>
    <row r="5469" spans="11:23" x14ac:dyDescent="0.2"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</row>
    <row r="5470" spans="11:23" x14ac:dyDescent="0.2"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</row>
    <row r="5471" spans="11:23" x14ac:dyDescent="0.2"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</row>
    <row r="5472" spans="11:23" x14ac:dyDescent="0.2"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</row>
    <row r="5473" spans="11:23" x14ac:dyDescent="0.2"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</row>
    <row r="5474" spans="11:23" x14ac:dyDescent="0.2"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</row>
    <row r="5475" spans="11:23" x14ac:dyDescent="0.2"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</row>
    <row r="5476" spans="11:23" x14ac:dyDescent="0.2"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</row>
    <row r="5477" spans="11:23" x14ac:dyDescent="0.2"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</row>
    <row r="5478" spans="11:23" x14ac:dyDescent="0.2"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</row>
    <row r="5479" spans="11:23" x14ac:dyDescent="0.2"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</row>
    <row r="5480" spans="11:23" x14ac:dyDescent="0.2"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</row>
    <row r="5481" spans="11:23" x14ac:dyDescent="0.2"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</row>
    <row r="5482" spans="11:23" x14ac:dyDescent="0.2"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</row>
    <row r="5483" spans="11:23" x14ac:dyDescent="0.2"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</row>
    <row r="5484" spans="11:23" x14ac:dyDescent="0.2"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</row>
    <row r="5485" spans="11:23" x14ac:dyDescent="0.2"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</row>
    <row r="5486" spans="11:23" x14ac:dyDescent="0.2"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</row>
    <row r="5487" spans="11:23" x14ac:dyDescent="0.2"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</row>
    <row r="5488" spans="11:23" x14ac:dyDescent="0.2"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</row>
    <row r="5489" spans="11:23" x14ac:dyDescent="0.2"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</row>
    <row r="5490" spans="11:23" x14ac:dyDescent="0.2"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</row>
    <row r="5491" spans="11:23" x14ac:dyDescent="0.2"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</row>
    <row r="5492" spans="11:23" x14ac:dyDescent="0.2"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</row>
    <row r="5493" spans="11:23" x14ac:dyDescent="0.2"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</row>
    <row r="5494" spans="11:23" x14ac:dyDescent="0.2"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</row>
    <row r="5495" spans="11:23" x14ac:dyDescent="0.2"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</row>
    <row r="5496" spans="11:23" x14ac:dyDescent="0.2"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</row>
    <row r="5497" spans="11:23" x14ac:dyDescent="0.2"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</row>
    <row r="5498" spans="11:23" x14ac:dyDescent="0.2"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</row>
    <row r="5499" spans="11:23" x14ac:dyDescent="0.2"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</row>
    <row r="5500" spans="11:23" x14ac:dyDescent="0.2"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</row>
    <row r="5501" spans="11:23" x14ac:dyDescent="0.2">
      <c r="K5501" s="13"/>
      <c r="L5501" s="13"/>
      <c r="M5501" s="13"/>
      <c r="N5501" s="13"/>
      <c r="O5501" s="13"/>
      <c r="P5501" s="13"/>
      <c r="Q5501" s="13"/>
      <c r="R5501" s="13"/>
      <c r="S5501" s="13"/>
      <c r="T5501" s="13"/>
      <c r="U5501" s="13"/>
      <c r="V5501" s="13"/>
      <c r="W5501" s="13"/>
    </row>
    <row r="5502" spans="11:23" x14ac:dyDescent="0.2"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</row>
    <row r="5503" spans="11:23" x14ac:dyDescent="0.2"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</row>
    <row r="5504" spans="11:23" x14ac:dyDescent="0.2"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</row>
    <row r="5505" spans="11:23" x14ac:dyDescent="0.2"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</row>
    <row r="5506" spans="11:23" x14ac:dyDescent="0.2"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</row>
    <row r="5507" spans="11:23" x14ac:dyDescent="0.2"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</row>
    <row r="5508" spans="11:23" x14ac:dyDescent="0.2"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</row>
    <row r="5509" spans="11:23" x14ac:dyDescent="0.2"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</row>
    <row r="5510" spans="11:23" x14ac:dyDescent="0.2"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</row>
    <row r="5511" spans="11:23" x14ac:dyDescent="0.2"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</row>
    <row r="5512" spans="11:23" x14ac:dyDescent="0.2"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</row>
    <row r="5513" spans="11:23" x14ac:dyDescent="0.2"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</row>
    <row r="5514" spans="11:23" x14ac:dyDescent="0.2"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</row>
    <row r="5515" spans="11:23" x14ac:dyDescent="0.2"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</row>
    <row r="5516" spans="11:23" x14ac:dyDescent="0.2"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</row>
    <row r="5517" spans="11:23" x14ac:dyDescent="0.2"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</row>
    <row r="5518" spans="11:23" x14ac:dyDescent="0.2"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</row>
    <row r="5519" spans="11:23" x14ac:dyDescent="0.2"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</row>
    <row r="5520" spans="11:23" x14ac:dyDescent="0.2"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</row>
    <row r="5521" spans="11:23" x14ac:dyDescent="0.2"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</row>
    <row r="5522" spans="11:23" x14ac:dyDescent="0.2"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</row>
    <row r="5523" spans="11:23" x14ac:dyDescent="0.2"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</row>
    <row r="5524" spans="11:23" x14ac:dyDescent="0.2"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</row>
    <row r="5525" spans="11:23" x14ac:dyDescent="0.2"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</row>
    <row r="5526" spans="11:23" x14ac:dyDescent="0.2"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</row>
    <row r="5527" spans="11:23" x14ac:dyDescent="0.2"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</row>
    <row r="5528" spans="11:23" x14ac:dyDescent="0.2"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</row>
    <row r="5529" spans="11:23" x14ac:dyDescent="0.2"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</row>
    <row r="5530" spans="11:23" x14ac:dyDescent="0.2"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</row>
    <row r="5531" spans="11:23" x14ac:dyDescent="0.2"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</row>
    <row r="5532" spans="11:23" x14ac:dyDescent="0.2"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</row>
    <row r="5533" spans="11:23" x14ac:dyDescent="0.2"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</row>
    <row r="5534" spans="11:23" x14ac:dyDescent="0.2"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</row>
    <row r="5535" spans="11:23" x14ac:dyDescent="0.2"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</row>
    <row r="5536" spans="11:23" x14ac:dyDescent="0.2"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</row>
    <row r="5537" spans="11:23" x14ac:dyDescent="0.2"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</row>
    <row r="5538" spans="11:23" x14ac:dyDescent="0.2"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</row>
    <row r="5539" spans="11:23" x14ac:dyDescent="0.2"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</row>
    <row r="5540" spans="11:23" x14ac:dyDescent="0.2"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</row>
    <row r="5541" spans="11:23" x14ac:dyDescent="0.2"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</row>
    <row r="5542" spans="11:23" x14ac:dyDescent="0.2"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</row>
    <row r="5543" spans="11:23" x14ac:dyDescent="0.2"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</row>
    <row r="5544" spans="11:23" x14ac:dyDescent="0.2"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</row>
    <row r="5545" spans="11:23" x14ac:dyDescent="0.2"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</row>
    <row r="5546" spans="11:23" x14ac:dyDescent="0.2"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</row>
    <row r="5547" spans="11:23" x14ac:dyDescent="0.2"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</row>
    <row r="5548" spans="11:23" x14ac:dyDescent="0.2"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</row>
    <row r="5549" spans="11:23" x14ac:dyDescent="0.2"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</row>
    <row r="5550" spans="11:23" x14ac:dyDescent="0.2"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</row>
    <row r="5551" spans="11:23" x14ac:dyDescent="0.2"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</row>
    <row r="5552" spans="11:23" x14ac:dyDescent="0.2"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</row>
    <row r="5553" spans="11:23" x14ac:dyDescent="0.2"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</row>
    <row r="5554" spans="11:23" x14ac:dyDescent="0.2"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</row>
    <row r="5555" spans="11:23" x14ac:dyDescent="0.2"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</row>
    <row r="5556" spans="11:23" x14ac:dyDescent="0.2"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</row>
    <row r="5557" spans="11:23" x14ac:dyDescent="0.2"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</row>
    <row r="5558" spans="11:23" x14ac:dyDescent="0.2"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</row>
    <row r="5559" spans="11:23" x14ac:dyDescent="0.2"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</row>
    <row r="5560" spans="11:23" x14ac:dyDescent="0.2"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</row>
    <row r="5561" spans="11:23" x14ac:dyDescent="0.2"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</row>
    <row r="5562" spans="11:23" x14ac:dyDescent="0.2"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</row>
    <row r="5563" spans="11:23" x14ac:dyDescent="0.2"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</row>
    <row r="5564" spans="11:23" x14ac:dyDescent="0.2"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</row>
    <row r="5565" spans="11:23" x14ac:dyDescent="0.2"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</row>
    <row r="5566" spans="11:23" x14ac:dyDescent="0.2"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</row>
    <row r="5567" spans="11:23" x14ac:dyDescent="0.2"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</row>
    <row r="5568" spans="11:23" x14ac:dyDescent="0.2"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</row>
    <row r="5569" spans="11:23" x14ac:dyDescent="0.2"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</row>
    <row r="5570" spans="11:23" x14ac:dyDescent="0.2"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</row>
    <row r="5571" spans="11:23" x14ac:dyDescent="0.2"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</row>
    <row r="5572" spans="11:23" x14ac:dyDescent="0.2"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</row>
    <row r="5573" spans="11:23" x14ac:dyDescent="0.2"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</row>
    <row r="5574" spans="11:23" x14ac:dyDescent="0.2"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</row>
    <row r="5575" spans="11:23" x14ac:dyDescent="0.2"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</row>
    <row r="5576" spans="11:23" x14ac:dyDescent="0.2"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</row>
    <row r="5577" spans="11:23" x14ac:dyDescent="0.2"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</row>
    <row r="5578" spans="11:23" x14ac:dyDescent="0.2"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</row>
    <row r="5579" spans="11:23" x14ac:dyDescent="0.2"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</row>
    <row r="5580" spans="11:23" x14ac:dyDescent="0.2"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</row>
    <row r="5581" spans="11:23" x14ac:dyDescent="0.2"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</row>
    <row r="5582" spans="11:23" x14ac:dyDescent="0.2"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</row>
    <row r="5583" spans="11:23" x14ac:dyDescent="0.2"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</row>
    <row r="5584" spans="11:23" x14ac:dyDescent="0.2"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</row>
    <row r="5585" spans="11:23" x14ac:dyDescent="0.2"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</row>
    <row r="5586" spans="11:23" x14ac:dyDescent="0.2"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</row>
    <row r="5587" spans="11:23" x14ac:dyDescent="0.2"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</row>
    <row r="5588" spans="11:23" x14ac:dyDescent="0.2"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</row>
    <row r="5589" spans="11:23" x14ac:dyDescent="0.2"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</row>
    <row r="5590" spans="11:23" x14ac:dyDescent="0.2"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</row>
    <row r="5591" spans="11:23" x14ac:dyDescent="0.2"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</row>
    <row r="5592" spans="11:23" x14ac:dyDescent="0.2"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</row>
    <row r="5593" spans="11:23" x14ac:dyDescent="0.2"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</row>
    <row r="5594" spans="11:23" x14ac:dyDescent="0.2"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</row>
    <row r="5595" spans="11:23" x14ac:dyDescent="0.2"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</row>
    <row r="5596" spans="11:23" x14ac:dyDescent="0.2"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</row>
    <row r="5597" spans="11:23" x14ac:dyDescent="0.2"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</row>
    <row r="5598" spans="11:23" x14ac:dyDescent="0.2"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</row>
    <row r="5599" spans="11:23" x14ac:dyDescent="0.2"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</row>
    <row r="5600" spans="11:23" x14ac:dyDescent="0.2"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</row>
    <row r="5601" spans="11:23" x14ac:dyDescent="0.2"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</row>
    <row r="5602" spans="11:23" x14ac:dyDescent="0.2"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</row>
    <row r="5603" spans="11:23" x14ac:dyDescent="0.2"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</row>
    <row r="5604" spans="11:23" x14ac:dyDescent="0.2"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</row>
    <row r="5605" spans="11:23" x14ac:dyDescent="0.2"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</row>
    <row r="5606" spans="11:23" x14ac:dyDescent="0.2"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</row>
    <row r="5607" spans="11:23" x14ac:dyDescent="0.2"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</row>
    <row r="5608" spans="11:23" x14ac:dyDescent="0.2"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</row>
    <row r="5609" spans="11:23" x14ac:dyDescent="0.2"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</row>
    <row r="5610" spans="11:23" x14ac:dyDescent="0.2"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</row>
    <row r="5611" spans="11:23" x14ac:dyDescent="0.2"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</row>
    <row r="5612" spans="11:23" x14ac:dyDescent="0.2"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</row>
    <row r="5613" spans="11:23" x14ac:dyDescent="0.2"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</row>
    <row r="5614" spans="11:23" x14ac:dyDescent="0.2"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</row>
    <row r="5615" spans="11:23" x14ac:dyDescent="0.2"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</row>
    <row r="5616" spans="11:23" x14ac:dyDescent="0.2"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</row>
    <row r="5617" spans="11:23" x14ac:dyDescent="0.2"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</row>
    <row r="5618" spans="11:23" x14ac:dyDescent="0.2"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</row>
    <row r="5619" spans="11:23" x14ac:dyDescent="0.2"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</row>
    <row r="5620" spans="11:23" x14ac:dyDescent="0.2"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</row>
    <row r="5621" spans="11:23" x14ac:dyDescent="0.2"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</row>
    <row r="5622" spans="11:23" x14ac:dyDescent="0.2"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</row>
    <row r="5623" spans="11:23" x14ac:dyDescent="0.2"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</row>
    <row r="5624" spans="11:23" x14ac:dyDescent="0.2"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</row>
    <row r="5625" spans="11:23" x14ac:dyDescent="0.2"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</row>
    <row r="5626" spans="11:23" x14ac:dyDescent="0.2"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</row>
    <row r="5627" spans="11:23" x14ac:dyDescent="0.2"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</row>
    <row r="5628" spans="11:23" x14ac:dyDescent="0.2"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</row>
    <row r="5629" spans="11:23" x14ac:dyDescent="0.2"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</row>
    <row r="5630" spans="11:23" x14ac:dyDescent="0.2"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</row>
    <row r="5631" spans="11:23" x14ac:dyDescent="0.2"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</row>
    <row r="5632" spans="11:23" x14ac:dyDescent="0.2"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</row>
    <row r="5633" spans="11:23" x14ac:dyDescent="0.2"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</row>
    <row r="5634" spans="11:23" x14ac:dyDescent="0.2"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</row>
    <row r="5635" spans="11:23" x14ac:dyDescent="0.2"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</row>
    <row r="5636" spans="11:23" x14ac:dyDescent="0.2"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</row>
    <row r="5637" spans="11:23" x14ac:dyDescent="0.2"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</row>
    <row r="5638" spans="11:23" x14ac:dyDescent="0.2"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</row>
    <row r="5639" spans="11:23" x14ac:dyDescent="0.2"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</row>
    <row r="5640" spans="11:23" x14ac:dyDescent="0.2"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</row>
    <row r="5641" spans="11:23" x14ac:dyDescent="0.2"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</row>
    <row r="5642" spans="11:23" x14ac:dyDescent="0.2"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</row>
    <row r="5643" spans="11:23" x14ac:dyDescent="0.2"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</row>
    <row r="5644" spans="11:23" x14ac:dyDescent="0.2"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</row>
    <row r="5645" spans="11:23" x14ac:dyDescent="0.2"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</row>
    <row r="5646" spans="11:23" x14ac:dyDescent="0.2"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</row>
    <row r="5647" spans="11:23" x14ac:dyDescent="0.2"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</row>
    <row r="5648" spans="11:23" x14ac:dyDescent="0.2"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</row>
    <row r="5649" spans="11:23" x14ac:dyDescent="0.2"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</row>
    <row r="5650" spans="11:23" x14ac:dyDescent="0.2"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</row>
    <row r="5651" spans="11:23" x14ac:dyDescent="0.2"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</row>
    <row r="5652" spans="11:23" x14ac:dyDescent="0.2"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</row>
    <row r="5653" spans="11:23" x14ac:dyDescent="0.2"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</row>
    <row r="5654" spans="11:23" x14ac:dyDescent="0.2"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</row>
    <row r="5655" spans="11:23" x14ac:dyDescent="0.2"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</row>
    <row r="5656" spans="11:23" x14ac:dyDescent="0.2"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</row>
    <row r="5657" spans="11:23" x14ac:dyDescent="0.2"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</row>
    <row r="5658" spans="11:23" x14ac:dyDescent="0.2"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</row>
    <row r="5659" spans="11:23" x14ac:dyDescent="0.2"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</row>
    <row r="5660" spans="11:23" x14ac:dyDescent="0.2"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</row>
    <row r="5661" spans="11:23" x14ac:dyDescent="0.2"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</row>
    <row r="5662" spans="11:23" x14ac:dyDescent="0.2"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</row>
    <row r="5663" spans="11:23" x14ac:dyDescent="0.2"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</row>
    <row r="5664" spans="11:23" x14ac:dyDescent="0.2"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</row>
    <row r="5665" spans="11:23" x14ac:dyDescent="0.2"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</row>
    <row r="5666" spans="11:23" x14ac:dyDescent="0.2"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</row>
    <row r="5667" spans="11:23" x14ac:dyDescent="0.2"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</row>
    <row r="5668" spans="11:23" x14ac:dyDescent="0.2"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</row>
    <row r="5669" spans="11:23" x14ac:dyDescent="0.2"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</row>
    <row r="5670" spans="11:23" x14ac:dyDescent="0.2"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</row>
    <row r="5671" spans="11:23" x14ac:dyDescent="0.2"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</row>
    <row r="5672" spans="11:23" x14ac:dyDescent="0.2"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</row>
    <row r="5673" spans="11:23" x14ac:dyDescent="0.2"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</row>
    <row r="5674" spans="11:23" x14ac:dyDescent="0.2"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</row>
    <row r="5675" spans="11:23" x14ac:dyDescent="0.2"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</row>
    <row r="5676" spans="11:23" x14ac:dyDescent="0.2"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</row>
    <row r="5677" spans="11:23" x14ac:dyDescent="0.2"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</row>
    <row r="5678" spans="11:23" x14ac:dyDescent="0.2"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</row>
    <row r="5679" spans="11:23" x14ac:dyDescent="0.2"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</row>
    <row r="5680" spans="11:23" x14ac:dyDescent="0.2"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</row>
    <row r="5681" spans="11:23" x14ac:dyDescent="0.2"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</row>
    <row r="5682" spans="11:23" x14ac:dyDescent="0.2"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</row>
    <row r="5683" spans="11:23" x14ac:dyDescent="0.2"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</row>
    <row r="5684" spans="11:23" x14ac:dyDescent="0.2"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</row>
    <row r="5685" spans="11:23" x14ac:dyDescent="0.2"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</row>
    <row r="5686" spans="11:23" x14ac:dyDescent="0.2"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</row>
    <row r="5687" spans="11:23" x14ac:dyDescent="0.2"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</row>
    <row r="5688" spans="11:23" x14ac:dyDescent="0.2"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</row>
    <row r="5689" spans="11:23" x14ac:dyDescent="0.2"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</row>
    <row r="5690" spans="11:23" x14ac:dyDescent="0.2"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</row>
    <row r="5691" spans="11:23" x14ac:dyDescent="0.2"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</row>
    <row r="5692" spans="11:23" x14ac:dyDescent="0.2"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</row>
    <row r="5693" spans="11:23" x14ac:dyDescent="0.2"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</row>
    <row r="5694" spans="11:23" x14ac:dyDescent="0.2"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</row>
    <row r="5695" spans="11:23" x14ac:dyDescent="0.2"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</row>
    <row r="5696" spans="11:23" x14ac:dyDescent="0.2"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</row>
    <row r="5697" spans="11:23" x14ac:dyDescent="0.2"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</row>
    <row r="5698" spans="11:23" x14ac:dyDescent="0.2"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</row>
    <row r="5699" spans="11:23" x14ac:dyDescent="0.2"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</row>
    <row r="5700" spans="11:23" x14ac:dyDescent="0.2"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</row>
    <row r="5701" spans="11:23" x14ac:dyDescent="0.2"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</row>
    <row r="5702" spans="11:23" x14ac:dyDescent="0.2"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</row>
    <row r="5703" spans="11:23" x14ac:dyDescent="0.2"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</row>
    <row r="5704" spans="11:23" x14ac:dyDescent="0.2"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</row>
    <row r="5705" spans="11:23" x14ac:dyDescent="0.2"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</row>
    <row r="5706" spans="11:23" x14ac:dyDescent="0.2"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</row>
    <row r="5707" spans="11:23" x14ac:dyDescent="0.2"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</row>
    <row r="5708" spans="11:23" x14ac:dyDescent="0.2"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</row>
    <row r="5709" spans="11:23" x14ac:dyDescent="0.2"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</row>
    <row r="5710" spans="11:23" x14ac:dyDescent="0.2"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</row>
    <row r="5711" spans="11:23" x14ac:dyDescent="0.2"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</row>
    <row r="5712" spans="11:23" x14ac:dyDescent="0.2"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</row>
    <row r="5713" spans="11:23" x14ac:dyDescent="0.2"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</row>
    <row r="5714" spans="11:23" x14ac:dyDescent="0.2"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</row>
    <row r="5715" spans="11:23" x14ac:dyDescent="0.2"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</row>
    <row r="5716" spans="11:23" x14ac:dyDescent="0.2"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</row>
    <row r="5717" spans="11:23" x14ac:dyDescent="0.2"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</row>
    <row r="5718" spans="11:23" x14ac:dyDescent="0.2"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</row>
    <row r="5719" spans="11:23" x14ac:dyDescent="0.2"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</row>
    <row r="5720" spans="11:23" x14ac:dyDescent="0.2"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</row>
    <row r="5721" spans="11:23" x14ac:dyDescent="0.2"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</row>
    <row r="5722" spans="11:23" x14ac:dyDescent="0.2"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</row>
    <row r="5723" spans="11:23" x14ac:dyDescent="0.2"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</row>
    <row r="5724" spans="11:23" x14ac:dyDescent="0.2"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</row>
    <row r="5725" spans="11:23" x14ac:dyDescent="0.2"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</row>
    <row r="5726" spans="11:23" x14ac:dyDescent="0.2"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</row>
    <row r="5727" spans="11:23" x14ac:dyDescent="0.2"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</row>
    <row r="5728" spans="11:23" x14ac:dyDescent="0.2"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</row>
    <row r="5729" spans="11:23" x14ac:dyDescent="0.2"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</row>
    <row r="5730" spans="11:23" x14ac:dyDescent="0.2"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</row>
    <row r="5731" spans="11:23" x14ac:dyDescent="0.2"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</row>
    <row r="5732" spans="11:23" x14ac:dyDescent="0.2"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</row>
    <row r="5733" spans="11:23" x14ac:dyDescent="0.2"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</row>
    <row r="5734" spans="11:23" x14ac:dyDescent="0.2"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</row>
    <row r="5735" spans="11:23" x14ac:dyDescent="0.2"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</row>
    <row r="5736" spans="11:23" x14ac:dyDescent="0.2"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</row>
    <row r="5737" spans="11:23" x14ac:dyDescent="0.2"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</row>
    <row r="5738" spans="11:23" x14ac:dyDescent="0.2"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</row>
    <row r="5739" spans="11:23" x14ac:dyDescent="0.2"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</row>
    <row r="5740" spans="11:23" x14ac:dyDescent="0.2"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</row>
    <row r="5741" spans="11:23" x14ac:dyDescent="0.2"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</row>
    <row r="5742" spans="11:23" x14ac:dyDescent="0.2"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</row>
    <row r="5743" spans="11:23" x14ac:dyDescent="0.2"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</row>
    <row r="5744" spans="11:23" x14ac:dyDescent="0.2"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</row>
    <row r="5745" spans="11:23" x14ac:dyDescent="0.2"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</row>
    <row r="5746" spans="11:23" x14ac:dyDescent="0.2"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</row>
    <row r="5747" spans="11:23" x14ac:dyDescent="0.2"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</row>
    <row r="5748" spans="11:23" x14ac:dyDescent="0.2"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</row>
    <row r="5749" spans="11:23" x14ac:dyDescent="0.2">
      <c r="K5749" s="13"/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</row>
    <row r="5750" spans="11:23" x14ac:dyDescent="0.2">
      <c r="K5750" s="13"/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</row>
    <row r="5751" spans="11:23" x14ac:dyDescent="0.2"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</row>
    <row r="5752" spans="11:23" x14ac:dyDescent="0.2"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</row>
    <row r="5753" spans="11:23" x14ac:dyDescent="0.2"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</row>
    <row r="5754" spans="11:23" x14ac:dyDescent="0.2">
      <c r="K5754" s="13"/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</row>
    <row r="5755" spans="11:23" x14ac:dyDescent="0.2"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</row>
    <row r="5756" spans="11:23" x14ac:dyDescent="0.2"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</row>
    <row r="5757" spans="11:23" x14ac:dyDescent="0.2">
      <c r="K5757" s="13"/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</row>
    <row r="5758" spans="11:23" x14ac:dyDescent="0.2"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</row>
    <row r="5759" spans="11:23" x14ac:dyDescent="0.2"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</row>
    <row r="5760" spans="11:23" x14ac:dyDescent="0.2"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</row>
    <row r="5761" spans="11:23" x14ac:dyDescent="0.2">
      <c r="K5761" s="13"/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</row>
    <row r="5762" spans="11:23" x14ac:dyDescent="0.2">
      <c r="K5762" s="13"/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</row>
    <row r="5763" spans="11:23" x14ac:dyDescent="0.2"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</row>
    <row r="5764" spans="11:23" x14ac:dyDescent="0.2"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</row>
    <row r="5765" spans="11:23" x14ac:dyDescent="0.2">
      <c r="K5765" s="13"/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13"/>
    </row>
    <row r="5766" spans="11:23" x14ac:dyDescent="0.2">
      <c r="K5766" s="13"/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</row>
    <row r="5767" spans="11:23" x14ac:dyDescent="0.2"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</row>
    <row r="5768" spans="11:23" x14ac:dyDescent="0.2"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</row>
    <row r="5769" spans="11:23" x14ac:dyDescent="0.2"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</row>
    <row r="5770" spans="11:23" x14ac:dyDescent="0.2"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</row>
    <row r="5771" spans="11:23" x14ac:dyDescent="0.2"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</row>
    <row r="5772" spans="11:23" x14ac:dyDescent="0.2"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</row>
    <row r="5773" spans="11:23" x14ac:dyDescent="0.2"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</row>
    <row r="5774" spans="11:23" x14ac:dyDescent="0.2"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</row>
    <row r="5775" spans="11:23" x14ac:dyDescent="0.2"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</row>
    <row r="5776" spans="11:23" x14ac:dyDescent="0.2"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</row>
    <row r="5777" spans="11:23" x14ac:dyDescent="0.2"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</row>
    <row r="5778" spans="11:23" x14ac:dyDescent="0.2"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</row>
    <row r="5779" spans="11:23" x14ac:dyDescent="0.2"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</row>
    <row r="5780" spans="11:23" x14ac:dyDescent="0.2"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</row>
    <row r="5781" spans="11:23" x14ac:dyDescent="0.2"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</row>
    <row r="5782" spans="11:23" x14ac:dyDescent="0.2"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</row>
    <row r="5783" spans="11:23" x14ac:dyDescent="0.2"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</row>
    <row r="5784" spans="11:23" x14ac:dyDescent="0.2"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</row>
    <row r="5785" spans="11:23" x14ac:dyDescent="0.2"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</row>
    <row r="5786" spans="11:23" x14ac:dyDescent="0.2"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</row>
    <row r="5787" spans="11:23" x14ac:dyDescent="0.2"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</row>
    <row r="5788" spans="11:23" x14ac:dyDescent="0.2"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</row>
    <row r="5789" spans="11:23" x14ac:dyDescent="0.2"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</row>
    <row r="5790" spans="11:23" x14ac:dyDescent="0.2"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</row>
    <row r="5791" spans="11:23" x14ac:dyDescent="0.2"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</row>
    <row r="5792" spans="11:23" x14ac:dyDescent="0.2"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</row>
    <row r="5793" spans="11:23" x14ac:dyDescent="0.2"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</row>
    <row r="5794" spans="11:23" x14ac:dyDescent="0.2"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</row>
    <row r="5795" spans="11:23" x14ac:dyDescent="0.2"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</row>
    <row r="5796" spans="11:23" x14ac:dyDescent="0.2"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</row>
    <row r="5797" spans="11:23" x14ac:dyDescent="0.2"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</row>
    <row r="5798" spans="11:23" x14ac:dyDescent="0.2"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</row>
    <row r="5799" spans="11:23" x14ac:dyDescent="0.2"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</row>
    <row r="5800" spans="11:23" x14ac:dyDescent="0.2"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</row>
    <row r="5801" spans="11:23" x14ac:dyDescent="0.2"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</row>
    <row r="5802" spans="11:23" x14ac:dyDescent="0.2"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</row>
    <row r="5803" spans="11:23" x14ac:dyDescent="0.2"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</row>
    <row r="5804" spans="11:23" x14ac:dyDescent="0.2"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</row>
    <row r="5805" spans="11:23" x14ac:dyDescent="0.2"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</row>
    <row r="5806" spans="11:23" x14ac:dyDescent="0.2"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</row>
    <row r="5807" spans="11:23" x14ac:dyDescent="0.2"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</row>
    <row r="5808" spans="11:23" x14ac:dyDescent="0.2"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</row>
    <row r="5809" spans="11:23" x14ac:dyDescent="0.2"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</row>
    <row r="5810" spans="11:23" x14ac:dyDescent="0.2"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</row>
    <row r="5811" spans="11:23" x14ac:dyDescent="0.2"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</row>
    <row r="5812" spans="11:23" x14ac:dyDescent="0.2"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</row>
    <row r="5813" spans="11:23" x14ac:dyDescent="0.2"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</row>
    <row r="5814" spans="11:23" x14ac:dyDescent="0.2"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</row>
    <row r="5815" spans="11:23" x14ac:dyDescent="0.2"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</row>
    <row r="5816" spans="11:23" x14ac:dyDescent="0.2"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</row>
    <row r="5817" spans="11:23" x14ac:dyDescent="0.2"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</row>
    <row r="5818" spans="11:23" x14ac:dyDescent="0.2"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</row>
    <row r="5819" spans="11:23" x14ac:dyDescent="0.2"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</row>
    <row r="5820" spans="11:23" x14ac:dyDescent="0.2"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</row>
    <row r="5821" spans="11:23" x14ac:dyDescent="0.2">
      <c r="K5821" s="13"/>
      <c r="L5821" s="13"/>
      <c r="M5821" s="13"/>
      <c r="N5821" s="13"/>
      <c r="O5821" s="13"/>
      <c r="P5821" s="13"/>
      <c r="Q5821" s="13"/>
      <c r="R5821" s="13"/>
      <c r="S5821" s="13"/>
      <c r="T5821" s="13"/>
      <c r="U5821" s="13"/>
      <c r="V5821" s="13"/>
      <c r="W5821" s="13"/>
    </row>
    <row r="5822" spans="11:23" x14ac:dyDescent="0.2"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</row>
    <row r="5823" spans="11:23" x14ac:dyDescent="0.2"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</row>
    <row r="5824" spans="11:23" x14ac:dyDescent="0.2"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</row>
    <row r="5825" spans="11:23" x14ac:dyDescent="0.2"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</row>
    <row r="5826" spans="11:23" x14ac:dyDescent="0.2"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</row>
    <row r="5827" spans="11:23" x14ac:dyDescent="0.2"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</row>
    <row r="5828" spans="11:23" x14ac:dyDescent="0.2"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</row>
    <row r="5829" spans="11:23" x14ac:dyDescent="0.2"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</row>
    <row r="5830" spans="11:23" x14ac:dyDescent="0.2"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</row>
    <row r="5831" spans="11:23" x14ac:dyDescent="0.2"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</row>
    <row r="5832" spans="11:23" x14ac:dyDescent="0.2"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</row>
    <row r="5833" spans="11:23" x14ac:dyDescent="0.2"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</row>
    <row r="5834" spans="11:23" x14ac:dyDescent="0.2"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</row>
    <row r="5835" spans="11:23" x14ac:dyDescent="0.2"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</row>
    <row r="5836" spans="11:23" x14ac:dyDescent="0.2"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</row>
    <row r="5837" spans="11:23" x14ac:dyDescent="0.2"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</row>
    <row r="5838" spans="11:23" x14ac:dyDescent="0.2"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</row>
    <row r="5839" spans="11:23" x14ac:dyDescent="0.2"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</row>
    <row r="5840" spans="11:23" x14ac:dyDescent="0.2"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</row>
    <row r="5841" spans="11:23" x14ac:dyDescent="0.2"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</row>
    <row r="5842" spans="11:23" x14ac:dyDescent="0.2"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</row>
    <row r="5843" spans="11:23" x14ac:dyDescent="0.2"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</row>
    <row r="5844" spans="11:23" x14ac:dyDescent="0.2"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</row>
    <row r="5845" spans="11:23" x14ac:dyDescent="0.2"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</row>
    <row r="5846" spans="11:23" x14ac:dyDescent="0.2"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</row>
    <row r="5847" spans="11:23" x14ac:dyDescent="0.2"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</row>
    <row r="5848" spans="11:23" x14ac:dyDescent="0.2"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</row>
    <row r="5849" spans="11:23" x14ac:dyDescent="0.2"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</row>
    <row r="5850" spans="11:23" x14ac:dyDescent="0.2"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</row>
    <row r="5851" spans="11:23" x14ac:dyDescent="0.2"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</row>
    <row r="5852" spans="11:23" x14ac:dyDescent="0.2"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</row>
    <row r="5853" spans="11:23" x14ac:dyDescent="0.2"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</row>
    <row r="5854" spans="11:23" x14ac:dyDescent="0.2"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</row>
    <row r="5855" spans="11:23" x14ac:dyDescent="0.2"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</row>
    <row r="5856" spans="11:23" x14ac:dyDescent="0.2"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</row>
    <row r="5857" spans="11:23" x14ac:dyDescent="0.2"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</row>
    <row r="5858" spans="11:23" x14ac:dyDescent="0.2"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</row>
    <row r="5859" spans="11:23" x14ac:dyDescent="0.2"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</row>
    <row r="5860" spans="11:23" x14ac:dyDescent="0.2"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</row>
    <row r="5861" spans="11:23" x14ac:dyDescent="0.2"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</row>
    <row r="5862" spans="11:23" x14ac:dyDescent="0.2"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</row>
    <row r="5863" spans="11:23" x14ac:dyDescent="0.2"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</row>
    <row r="5864" spans="11:23" x14ac:dyDescent="0.2"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</row>
    <row r="5865" spans="11:23" x14ac:dyDescent="0.2"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</row>
    <row r="5866" spans="11:23" x14ac:dyDescent="0.2"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</row>
    <row r="5867" spans="11:23" x14ac:dyDescent="0.2"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</row>
    <row r="5868" spans="11:23" x14ac:dyDescent="0.2"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</row>
    <row r="5869" spans="11:23" x14ac:dyDescent="0.2"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</row>
    <row r="5870" spans="11:23" x14ac:dyDescent="0.2"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</row>
    <row r="5871" spans="11:23" x14ac:dyDescent="0.2"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</row>
    <row r="5872" spans="11:23" x14ac:dyDescent="0.2"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</row>
    <row r="5873" spans="11:23" x14ac:dyDescent="0.2"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</row>
    <row r="5874" spans="11:23" x14ac:dyDescent="0.2"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</row>
    <row r="5875" spans="11:23" x14ac:dyDescent="0.2"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</row>
    <row r="5876" spans="11:23" x14ac:dyDescent="0.2"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</row>
    <row r="5877" spans="11:23" x14ac:dyDescent="0.2"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</row>
    <row r="5878" spans="11:23" x14ac:dyDescent="0.2"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</row>
    <row r="5879" spans="11:23" x14ac:dyDescent="0.2"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</row>
    <row r="5880" spans="11:23" x14ac:dyDescent="0.2"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</row>
    <row r="5881" spans="11:23" x14ac:dyDescent="0.2"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</row>
    <row r="5882" spans="11:23" x14ac:dyDescent="0.2"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</row>
    <row r="5883" spans="11:23" x14ac:dyDescent="0.2"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</row>
    <row r="5884" spans="11:23" x14ac:dyDescent="0.2"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</row>
    <row r="5885" spans="11:23" x14ac:dyDescent="0.2"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</row>
    <row r="5886" spans="11:23" x14ac:dyDescent="0.2"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</row>
    <row r="5887" spans="11:23" x14ac:dyDescent="0.2"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</row>
    <row r="5888" spans="11:23" x14ac:dyDescent="0.2"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</row>
    <row r="5889" spans="11:23" x14ac:dyDescent="0.2"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</row>
    <row r="5890" spans="11:23" x14ac:dyDescent="0.2"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</row>
    <row r="5891" spans="11:23" x14ac:dyDescent="0.2"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</row>
    <row r="5892" spans="11:23" x14ac:dyDescent="0.2"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</row>
    <row r="5893" spans="11:23" x14ac:dyDescent="0.2"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</row>
    <row r="5894" spans="11:23" x14ac:dyDescent="0.2"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</row>
    <row r="5895" spans="11:23" x14ac:dyDescent="0.2"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</row>
    <row r="5896" spans="11:23" x14ac:dyDescent="0.2"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</row>
    <row r="5897" spans="11:23" x14ac:dyDescent="0.2"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</row>
    <row r="5898" spans="11:23" x14ac:dyDescent="0.2"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</row>
    <row r="5899" spans="11:23" x14ac:dyDescent="0.2"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</row>
    <row r="5900" spans="11:23" x14ac:dyDescent="0.2"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</row>
    <row r="5901" spans="11:23" x14ac:dyDescent="0.2"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</row>
    <row r="5902" spans="11:23" x14ac:dyDescent="0.2"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</row>
    <row r="5903" spans="11:23" x14ac:dyDescent="0.2"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</row>
    <row r="5904" spans="11:23" x14ac:dyDescent="0.2"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</row>
    <row r="5905" spans="11:23" x14ac:dyDescent="0.2"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</row>
    <row r="5906" spans="11:23" x14ac:dyDescent="0.2"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13"/>
      <c r="V5906" s="13"/>
      <c r="W5906" s="13"/>
    </row>
    <row r="5907" spans="11:23" x14ac:dyDescent="0.2"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</row>
    <row r="5908" spans="11:23" x14ac:dyDescent="0.2"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</row>
    <row r="5909" spans="11:23" x14ac:dyDescent="0.2"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</row>
    <row r="5910" spans="11:23" x14ac:dyDescent="0.2"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</row>
    <row r="5911" spans="11:23" x14ac:dyDescent="0.2"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</row>
    <row r="5912" spans="11:23" x14ac:dyDescent="0.2"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</row>
    <row r="5913" spans="11:23" x14ac:dyDescent="0.2">
      <c r="K5913" s="13"/>
      <c r="L5913" s="13"/>
      <c r="M5913" s="13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</row>
    <row r="5914" spans="11:23" x14ac:dyDescent="0.2"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</row>
    <row r="5915" spans="11:23" x14ac:dyDescent="0.2"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</row>
    <row r="5916" spans="11:23" x14ac:dyDescent="0.2"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</row>
    <row r="5917" spans="11:23" x14ac:dyDescent="0.2"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</row>
    <row r="5918" spans="11:23" x14ac:dyDescent="0.2"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</row>
    <row r="5919" spans="11:23" x14ac:dyDescent="0.2"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</row>
    <row r="5920" spans="11:23" x14ac:dyDescent="0.2"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</row>
    <row r="5921" spans="11:23" x14ac:dyDescent="0.2"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</row>
    <row r="5922" spans="11:23" x14ac:dyDescent="0.2"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</row>
    <row r="5923" spans="11:23" x14ac:dyDescent="0.2"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</row>
    <row r="5924" spans="11:23" x14ac:dyDescent="0.2"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</row>
    <row r="5925" spans="11:23" x14ac:dyDescent="0.2"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</row>
    <row r="5926" spans="11:23" x14ac:dyDescent="0.2"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</row>
    <row r="5927" spans="11:23" x14ac:dyDescent="0.2"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</row>
    <row r="5928" spans="11:23" x14ac:dyDescent="0.2"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</row>
    <row r="5929" spans="11:23" x14ac:dyDescent="0.2">
      <c r="K5929" s="13"/>
      <c r="L5929" s="13"/>
      <c r="M5929" s="13"/>
      <c r="N5929" s="13"/>
      <c r="O5929" s="13"/>
      <c r="P5929" s="13"/>
      <c r="Q5929" s="13"/>
      <c r="R5929" s="13"/>
      <c r="S5929" s="13"/>
      <c r="T5929" s="13"/>
      <c r="U5929" s="13"/>
      <c r="V5929" s="13"/>
      <c r="W5929" s="13"/>
    </row>
    <row r="5930" spans="11:23" x14ac:dyDescent="0.2"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</row>
    <row r="5931" spans="11:23" x14ac:dyDescent="0.2"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</row>
    <row r="5932" spans="11:23" x14ac:dyDescent="0.2"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</row>
    <row r="5933" spans="11:23" x14ac:dyDescent="0.2"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</row>
    <row r="5934" spans="11:23" x14ac:dyDescent="0.2"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</row>
    <row r="5935" spans="11:23" x14ac:dyDescent="0.2"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</row>
    <row r="5936" spans="11:23" x14ac:dyDescent="0.2"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</row>
    <row r="5937" spans="11:23" x14ac:dyDescent="0.2"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</row>
    <row r="5938" spans="11:23" x14ac:dyDescent="0.2"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</row>
    <row r="5939" spans="11:23" x14ac:dyDescent="0.2"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</row>
    <row r="5940" spans="11:23" x14ac:dyDescent="0.2"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</row>
    <row r="5941" spans="11:23" x14ac:dyDescent="0.2"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</row>
    <row r="5942" spans="11:23" x14ac:dyDescent="0.2"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</row>
    <row r="5943" spans="11:23" x14ac:dyDescent="0.2"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</row>
    <row r="5944" spans="11:23" x14ac:dyDescent="0.2"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</row>
    <row r="5945" spans="11:23" x14ac:dyDescent="0.2"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</row>
    <row r="5946" spans="11:23" x14ac:dyDescent="0.2"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</row>
    <row r="5947" spans="11:23" x14ac:dyDescent="0.2"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</row>
    <row r="5948" spans="11:23" x14ac:dyDescent="0.2"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</row>
    <row r="5949" spans="11:23" x14ac:dyDescent="0.2"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13"/>
      <c r="V5949" s="13"/>
      <c r="W5949" s="13"/>
    </row>
    <row r="5950" spans="11:23" x14ac:dyDescent="0.2"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</row>
    <row r="5951" spans="11:23" x14ac:dyDescent="0.2"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</row>
    <row r="5952" spans="11:23" x14ac:dyDescent="0.2"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</row>
    <row r="5953" spans="11:23" x14ac:dyDescent="0.2"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</row>
    <row r="5954" spans="11:23" x14ac:dyDescent="0.2"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</row>
    <row r="5955" spans="11:23" x14ac:dyDescent="0.2"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</row>
    <row r="5956" spans="11:23" x14ac:dyDescent="0.2"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</row>
    <row r="5957" spans="11:23" x14ac:dyDescent="0.2"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</row>
    <row r="5958" spans="11:23" x14ac:dyDescent="0.2"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</row>
    <row r="5959" spans="11:23" x14ac:dyDescent="0.2"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</row>
    <row r="5960" spans="11:23" x14ac:dyDescent="0.2"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</row>
    <row r="5961" spans="11:23" x14ac:dyDescent="0.2"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</row>
    <row r="5962" spans="11:23" x14ac:dyDescent="0.2"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</row>
    <row r="5963" spans="11:23" x14ac:dyDescent="0.2"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</row>
    <row r="5964" spans="11:23" x14ac:dyDescent="0.2"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</row>
    <row r="5965" spans="11:23" x14ac:dyDescent="0.2"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</row>
    <row r="5966" spans="11:23" x14ac:dyDescent="0.2"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</row>
    <row r="5967" spans="11:23" x14ac:dyDescent="0.2"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</row>
    <row r="5968" spans="11:23" x14ac:dyDescent="0.2"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</row>
    <row r="5969" spans="11:23" x14ac:dyDescent="0.2"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</row>
    <row r="5970" spans="11:23" x14ac:dyDescent="0.2"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</row>
    <row r="5971" spans="11:23" x14ac:dyDescent="0.2"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</row>
    <row r="5972" spans="11:23" x14ac:dyDescent="0.2"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</row>
    <row r="5973" spans="11:23" x14ac:dyDescent="0.2"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</row>
    <row r="5974" spans="11:23" x14ac:dyDescent="0.2"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</row>
    <row r="5975" spans="11:23" x14ac:dyDescent="0.2"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</row>
    <row r="5976" spans="11:23" x14ac:dyDescent="0.2"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</row>
    <row r="5977" spans="11:23" x14ac:dyDescent="0.2"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</row>
    <row r="5978" spans="11:23" x14ac:dyDescent="0.2"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</row>
    <row r="5979" spans="11:23" x14ac:dyDescent="0.2"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</row>
    <row r="5980" spans="11:23" x14ac:dyDescent="0.2"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</row>
    <row r="5981" spans="11:23" x14ac:dyDescent="0.2"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</row>
    <row r="5982" spans="11:23" x14ac:dyDescent="0.2"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</row>
    <row r="5983" spans="11:23" x14ac:dyDescent="0.2"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</row>
    <row r="5984" spans="11:23" x14ac:dyDescent="0.2"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</row>
    <row r="5985" spans="11:23" x14ac:dyDescent="0.2"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</row>
    <row r="5986" spans="11:23" x14ac:dyDescent="0.2"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</row>
    <row r="5987" spans="11:23" x14ac:dyDescent="0.2"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</row>
    <row r="5988" spans="11:23" x14ac:dyDescent="0.2"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</row>
    <row r="5989" spans="11:23" x14ac:dyDescent="0.2"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</row>
    <row r="5990" spans="11:23" x14ac:dyDescent="0.2"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</row>
    <row r="5991" spans="11:23" x14ac:dyDescent="0.2"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</row>
    <row r="5992" spans="11:23" x14ac:dyDescent="0.2"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</row>
    <row r="5993" spans="11:23" x14ac:dyDescent="0.2"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</row>
    <row r="5994" spans="11:23" x14ac:dyDescent="0.2"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</row>
    <row r="5995" spans="11:23" x14ac:dyDescent="0.2"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</row>
    <row r="5996" spans="11:23" x14ac:dyDescent="0.2"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</row>
    <row r="5997" spans="11:23" x14ac:dyDescent="0.2"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</row>
    <row r="5998" spans="11:23" x14ac:dyDescent="0.2"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</row>
    <row r="5999" spans="11:23" x14ac:dyDescent="0.2"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</row>
    <row r="6000" spans="11:23" x14ac:dyDescent="0.2"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</row>
    <row r="6001" spans="11:23" x14ac:dyDescent="0.2"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</row>
    <row r="6002" spans="11:23" x14ac:dyDescent="0.2"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</row>
    <row r="6003" spans="11:23" x14ac:dyDescent="0.2"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</row>
    <row r="6004" spans="11:23" x14ac:dyDescent="0.2"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</row>
    <row r="6005" spans="11:23" x14ac:dyDescent="0.2"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</row>
    <row r="6006" spans="11:23" x14ac:dyDescent="0.2"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</row>
    <row r="6007" spans="11:23" x14ac:dyDescent="0.2"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</row>
    <row r="6008" spans="11:23" x14ac:dyDescent="0.2"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</row>
    <row r="6009" spans="11:23" x14ac:dyDescent="0.2"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</row>
    <row r="6010" spans="11:23" x14ac:dyDescent="0.2"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</row>
    <row r="6011" spans="11:23" x14ac:dyDescent="0.2"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</row>
    <row r="6012" spans="11:23" x14ac:dyDescent="0.2"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</row>
    <row r="6013" spans="11:23" x14ac:dyDescent="0.2"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</row>
    <row r="6014" spans="11:23" x14ac:dyDescent="0.2"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</row>
    <row r="6015" spans="11:23" x14ac:dyDescent="0.2"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</row>
    <row r="6016" spans="11:23" x14ac:dyDescent="0.2"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</row>
    <row r="6017" spans="11:23" x14ac:dyDescent="0.2"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</row>
    <row r="6018" spans="11:23" x14ac:dyDescent="0.2"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</row>
    <row r="6019" spans="11:23" x14ac:dyDescent="0.2"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</row>
    <row r="6020" spans="11:23" x14ac:dyDescent="0.2"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</row>
    <row r="6021" spans="11:23" x14ac:dyDescent="0.2"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</row>
    <row r="6022" spans="11:23" x14ac:dyDescent="0.2"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</row>
    <row r="6023" spans="11:23" x14ac:dyDescent="0.2"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</row>
    <row r="6024" spans="11:23" x14ac:dyDescent="0.2"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</row>
    <row r="6025" spans="11:23" x14ac:dyDescent="0.2"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</row>
    <row r="6026" spans="11:23" x14ac:dyDescent="0.2"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</row>
    <row r="6027" spans="11:23" x14ac:dyDescent="0.2"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</row>
    <row r="6028" spans="11:23" x14ac:dyDescent="0.2"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</row>
    <row r="6029" spans="11:23" x14ac:dyDescent="0.2"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</row>
    <row r="6030" spans="11:23" x14ac:dyDescent="0.2"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</row>
    <row r="6031" spans="11:23" x14ac:dyDescent="0.2"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</row>
    <row r="6032" spans="11:23" x14ac:dyDescent="0.2"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</row>
    <row r="6033" spans="11:23" x14ac:dyDescent="0.2"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</row>
    <row r="6034" spans="11:23" x14ac:dyDescent="0.2"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</row>
    <row r="6035" spans="11:23" x14ac:dyDescent="0.2"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</row>
    <row r="6036" spans="11:23" x14ac:dyDescent="0.2"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</row>
    <row r="6037" spans="11:23" x14ac:dyDescent="0.2"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</row>
    <row r="6038" spans="11:23" x14ac:dyDescent="0.2"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</row>
    <row r="6039" spans="11:23" x14ac:dyDescent="0.2"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</row>
    <row r="6040" spans="11:23" x14ac:dyDescent="0.2"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</row>
    <row r="6041" spans="11:23" x14ac:dyDescent="0.2"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</row>
    <row r="6042" spans="11:23" x14ac:dyDescent="0.2"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</row>
    <row r="6043" spans="11:23" x14ac:dyDescent="0.2"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</row>
    <row r="6044" spans="11:23" x14ac:dyDescent="0.2"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</row>
    <row r="6045" spans="11:23" x14ac:dyDescent="0.2"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</row>
    <row r="6046" spans="11:23" x14ac:dyDescent="0.2"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</row>
    <row r="6047" spans="11:23" x14ac:dyDescent="0.2"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</row>
    <row r="6048" spans="11:23" x14ac:dyDescent="0.2"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</row>
    <row r="6049" spans="11:23" x14ac:dyDescent="0.2"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</row>
    <row r="6050" spans="11:23" x14ac:dyDescent="0.2"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</row>
    <row r="6051" spans="11:23" x14ac:dyDescent="0.2"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</row>
    <row r="6052" spans="11:23" x14ac:dyDescent="0.2"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</row>
    <row r="6053" spans="11:23" x14ac:dyDescent="0.2"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</row>
    <row r="6054" spans="11:23" x14ac:dyDescent="0.2"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</row>
    <row r="6055" spans="11:23" x14ac:dyDescent="0.2"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</row>
    <row r="6056" spans="11:23" x14ac:dyDescent="0.2"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</row>
    <row r="6057" spans="11:23" x14ac:dyDescent="0.2"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</row>
    <row r="6058" spans="11:23" x14ac:dyDescent="0.2"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</row>
    <row r="6059" spans="11:23" x14ac:dyDescent="0.2"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</row>
    <row r="6060" spans="11:23" x14ac:dyDescent="0.2"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</row>
    <row r="6061" spans="11:23" x14ac:dyDescent="0.2"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</row>
    <row r="6062" spans="11:23" x14ac:dyDescent="0.2"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</row>
    <row r="6063" spans="11:23" x14ac:dyDescent="0.2"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</row>
    <row r="6064" spans="11:23" x14ac:dyDescent="0.2"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</row>
    <row r="6065" spans="11:23" x14ac:dyDescent="0.2"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</row>
    <row r="6066" spans="11:23" x14ac:dyDescent="0.2"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</row>
    <row r="6067" spans="11:23" x14ac:dyDescent="0.2"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</row>
    <row r="6068" spans="11:23" x14ac:dyDescent="0.2"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</row>
    <row r="6069" spans="11:23" x14ac:dyDescent="0.2">
      <c r="K6069" s="13"/>
      <c r="L6069" s="13"/>
      <c r="M6069" s="13"/>
      <c r="N6069" s="13"/>
      <c r="O6069" s="13"/>
      <c r="P6069" s="13"/>
      <c r="Q6069" s="13"/>
      <c r="R6069" s="13"/>
      <c r="S6069" s="13"/>
      <c r="T6069" s="13"/>
      <c r="U6069" s="13"/>
      <c r="V6069" s="13"/>
      <c r="W6069" s="13"/>
    </row>
    <row r="6070" spans="11:23" x14ac:dyDescent="0.2"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</row>
    <row r="6071" spans="11:23" x14ac:dyDescent="0.2"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</row>
    <row r="6072" spans="11:23" x14ac:dyDescent="0.2"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</row>
    <row r="6073" spans="11:23" x14ac:dyDescent="0.2"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</row>
    <row r="6074" spans="11:23" x14ac:dyDescent="0.2"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</row>
    <row r="6075" spans="11:23" x14ac:dyDescent="0.2"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</row>
    <row r="6076" spans="11:23" x14ac:dyDescent="0.2"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</row>
    <row r="6077" spans="11:23" x14ac:dyDescent="0.2"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</row>
    <row r="6078" spans="11:23" x14ac:dyDescent="0.2"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</row>
    <row r="6079" spans="11:23" x14ac:dyDescent="0.2"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</row>
    <row r="6080" spans="11:23" x14ac:dyDescent="0.2"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</row>
    <row r="6081" spans="11:23" x14ac:dyDescent="0.2"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</row>
    <row r="6082" spans="11:23" x14ac:dyDescent="0.2"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</row>
    <row r="6083" spans="11:23" x14ac:dyDescent="0.2"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</row>
    <row r="6084" spans="11:23" x14ac:dyDescent="0.2"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</row>
    <row r="6085" spans="11:23" x14ac:dyDescent="0.2"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</row>
    <row r="6086" spans="11:23" x14ac:dyDescent="0.2"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</row>
    <row r="6087" spans="11:23" x14ac:dyDescent="0.2"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</row>
    <row r="6088" spans="11:23" x14ac:dyDescent="0.2"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</row>
    <row r="6089" spans="11:23" x14ac:dyDescent="0.2"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</row>
    <row r="6090" spans="11:23" x14ac:dyDescent="0.2"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</row>
    <row r="6091" spans="11:23" x14ac:dyDescent="0.2"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</row>
    <row r="6092" spans="11:23" x14ac:dyDescent="0.2"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</row>
    <row r="6093" spans="11:23" x14ac:dyDescent="0.2"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</row>
    <row r="6094" spans="11:23" x14ac:dyDescent="0.2"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</row>
    <row r="6095" spans="11:23" x14ac:dyDescent="0.2"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</row>
    <row r="6096" spans="11:23" x14ac:dyDescent="0.2"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</row>
    <row r="6097" spans="11:23" x14ac:dyDescent="0.2">
      <c r="K6097" s="13"/>
      <c r="L6097" s="13"/>
      <c r="M6097" s="13"/>
      <c r="N6097" s="13"/>
      <c r="O6097" s="13"/>
      <c r="P6097" s="13"/>
      <c r="Q6097" s="13"/>
      <c r="R6097" s="13"/>
      <c r="S6097" s="13"/>
      <c r="T6097" s="13"/>
      <c r="U6097" s="13"/>
      <c r="V6097" s="13"/>
      <c r="W6097" s="13"/>
    </row>
    <row r="6098" spans="11:23" x14ac:dyDescent="0.2"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</row>
    <row r="6099" spans="11:23" x14ac:dyDescent="0.2"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</row>
    <row r="6100" spans="11:23" x14ac:dyDescent="0.2"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</row>
    <row r="6101" spans="11:23" x14ac:dyDescent="0.2"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</row>
    <row r="6102" spans="11:23" x14ac:dyDescent="0.2"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</row>
    <row r="6103" spans="11:23" x14ac:dyDescent="0.2"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</row>
    <row r="6104" spans="11:23" x14ac:dyDescent="0.2"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</row>
    <row r="6105" spans="11:23" x14ac:dyDescent="0.2"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</row>
    <row r="6106" spans="11:23" x14ac:dyDescent="0.2"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</row>
    <row r="6107" spans="11:23" x14ac:dyDescent="0.2"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</row>
    <row r="6108" spans="11:23" x14ac:dyDescent="0.2"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</row>
    <row r="6109" spans="11:23" x14ac:dyDescent="0.2"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</row>
    <row r="6110" spans="11:23" x14ac:dyDescent="0.2"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</row>
    <row r="6111" spans="11:23" x14ac:dyDescent="0.2"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</row>
    <row r="6112" spans="11:23" x14ac:dyDescent="0.2"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</row>
    <row r="6113" spans="11:23" x14ac:dyDescent="0.2"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</row>
    <row r="6114" spans="11:23" x14ac:dyDescent="0.2"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</row>
    <row r="6115" spans="11:23" x14ac:dyDescent="0.2"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</row>
    <row r="6116" spans="11:23" x14ac:dyDescent="0.2"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</row>
    <row r="6117" spans="11:23" x14ac:dyDescent="0.2"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</row>
    <row r="6118" spans="11:23" x14ac:dyDescent="0.2"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</row>
    <row r="6119" spans="11:23" x14ac:dyDescent="0.2"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</row>
    <row r="6120" spans="11:23" x14ac:dyDescent="0.2"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</row>
    <row r="6121" spans="11:23" x14ac:dyDescent="0.2"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</row>
    <row r="6122" spans="11:23" x14ac:dyDescent="0.2"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</row>
    <row r="6123" spans="11:23" x14ac:dyDescent="0.2"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</row>
    <row r="6124" spans="11:23" x14ac:dyDescent="0.2"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</row>
    <row r="6125" spans="11:23" x14ac:dyDescent="0.2"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</row>
    <row r="6126" spans="11:23" x14ac:dyDescent="0.2"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</row>
    <row r="6127" spans="11:23" x14ac:dyDescent="0.2"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</row>
    <row r="6128" spans="11:23" x14ac:dyDescent="0.2"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</row>
    <row r="6129" spans="11:23" x14ac:dyDescent="0.2"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</row>
    <row r="6130" spans="11:23" x14ac:dyDescent="0.2"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</row>
    <row r="6131" spans="11:23" x14ac:dyDescent="0.2"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</row>
    <row r="6132" spans="11:23" x14ac:dyDescent="0.2"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</row>
    <row r="6133" spans="11:23" x14ac:dyDescent="0.2"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</row>
    <row r="6134" spans="11:23" x14ac:dyDescent="0.2"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</row>
    <row r="6135" spans="11:23" x14ac:dyDescent="0.2"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</row>
    <row r="6136" spans="11:23" x14ac:dyDescent="0.2"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</row>
    <row r="6137" spans="11:23" x14ac:dyDescent="0.2"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</row>
    <row r="6138" spans="11:23" x14ac:dyDescent="0.2"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</row>
    <row r="6139" spans="11:23" x14ac:dyDescent="0.2"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</row>
    <row r="6140" spans="11:23" x14ac:dyDescent="0.2"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</row>
    <row r="6141" spans="11:23" x14ac:dyDescent="0.2"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</row>
    <row r="6142" spans="11:23" x14ac:dyDescent="0.2"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</row>
    <row r="6143" spans="11:23" x14ac:dyDescent="0.2"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</row>
    <row r="6144" spans="11:23" x14ac:dyDescent="0.2"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</row>
    <row r="6145" spans="11:23" x14ac:dyDescent="0.2"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</row>
    <row r="6146" spans="11:23" x14ac:dyDescent="0.2"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</row>
    <row r="6147" spans="11:23" x14ac:dyDescent="0.2"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</row>
    <row r="6148" spans="11:23" x14ac:dyDescent="0.2"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</row>
    <row r="6149" spans="11:23" x14ac:dyDescent="0.2"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</row>
    <row r="6150" spans="11:23" x14ac:dyDescent="0.2"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</row>
    <row r="6151" spans="11:23" x14ac:dyDescent="0.2"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</row>
    <row r="6152" spans="11:23" x14ac:dyDescent="0.2"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</row>
    <row r="6153" spans="11:23" x14ac:dyDescent="0.2"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</row>
    <row r="6154" spans="11:23" x14ac:dyDescent="0.2"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</row>
    <row r="6155" spans="11:23" x14ac:dyDescent="0.2"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</row>
    <row r="6156" spans="11:23" x14ac:dyDescent="0.2"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</row>
    <row r="6157" spans="11:23" x14ac:dyDescent="0.2"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</row>
    <row r="6158" spans="11:23" x14ac:dyDescent="0.2"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</row>
    <row r="6159" spans="11:23" x14ac:dyDescent="0.2"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</row>
    <row r="6160" spans="11:23" x14ac:dyDescent="0.2"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</row>
    <row r="6161" spans="11:23" x14ac:dyDescent="0.2"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</row>
    <row r="6162" spans="11:23" x14ac:dyDescent="0.2"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</row>
    <row r="6163" spans="11:23" x14ac:dyDescent="0.2"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</row>
    <row r="6164" spans="11:23" x14ac:dyDescent="0.2"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</row>
    <row r="6165" spans="11:23" x14ac:dyDescent="0.2"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</row>
    <row r="6166" spans="11:23" x14ac:dyDescent="0.2"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</row>
    <row r="6167" spans="11:23" x14ac:dyDescent="0.2"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</row>
    <row r="6168" spans="11:23" x14ac:dyDescent="0.2"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</row>
    <row r="6169" spans="11:23" x14ac:dyDescent="0.2"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</row>
    <row r="6170" spans="11:23" x14ac:dyDescent="0.2"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</row>
    <row r="6171" spans="11:23" x14ac:dyDescent="0.2"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</row>
    <row r="6172" spans="11:23" x14ac:dyDescent="0.2"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</row>
    <row r="6173" spans="11:23" x14ac:dyDescent="0.2"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</row>
    <row r="6174" spans="11:23" x14ac:dyDescent="0.2"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</row>
    <row r="6175" spans="11:23" x14ac:dyDescent="0.2"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</row>
    <row r="6176" spans="11:23" x14ac:dyDescent="0.2"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</row>
    <row r="6177" spans="11:23" x14ac:dyDescent="0.2"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</row>
    <row r="6178" spans="11:23" x14ac:dyDescent="0.2"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</row>
    <row r="6179" spans="11:23" x14ac:dyDescent="0.2"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</row>
    <row r="6180" spans="11:23" x14ac:dyDescent="0.2"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</row>
    <row r="6181" spans="11:23" x14ac:dyDescent="0.2">
      <c r="K6181" s="13"/>
      <c r="L6181" s="13"/>
      <c r="M6181" s="13"/>
      <c r="N6181" s="13"/>
      <c r="O6181" s="13"/>
      <c r="P6181" s="13"/>
      <c r="Q6181" s="13"/>
      <c r="R6181" s="13"/>
      <c r="S6181" s="13"/>
      <c r="T6181" s="13"/>
      <c r="U6181" s="13"/>
      <c r="V6181" s="13"/>
      <c r="W6181" s="13"/>
    </row>
    <row r="6182" spans="11:23" x14ac:dyDescent="0.2"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</row>
    <row r="6183" spans="11:23" x14ac:dyDescent="0.2"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</row>
    <row r="6184" spans="11:23" x14ac:dyDescent="0.2"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</row>
    <row r="6185" spans="11:23" x14ac:dyDescent="0.2"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</row>
    <row r="6186" spans="11:23" x14ac:dyDescent="0.2"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</row>
    <row r="6187" spans="11:23" x14ac:dyDescent="0.2"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</row>
    <row r="6188" spans="11:23" x14ac:dyDescent="0.2"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</row>
    <row r="6189" spans="11:23" x14ac:dyDescent="0.2">
      <c r="K6189" s="13"/>
      <c r="L6189" s="13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</row>
    <row r="6190" spans="11:23" x14ac:dyDescent="0.2"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</row>
    <row r="6191" spans="11:23" x14ac:dyDescent="0.2"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</row>
    <row r="6192" spans="11:23" x14ac:dyDescent="0.2"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</row>
    <row r="6193" spans="11:23" x14ac:dyDescent="0.2"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</row>
    <row r="6194" spans="11:23" x14ac:dyDescent="0.2"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</row>
    <row r="6195" spans="11:23" x14ac:dyDescent="0.2"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</row>
    <row r="6196" spans="11:23" x14ac:dyDescent="0.2"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</row>
    <row r="6197" spans="11:23" x14ac:dyDescent="0.2">
      <c r="K6197" s="13"/>
      <c r="L6197" s="13"/>
      <c r="M6197" s="13"/>
      <c r="N6197" s="13"/>
      <c r="O6197" s="13"/>
      <c r="P6197" s="13"/>
      <c r="Q6197" s="13"/>
      <c r="R6197" s="13"/>
      <c r="S6197" s="13"/>
      <c r="T6197" s="13"/>
      <c r="U6197" s="13"/>
      <c r="V6197" s="13"/>
      <c r="W6197" s="13"/>
    </row>
    <row r="6198" spans="11:23" x14ac:dyDescent="0.2"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13"/>
    </row>
    <row r="6199" spans="11:23" x14ac:dyDescent="0.2"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</row>
    <row r="6200" spans="11:23" x14ac:dyDescent="0.2"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</row>
    <row r="6201" spans="11:23" x14ac:dyDescent="0.2"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</row>
    <row r="6202" spans="11:23" x14ac:dyDescent="0.2"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</row>
    <row r="6203" spans="11:23" x14ac:dyDescent="0.2"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</row>
    <row r="6204" spans="11:23" x14ac:dyDescent="0.2"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</row>
    <row r="6205" spans="11:23" x14ac:dyDescent="0.2"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</row>
    <row r="6206" spans="11:23" x14ac:dyDescent="0.2"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</row>
    <row r="6207" spans="11:23" x14ac:dyDescent="0.2"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</row>
    <row r="6208" spans="11:23" x14ac:dyDescent="0.2"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</row>
    <row r="6209" spans="11:23" x14ac:dyDescent="0.2"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</row>
    <row r="6210" spans="11:23" x14ac:dyDescent="0.2"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</row>
    <row r="6211" spans="11:23" x14ac:dyDescent="0.2"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</row>
    <row r="6212" spans="11:23" x14ac:dyDescent="0.2"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</row>
    <row r="6213" spans="11:23" x14ac:dyDescent="0.2"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</row>
    <row r="6214" spans="11:23" x14ac:dyDescent="0.2"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</row>
    <row r="6215" spans="11:23" x14ac:dyDescent="0.2"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</row>
    <row r="6216" spans="11:23" x14ac:dyDescent="0.2"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</row>
    <row r="6217" spans="11:23" x14ac:dyDescent="0.2"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</row>
    <row r="6218" spans="11:23" x14ac:dyDescent="0.2"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</row>
    <row r="6219" spans="11:23" x14ac:dyDescent="0.2"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</row>
    <row r="6220" spans="11:23" x14ac:dyDescent="0.2"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</row>
    <row r="6221" spans="11:23" x14ac:dyDescent="0.2"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</row>
    <row r="6222" spans="11:23" x14ac:dyDescent="0.2"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</row>
    <row r="6223" spans="11:23" x14ac:dyDescent="0.2"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</row>
    <row r="6224" spans="11:23" x14ac:dyDescent="0.2"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</row>
    <row r="6225" spans="11:23" x14ac:dyDescent="0.2"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</row>
    <row r="6226" spans="11:23" x14ac:dyDescent="0.2"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</row>
    <row r="6227" spans="11:23" x14ac:dyDescent="0.2"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</row>
    <row r="6228" spans="11:23" x14ac:dyDescent="0.2"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</row>
    <row r="6229" spans="11:23" x14ac:dyDescent="0.2"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</row>
    <row r="6230" spans="11:23" x14ac:dyDescent="0.2"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</row>
    <row r="6231" spans="11:23" x14ac:dyDescent="0.2"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</row>
    <row r="6232" spans="11:23" x14ac:dyDescent="0.2"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</row>
    <row r="6233" spans="11:23" x14ac:dyDescent="0.2"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</row>
    <row r="6234" spans="11:23" x14ac:dyDescent="0.2"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</row>
    <row r="6235" spans="11:23" x14ac:dyDescent="0.2"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</row>
    <row r="6236" spans="11:23" x14ac:dyDescent="0.2"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</row>
    <row r="6237" spans="11:23" x14ac:dyDescent="0.2"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</row>
    <row r="6238" spans="11:23" x14ac:dyDescent="0.2"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</row>
    <row r="6239" spans="11:23" x14ac:dyDescent="0.2"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</row>
    <row r="6240" spans="11:23" x14ac:dyDescent="0.2"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</row>
    <row r="6241" spans="11:23" x14ac:dyDescent="0.2"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</row>
    <row r="6242" spans="11:23" x14ac:dyDescent="0.2"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</row>
    <row r="6243" spans="11:23" x14ac:dyDescent="0.2"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</row>
    <row r="6244" spans="11:23" x14ac:dyDescent="0.2"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</row>
    <row r="6245" spans="11:23" x14ac:dyDescent="0.2"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</row>
    <row r="6246" spans="11:23" x14ac:dyDescent="0.2">
      <c r="K6246" s="13"/>
      <c r="L6246" s="13"/>
      <c r="M6246" s="13"/>
      <c r="N6246" s="13"/>
      <c r="O6246" s="13"/>
      <c r="P6246" s="13"/>
      <c r="Q6246" s="13"/>
      <c r="R6246" s="13"/>
      <c r="S6246" s="13"/>
      <c r="T6246" s="13"/>
      <c r="U6246" s="13"/>
      <c r="V6246" s="13"/>
      <c r="W6246" s="13"/>
    </row>
    <row r="6247" spans="11:23" x14ac:dyDescent="0.2"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</row>
    <row r="6248" spans="11:23" x14ac:dyDescent="0.2"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</row>
    <row r="6249" spans="11:23" x14ac:dyDescent="0.2"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13"/>
    </row>
    <row r="6250" spans="11:23" x14ac:dyDescent="0.2"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</row>
    <row r="6251" spans="11:23" x14ac:dyDescent="0.2"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</row>
    <row r="6252" spans="11:23" x14ac:dyDescent="0.2"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</row>
    <row r="6253" spans="11:23" x14ac:dyDescent="0.2"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</row>
    <row r="6254" spans="11:23" x14ac:dyDescent="0.2"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</row>
    <row r="6255" spans="11:23" x14ac:dyDescent="0.2"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</row>
    <row r="6256" spans="11:23" x14ac:dyDescent="0.2"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</row>
    <row r="6257" spans="11:23" x14ac:dyDescent="0.2"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</row>
    <row r="6258" spans="11:23" x14ac:dyDescent="0.2"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</row>
    <row r="6259" spans="11:23" x14ac:dyDescent="0.2"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</row>
    <row r="6260" spans="11:23" x14ac:dyDescent="0.2"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</row>
    <row r="6261" spans="11:23" x14ac:dyDescent="0.2"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</row>
    <row r="6262" spans="11:23" x14ac:dyDescent="0.2"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</row>
    <row r="6263" spans="11:23" x14ac:dyDescent="0.2"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</row>
    <row r="6264" spans="11:23" x14ac:dyDescent="0.2"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</row>
    <row r="6265" spans="11:23" x14ac:dyDescent="0.2"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</row>
    <row r="6266" spans="11:23" x14ac:dyDescent="0.2"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</row>
    <row r="6267" spans="11:23" x14ac:dyDescent="0.2"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</row>
    <row r="6268" spans="11:23" x14ac:dyDescent="0.2"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</row>
    <row r="6269" spans="11:23" x14ac:dyDescent="0.2"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</row>
    <row r="6270" spans="11:23" x14ac:dyDescent="0.2"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</row>
    <row r="6271" spans="11:23" x14ac:dyDescent="0.2"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</row>
    <row r="6272" spans="11:23" x14ac:dyDescent="0.2"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</row>
    <row r="6273" spans="11:23" x14ac:dyDescent="0.2"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</row>
    <row r="6274" spans="11:23" x14ac:dyDescent="0.2">
      <c r="K6274" s="13"/>
      <c r="L6274" s="13"/>
      <c r="M6274" s="13"/>
      <c r="N6274" s="13"/>
      <c r="O6274" s="13"/>
      <c r="P6274" s="13"/>
      <c r="Q6274" s="13"/>
      <c r="R6274" s="13"/>
      <c r="S6274" s="13"/>
      <c r="T6274" s="13"/>
      <c r="U6274" s="13"/>
      <c r="V6274" s="13"/>
      <c r="W6274" s="13"/>
    </row>
    <row r="6275" spans="11:23" x14ac:dyDescent="0.2"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</row>
    <row r="6276" spans="11:23" x14ac:dyDescent="0.2"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</row>
    <row r="6277" spans="11:23" x14ac:dyDescent="0.2"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</row>
    <row r="6278" spans="11:23" x14ac:dyDescent="0.2"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</row>
    <row r="6279" spans="11:23" x14ac:dyDescent="0.2"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</row>
    <row r="6280" spans="11:23" x14ac:dyDescent="0.2"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</row>
    <row r="6281" spans="11:23" x14ac:dyDescent="0.2"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</row>
    <row r="6282" spans="11:23" x14ac:dyDescent="0.2">
      <c r="K6282" s="13"/>
      <c r="L6282" s="13"/>
      <c r="M6282" s="13"/>
      <c r="N6282" s="13"/>
      <c r="O6282" s="13"/>
      <c r="P6282" s="13"/>
      <c r="Q6282" s="13"/>
      <c r="R6282" s="13"/>
      <c r="S6282" s="13"/>
      <c r="T6282" s="13"/>
      <c r="U6282" s="13"/>
      <c r="V6282" s="13"/>
      <c r="W6282" s="13"/>
    </row>
    <row r="6283" spans="11:23" x14ac:dyDescent="0.2"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</row>
    <row r="6284" spans="11:23" x14ac:dyDescent="0.2"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</row>
    <row r="6285" spans="11:23" x14ac:dyDescent="0.2"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</row>
    <row r="6286" spans="11:23" x14ac:dyDescent="0.2"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</row>
    <row r="6287" spans="11:23" x14ac:dyDescent="0.2"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</row>
    <row r="6288" spans="11:23" x14ac:dyDescent="0.2"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</row>
    <row r="6289" spans="11:23" x14ac:dyDescent="0.2"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</row>
    <row r="6290" spans="11:23" x14ac:dyDescent="0.2"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</row>
    <row r="6291" spans="11:23" x14ac:dyDescent="0.2"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</row>
    <row r="6292" spans="11:23" x14ac:dyDescent="0.2"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</row>
    <row r="6293" spans="11:23" x14ac:dyDescent="0.2"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</row>
    <row r="6294" spans="11:23" x14ac:dyDescent="0.2"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</row>
    <row r="6295" spans="11:23" x14ac:dyDescent="0.2"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</row>
    <row r="6296" spans="11:23" x14ac:dyDescent="0.2"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</row>
    <row r="6297" spans="11:23" x14ac:dyDescent="0.2"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</row>
    <row r="6298" spans="11:23" x14ac:dyDescent="0.2"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</row>
    <row r="6299" spans="11:23" x14ac:dyDescent="0.2"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</row>
    <row r="6300" spans="11:23" x14ac:dyDescent="0.2"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</row>
    <row r="6301" spans="11:23" x14ac:dyDescent="0.2"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</row>
    <row r="6302" spans="11:23" x14ac:dyDescent="0.2"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</row>
    <row r="6303" spans="11:23" x14ac:dyDescent="0.2"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</row>
    <row r="6304" spans="11:23" x14ac:dyDescent="0.2"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</row>
    <row r="6305" spans="11:23" x14ac:dyDescent="0.2"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</row>
    <row r="6306" spans="11:23" x14ac:dyDescent="0.2"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</row>
    <row r="6307" spans="11:23" x14ac:dyDescent="0.2"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</row>
    <row r="6308" spans="11:23" x14ac:dyDescent="0.2"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</row>
    <row r="6309" spans="11:23" x14ac:dyDescent="0.2"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</row>
    <row r="6310" spans="11:23" x14ac:dyDescent="0.2"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</row>
    <row r="6311" spans="11:23" x14ac:dyDescent="0.2"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</row>
    <row r="6312" spans="11:23" x14ac:dyDescent="0.2"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</row>
    <row r="6313" spans="11:23" x14ac:dyDescent="0.2"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</row>
    <row r="6314" spans="11:23" x14ac:dyDescent="0.2"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</row>
    <row r="6315" spans="11:23" x14ac:dyDescent="0.2"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</row>
    <row r="6316" spans="11:23" x14ac:dyDescent="0.2"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</row>
    <row r="6317" spans="11:23" x14ac:dyDescent="0.2"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</row>
    <row r="6318" spans="11:23" x14ac:dyDescent="0.2"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</row>
    <row r="6319" spans="11:23" x14ac:dyDescent="0.2"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</row>
    <row r="6320" spans="11:23" x14ac:dyDescent="0.2"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</row>
    <row r="6321" spans="11:23" x14ac:dyDescent="0.2"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</row>
    <row r="6322" spans="11:23" x14ac:dyDescent="0.2"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</row>
    <row r="6323" spans="11:23" x14ac:dyDescent="0.2"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</row>
    <row r="6324" spans="11:23" x14ac:dyDescent="0.2"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</row>
    <row r="6325" spans="11:23" x14ac:dyDescent="0.2"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</row>
    <row r="6326" spans="11:23" x14ac:dyDescent="0.2"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</row>
    <row r="6327" spans="11:23" x14ac:dyDescent="0.2"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</row>
    <row r="6328" spans="11:23" x14ac:dyDescent="0.2"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</row>
    <row r="6329" spans="11:23" x14ac:dyDescent="0.2"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</row>
    <row r="6330" spans="11:23" x14ac:dyDescent="0.2"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</row>
    <row r="6331" spans="11:23" x14ac:dyDescent="0.2"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</row>
    <row r="6332" spans="11:23" x14ac:dyDescent="0.2"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</row>
    <row r="6333" spans="11:23" x14ac:dyDescent="0.2"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</row>
    <row r="6334" spans="11:23" x14ac:dyDescent="0.2"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</row>
    <row r="6335" spans="11:23" x14ac:dyDescent="0.2"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</row>
    <row r="6336" spans="11:23" x14ac:dyDescent="0.2"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</row>
    <row r="6337" spans="11:23" x14ac:dyDescent="0.2"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</row>
    <row r="6338" spans="11:23" x14ac:dyDescent="0.2"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</row>
    <row r="6339" spans="11:23" x14ac:dyDescent="0.2"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</row>
    <row r="6340" spans="11:23" x14ac:dyDescent="0.2"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</row>
    <row r="6341" spans="11:23" x14ac:dyDescent="0.2"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</row>
    <row r="6342" spans="11:23" x14ac:dyDescent="0.2"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</row>
    <row r="6343" spans="11:23" x14ac:dyDescent="0.2"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</row>
    <row r="6344" spans="11:23" x14ac:dyDescent="0.2"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</row>
    <row r="6345" spans="11:23" x14ac:dyDescent="0.2"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</row>
    <row r="6346" spans="11:23" x14ac:dyDescent="0.2"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</row>
    <row r="6347" spans="11:23" x14ac:dyDescent="0.2"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</row>
    <row r="6348" spans="11:23" x14ac:dyDescent="0.2"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</row>
    <row r="6349" spans="11:23" x14ac:dyDescent="0.2"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</row>
    <row r="6350" spans="11:23" x14ac:dyDescent="0.2"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</row>
    <row r="6351" spans="11:23" x14ac:dyDescent="0.2"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</row>
    <row r="6352" spans="11:23" x14ac:dyDescent="0.2"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</row>
    <row r="6353" spans="11:23" x14ac:dyDescent="0.2"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</row>
    <row r="6354" spans="11:23" x14ac:dyDescent="0.2"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</row>
    <row r="6355" spans="11:23" x14ac:dyDescent="0.2"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</row>
    <row r="6356" spans="11:23" x14ac:dyDescent="0.2"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</row>
    <row r="6357" spans="11:23" x14ac:dyDescent="0.2">
      <c r="K6357" s="13"/>
      <c r="L6357" s="13"/>
      <c r="M6357" s="13"/>
      <c r="N6357" s="13"/>
      <c r="O6357" s="13"/>
      <c r="P6357" s="13"/>
      <c r="Q6357" s="13"/>
      <c r="R6357" s="13"/>
      <c r="S6357" s="13"/>
      <c r="T6357" s="13"/>
      <c r="U6357" s="13"/>
      <c r="V6357" s="13"/>
      <c r="W6357" s="13"/>
    </row>
    <row r="6358" spans="11:23" x14ac:dyDescent="0.2">
      <c r="K6358" s="13"/>
      <c r="L6358" s="13"/>
      <c r="M6358" s="13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</row>
    <row r="6359" spans="11:23" x14ac:dyDescent="0.2"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</row>
    <row r="6360" spans="11:23" x14ac:dyDescent="0.2"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</row>
    <row r="6361" spans="11:23" x14ac:dyDescent="0.2"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</row>
    <row r="6362" spans="11:23" x14ac:dyDescent="0.2"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</row>
    <row r="6363" spans="11:23" x14ac:dyDescent="0.2"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</row>
    <row r="6364" spans="11:23" x14ac:dyDescent="0.2"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</row>
    <row r="6365" spans="11:23" x14ac:dyDescent="0.2"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</row>
    <row r="6366" spans="11:23" x14ac:dyDescent="0.2"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</row>
    <row r="6367" spans="11:23" x14ac:dyDescent="0.2"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</row>
    <row r="6368" spans="11:23" x14ac:dyDescent="0.2"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</row>
    <row r="6369" spans="11:23" x14ac:dyDescent="0.2"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</row>
    <row r="6370" spans="11:23" x14ac:dyDescent="0.2"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</row>
    <row r="6371" spans="11:23" x14ac:dyDescent="0.2"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</row>
    <row r="6372" spans="11:23" x14ac:dyDescent="0.2"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</row>
    <row r="6373" spans="11:23" x14ac:dyDescent="0.2"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</row>
    <row r="6374" spans="11:23" x14ac:dyDescent="0.2"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</row>
    <row r="6375" spans="11:23" x14ac:dyDescent="0.2"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</row>
    <row r="6376" spans="11:23" x14ac:dyDescent="0.2"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</row>
    <row r="6377" spans="11:23" x14ac:dyDescent="0.2"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</row>
    <row r="6378" spans="11:23" x14ac:dyDescent="0.2"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</row>
    <row r="6379" spans="11:23" x14ac:dyDescent="0.2"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</row>
    <row r="6380" spans="11:23" x14ac:dyDescent="0.2"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</row>
    <row r="6381" spans="11:23" x14ac:dyDescent="0.2"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</row>
    <row r="6382" spans="11:23" x14ac:dyDescent="0.2"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</row>
    <row r="6383" spans="11:23" x14ac:dyDescent="0.2"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</row>
    <row r="6384" spans="11:23" x14ac:dyDescent="0.2"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</row>
    <row r="6385" spans="11:23" x14ac:dyDescent="0.2"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</row>
    <row r="6386" spans="11:23" x14ac:dyDescent="0.2"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</row>
    <row r="6387" spans="11:23" x14ac:dyDescent="0.2"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</row>
    <row r="6388" spans="11:23" x14ac:dyDescent="0.2"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</row>
    <row r="6389" spans="11:23" x14ac:dyDescent="0.2"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</row>
    <row r="6390" spans="11:23" x14ac:dyDescent="0.2"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</row>
    <row r="6391" spans="11:23" x14ac:dyDescent="0.2"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</row>
    <row r="6392" spans="11:23" x14ac:dyDescent="0.2"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</row>
    <row r="6393" spans="11:23" x14ac:dyDescent="0.2"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</row>
    <row r="6394" spans="11:23" x14ac:dyDescent="0.2"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</row>
    <row r="6395" spans="11:23" x14ac:dyDescent="0.2"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</row>
    <row r="6396" spans="11:23" x14ac:dyDescent="0.2"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</row>
    <row r="6397" spans="11:23" x14ac:dyDescent="0.2"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</row>
    <row r="6398" spans="11:23" x14ac:dyDescent="0.2"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</row>
    <row r="6399" spans="11:23" x14ac:dyDescent="0.2"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</row>
    <row r="6400" spans="11:23" x14ac:dyDescent="0.2"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</row>
    <row r="6401" spans="11:23" x14ac:dyDescent="0.2"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</row>
    <row r="6402" spans="11:23" x14ac:dyDescent="0.2"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</row>
    <row r="6403" spans="11:23" x14ac:dyDescent="0.2"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</row>
    <row r="6404" spans="11:23" x14ac:dyDescent="0.2"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</row>
    <row r="6405" spans="11:23" x14ac:dyDescent="0.2"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</row>
    <row r="6406" spans="11:23" x14ac:dyDescent="0.2"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</row>
    <row r="6407" spans="11:23" x14ac:dyDescent="0.2"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</row>
    <row r="6408" spans="11:23" x14ac:dyDescent="0.2"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</row>
    <row r="6409" spans="11:23" x14ac:dyDescent="0.2"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</row>
    <row r="6410" spans="11:23" x14ac:dyDescent="0.2"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</row>
    <row r="6411" spans="11:23" x14ac:dyDescent="0.2"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</row>
    <row r="6412" spans="11:23" x14ac:dyDescent="0.2"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</row>
    <row r="6413" spans="11:23" x14ac:dyDescent="0.2"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</row>
    <row r="6414" spans="11:23" x14ac:dyDescent="0.2"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</row>
    <row r="6415" spans="11:23" x14ac:dyDescent="0.2"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</row>
    <row r="6416" spans="11:23" x14ac:dyDescent="0.2"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</row>
    <row r="6417" spans="11:23" x14ac:dyDescent="0.2">
      <c r="K6417" s="13"/>
      <c r="L6417" s="13"/>
      <c r="M6417" s="13"/>
      <c r="N6417" s="13"/>
      <c r="O6417" s="13"/>
      <c r="P6417" s="13"/>
      <c r="Q6417" s="13"/>
      <c r="R6417" s="13"/>
      <c r="S6417" s="13"/>
      <c r="T6417" s="13"/>
      <c r="U6417" s="13"/>
      <c r="V6417" s="13"/>
      <c r="W6417" s="13"/>
    </row>
    <row r="6418" spans="11:23" x14ac:dyDescent="0.2">
      <c r="K6418" s="13"/>
      <c r="L6418" s="13"/>
      <c r="M6418" s="13"/>
      <c r="N6418" s="13"/>
      <c r="O6418" s="13"/>
      <c r="P6418" s="13"/>
      <c r="Q6418" s="13"/>
      <c r="R6418" s="13"/>
      <c r="S6418" s="13"/>
      <c r="T6418" s="13"/>
      <c r="U6418" s="13"/>
      <c r="V6418" s="13"/>
      <c r="W6418" s="13"/>
    </row>
    <row r="6419" spans="11:23" x14ac:dyDescent="0.2"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</row>
    <row r="6420" spans="11:23" x14ac:dyDescent="0.2"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</row>
    <row r="6421" spans="11:23" x14ac:dyDescent="0.2"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</row>
    <row r="6422" spans="11:23" x14ac:dyDescent="0.2"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</row>
    <row r="6423" spans="11:23" x14ac:dyDescent="0.2"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</row>
    <row r="6424" spans="11:23" x14ac:dyDescent="0.2"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</row>
    <row r="6425" spans="11:23" x14ac:dyDescent="0.2"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</row>
    <row r="6426" spans="11:23" x14ac:dyDescent="0.2"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</row>
    <row r="6427" spans="11:23" x14ac:dyDescent="0.2"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</row>
    <row r="6428" spans="11:23" x14ac:dyDescent="0.2"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</row>
    <row r="6429" spans="11:23" x14ac:dyDescent="0.2">
      <c r="K6429" s="13"/>
      <c r="L6429" s="13"/>
      <c r="M6429" s="13"/>
      <c r="N6429" s="13"/>
      <c r="O6429" s="13"/>
      <c r="P6429" s="13"/>
      <c r="Q6429" s="13"/>
      <c r="R6429" s="13"/>
      <c r="S6429" s="13"/>
      <c r="T6429" s="13"/>
      <c r="U6429" s="13"/>
      <c r="V6429" s="13"/>
      <c r="W6429" s="13"/>
    </row>
    <row r="6430" spans="11:23" x14ac:dyDescent="0.2"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</row>
    <row r="6431" spans="11:23" x14ac:dyDescent="0.2"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</row>
    <row r="6432" spans="11:23" x14ac:dyDescent="0.2"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</row>
    <row r="6433" spans="11:23" x14ac:dyDescent="0.2">
      <c r="K6433" s="13"/>
      <c r="L6433" s="13"/>
      <c r="M6433" s="13"/>
      <c r="N6433" s="13"/>
      <c r="O6433" s="13"/>
      <c r="P6433" s="13"/>
      <c r="Q6433" s="13"/>
      <c r="R6433" s="13"/>
      <c r="S6433" s="13"/>
      <c r="T6433" s="13"/>
      <c r="U6433" s="13"/>
      <c r="V6433" s="13"/>
      <c r="W6433" s="13"/>
    </row>
    <row r="6434" spans="11:23" x14ac:dyDescent="0.2">
      <c r="K6434" s="13"/>
      <c r="L6434" s="13"/>
      <c r="M6434" s="13"/>
      <c r="N6434" s="13"/>
      <c r="O6434" s="13"/>
      <c r="P6434" s="13"/>
      <c r="Q6434" s="13"/>
      <c r="R6434" s="13"/>
      <c r="S6434" s="13"/>
      <c r="T6434" s="13"/>
      <c r="U6434" s="13"/>
      <c r="V6434" s="13"/>
      <c r="W6434" s="13"/>
    </row>
    <row r="6435" spans="11:23" x14ac:dyDescent="0.2"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</row>
    <row r="6436" spans="11:23" x14ac:dyDescent="0.2"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</row>
    <row r="6437" spans="11:23" x14ac:dyDescent="0.2">
      <c r="K6437" s="13"/>
      <c r="L6437" s="13"/>
      <c r="M6437" s="13"/>
      <c r="N6437" s="13"/>
      <c r="O6437" s="13"/>
      <c r="P6437" s="13"/>
      <c r="Q6437" s="13"/>
      <c r="R6437" s="13"/>
      <c r="S6437" s="13"/>
      <c r="T6437" s="13"/>
      <c r="U6437" s="13"/>
      <c r="V6437" s="13"/>
      <c r="W6437" s="13"/>
    </row>
    <row r="6438" spans="11:23" x14ac:dyDescent="0.2">
      <c r="K6438" s="13"/>
      <c r="L6438" s="13"/>
      <c r="M6438" s="13"/>
      <c r="N6438" s="13"/>
      <c r="O6438" s="13"/>
      <c r="P6438" s="13"/>
      <c r="Q6438" s="13"/>
      <c r="R6438" s="13"/>
      <c r="S6438" s="13"/>
      <c r="T6438" s="13"/>
      <c r="U6438" s="13"/>
      <c r="V6438" s="13"/>
      <c r="W6438" s="13"/>
    </row>
    <row r="6439" spans="11:23" x14ac:dyDescent="0.2"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</row>
    <row r="6440" spans="11:23" x14ac:dyDescent="0.2"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</row>
    <row r="6441" spans="11:23" x14ac:dyDescent="0.2">
      <c r="K6441" s="13"/>
      <c r="L6441" s="13"/>
      <c r="M6441" s="13"/>
      <c r="N6441" s="13"/>
      <c r="O6441" s="13"/>
      <c r="P6441" s="13"/>
      <c r="Q6441" s="13"/>
      <c r="R6441" s="13"/>
      <c r="S6441" s="13"/>
      <c r="T6441" s="13"/>
      <c r="U6441" s="13"/>
      <c r="V6441" s="13"/>
      <c r="W6441" s="13"/>
    </row>
    <row r="6442" spans="11:23" x14ac:dyDescent="0.2"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</row>
    <row r="6443" spans="11:23" x14ac:dyDescent="0.2"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</row>
    <row r="6444" spans="11:23" x14ac:dyDescent="0.2"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</row>
    <row r="6445" spans="11:23" x14ac:dyDescent="0.2"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</row>
    <row r="6446" spans="11:23" x14ac:dyDescent="0.2"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</row>
    <row r="6447" spans="11:23" x14ac:dyDescent="0.2"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</row>
    <row r="6448" spans="11:23" x14ac:dyDescent="0.2"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</row>
    <row r="6449" spans="11:23" x14ac:dyDescent="0.2"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</row>
    <row r="6450" spans="11:23" x14ac:dyDescent="0.2"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</row>
    <row r="6451" spans="11:23" x14ac:dyDescent="0.2"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</row>
    <row r="6452" spans="11:23" x14ac:dyDescent="0.2"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</row>
    <row r="6453" spans="11:23" x14ac:dyDescent="0.2"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</row>
    <row r="6454" spans="11:23" x14ac:dyDescent="0.2"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</row>
    <row r="6455" spans="11:23" x14ac:dyDescent="0.2"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</row>
    <row r="6456" spans="11:23" x14ac:dyDescent="0.2"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</row>
    <row r="6457" spans="11:23" x14ac:dyDescent="0.2"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</row>
    <row r="6458" spans="11:23" x14ac:dyDescent="0.2"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</row>
    <row r="6459" spans="11:23" x14ac:dyDescent="0.2"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</row>
    <row r="6460" spans="11:23" x14ac:dyDescent="0.2"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</row>
    <row r="6461" spans="11:23" x14ac:dyDescent="0.2"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</row>
    <row r="6462" spans="11:23" x14ac:dyDescent="0.2"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</row>
    <row r="6463" spans="11:23" x14ac:dyDescent="0.2"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</row>
    <row r="6464" spans="11:23" x14ac:dyDescent="0.2"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</row>
    <row r="6465" spans="11:23" x14ac:dyDescent="0.2"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</row>
    <row r="6466" spans="11:23" x14ac:dyDescent="0.2"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</row>
    <row r="6467" spans="11:23" x14ac:dyDescent="0.2"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</row>
    <row r="6468" spans="11:23" x14ac:dyDescent="0.2"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</row>
    <row r="6469" spans="11:23" x14ac:dyDescent="0.2"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</row>
    <row r="6470" spans="11:23" x14ac:dyDescent="0.2"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</row>
    <row r="6471" spans="11:23" x14ac:dyDescent="0.2"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</row>
    <row r="6472" spans="11:23" x14ac:dyDescent="0.2"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</row>
    <row r="6473" spans="11:23" x14ac:dyDescent="0.2"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</row>
    <row r="6474" spans="11:23" x14ac:dyDescent="0.2"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</row>
    <row r="6475" spans="11:23" x14ac:dyDescent="0.2"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</row>
    <row r="6476" spans="11:23" x14ac:dyDescent="0.2"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</row>
    <row r="6477" spans="11:23" x14ac:dyDescent="0.2"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</row>
    <row r="6478" spans="11:23" x14ac:dyDescent="0.2"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</row>
    <row r="6479" spans="11:23" x14ac:dyDescent="0.2"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</row>
    <row r="6480" spans="11:23" x14ac:dyDescent="0.2"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</row>
    <row r="6481" spans="11:23" x14ac:dyDescent="0.2"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</row>
    <row r="6482" spans="11:23" x14ac:dyDescent="0.2"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</row>
    <row r="6483" spans="11:23" x14ac:dyDescent="0.2"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</row>
    <row r="6484" spans="11:23" x14ac:dyDescent="0.2"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</row>
    <row r="6485" spans="11:23" x14ac:dyDescent="0.2"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</row>
    <row r="6486" spans="11:23" x14ac:dyDescent="0.2"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</row>
    <row r="6487" spans="11:23" x14ac:dyDescent="0.2"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</row>
    <row r="6488" spans="11:23" x14ac:dyDescent="0.2"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</row>
    <row r="6489" spans="11:23" x14ac:dyDescent="0.2"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</row>
    <row r="6490" spans="11:23" x14ac:dyDescent="0.2"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</row>
    <row r="6491" spans="11:23" x14ac:dyDescent="0.2"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</row>
    <row r="6492" spans="11:23" x14ac:dyDescent="0.2"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</row>
    <row r="6493" spans="11:23" x14ac:dyDescent="0.2"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</row>
    <row r="6494" spans="11:23" x14ac:dyDescent="0.2"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</row>
    <row r="6495" spans="11:23" x14ac:dyDescent="0.2"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</row>
    <row r="6496" spans="11:23" x14ac:dyDescent="0.2"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</row>
    <row r="6497" spans="11:23" x14ac:dyDescent="0.2"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</row>
    <row r="6498" spans="11:23" x14ac:dyDescent="0.2"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</row>
    <row r="6499" spans="11:23" x14ac:dyDescent="0.2"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</row>
    <row r="6500" spans="11:23" x14ac:dyDescent="0.2"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</row>
    <row r="6501" spans="11:23" x14ac:dyDescent="0.2"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</row>
    <row r="6502" spans="11:23" x14ac:dyDescent="0.2"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</row>
    <row r="6503" spans="11:23" x14ac:dyDescent="0.2"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</row>
    <row r="6504" spans="11:23" x14ac:dyDescent="0.2"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</row>
    <row r="6505" spans="11:23" x14ac:dyDescent="0.2"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</row>
    <row r="6506" spans="11:23" x14ac:dyDescent="0.2"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</row>
    <row r="6507" spans="11:23" x14ac:dyDescent="0.2"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</row>
    <row r="6508" spans="11:23" x14ac:dyDescent="0.2"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</row>
    <row r="6509" spans="11:23" x14ac:dyDescent="0.2"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</row>
    <row r="6510" spans="11:23" x14ac:dyDescent="0.2"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</row>
    <row r="6511" spans="11:23" x14ac:dyDescent="0.2"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</row>
    <row r="6512" spans="11:23" x14ac:dyDescent="0.2"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</row>
    <row r="6513" spans="11:23" x14ac:dyDescent="0.2"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</row>
    <row r="6514" spans="11:23" x14ac:dyDescent="0.2"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</row>
    <row r="6515" spans="11:23" x14ac:dyDescent="0.2"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</row>
    <row r="6516" spans="11:23" x14ac:dyDescent="0.2"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</row>
    <row r="6517" spans="11:23" x14ac:dyDescent="0.2"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</row>
    <row r="6518" spans="11:23" x14ac:dyDescent="0.2"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</row>
    <row r="6519" spans="11:23" x14ac:dyDescent="0.2"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</row>
    <row r="6520" spans="11:23" x14ac:dyDescent="0.2"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</row>
    <row r="6521" spans="11:23" x14ac:dyDescent="0.2"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</row>
    <row r="6522" spans="11:23" x14ac:dyDescent="0.2"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</row>
    <row r="6523" spans="11:23" x14ac:dyDescent="0.2"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</row>
    <row r="6524" spans="11:23" x14ac:dyDescent="0.2"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</row>
    <row r="6525" spans="11:23" x14ac:dyDescent="0.2"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</row>
    <row r="6526" spans="11:23" x14ac:dyDescent="0.2"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</row>
    <row r="6527" spans="11:23" x14ac:dyDescent="0.2"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</row>
    <row r="6528" spans="11:23" x14ac:dyDescent="0.2"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</row>
    <row r="6529" spans="11:23" x14ac:dyDescent="0.2"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</row>
    <row r="6530" spans="11:23" x14ac:dyDescent="0.2"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</row>
    <row r="6531" spans="11:23" x14ac:dyDescent="0.2"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</row>
    <row r="6532" spans="11:23" x14ac:dyDescent="0.2"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</row>
    <row r="6533" spans="11:23" x14ac:dyDescent="0.2"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</row>
    <row r="6534" spans="11:23" x14ac:dyDescent="0.2"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</row>
    <row r="6535" spans="11:23" x14ac:dyDescent="0.2"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</row>
    <row r="6536" spans="11:23" x14ac:dyDescent="0.2"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</row>
    <row r="6537" spans="11:23" x14ac:dyDescent="0.2"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</row>
    <row r="6538" spans="11:23" x14ac:dyDescent="0.2"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</row>
    <row r="6539" spans="11:23" x14ac:dyDescent="0.2"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</row>
    <row r="6540" spans="11:23" x14ac:dyDescent="0.2"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</row>
    <row r="6541" spans="11:23" x14ac:dyDescent="0.2"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</row>
    <row r="6542" spans="11:23" x14ac:dyDescent="0.2"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</row>
    <row r="6543" spans="11:23" x14ac:dyDescent="0.2"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</row>
    <row r="6544" spans="11:23" x14ac:dyDescent="0.2"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</row>
    <row r="6545" spans="11:23" x14ac:dyDescent="0.2"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</row>
    <row r="6546" spans="11:23" x14ac:dyDescent="0.2"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</row>
    <row r="6547" spans="11:23" x14ac:dyDescent="0.2"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</row>
    <row r="6548" spans="11:23" x14ac:dyDescent="0.2"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</row>
    <row r="6549" spans="11:23" x14ac:dyDescent="0.2"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</row>
    <row r="6550" spans="11:23" x14ac:dyDescent="0.2"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</row>
    <row r="6551" spans="11:23" x14ac:dyDescent="0.2"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</row>
    <row r="6552" spans="11:23" x14ac:dyDescent="0.2"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</row>
    <row r="6553" spans="11:23" x14ac:dyDescent="0.2"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</row>
    <row r="6554" spans="11:23" x14ac:dyDescent="0.2"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</row>
    <row r="6555" spans="11:23" x14ac:dyDescent="0.2"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</row>
    <row r="6556" spans="11:23" x14ac:dyDescent="0.2"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</row>
    <row r="6557" spans="11:23" x14ac:dyDescent="0.2"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</row>
    <row r="6558" spans="11:23" x14ac:dyDescent="0.2"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</row>
    <row r="6559" spans="11:23" x14ac:dyDescent="0.2"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</row>
    <row r="6560" spans="11:23" x14ac:dyDescent="0.2"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</row>
    <row r="6561" spans="11:23" x14ac:dyDescent="0.2"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</row>
    <row r="6562" spans="11:23" x14ac:dyDescent="0.2"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</row>
    <row r="6563" spans="11:23" x14ac:dyDescent="0.2"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</row>
    <row r="6564" spans="11:23" x14ac:dyDescent="0.2"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</row>
    <row r="6565" spans="11:23" x14ac:dyDescent="0.2"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</row>
    <row r="6566" spans="11:23" x14ac:dyDescent="0.2"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</row>
    <row r="6567" spans="11:23" x14ac:dyDescent="0.2"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</row>
    <row r="6568" spans="11:23" x14ac:dyDescent="0.2"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</row>
    <row r="6569" spans="11:23" x14ac:dyDescent="0.2"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</row>
    <row r="6570" spans="11:23" x14ac:dyDescent="0.2"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</row>
    <row r="6571" spans="11:23" x14ac:dyDescent="0.2"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</row>
    <row r="6572" spans="11:23" x14ac:dyDescent="0.2"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</row>
    <row r="6573" spans="11:23" x14ac:dyDescent="0.2"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</row>
    <row r="6574" spans="11:23" x14ac:dyDescent="0.2"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</row>
    <row r="6575" spans="11:23" x14ac:dyDescent="0.2"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</row>
    <row r="6576" spans="11:23" x14ac:dyDescent="0.2"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</row>
    <row r="6577" spans="11:23" x14ac:dyDescent="0.2"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</row>
    <row r="6578" spans="11:23" x14ac:dyDescent="0.2"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</row>
    <row r="6579" spans="11:23" x14ac:dyDescent="0.2"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</row>
    <row r="6580" spans="11:23" x14ac:dyDescent="0.2"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</row>
    <row r="6581" spans="11:23" x14ac:dyDescent="0.2"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</row>
    <row r="6582" spans="11:23" x14ac:dyDescent="0.2"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</row>
    <row r="6583" spans="11:23" x14ac:dyDescent="0.2"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</row>
    <row r="6584" spans="11:23" x14ac:dyDescent="0.2"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</row>
    <row r="6585" spans="11:23" x14ac:dyDescent="0.2"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</row>
    <row r="6586" spans="11:23" x14ac:dyDescent="0.2"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</row>
    <row r="6587" spans="11:23" x14ac:dyDescent="0.2"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</row>
    <row r="6588" spans="11:23" x14ac:dyDescent="0.2"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</row>
    <row r="6589" spans="11:23" x14ac:dyDescent="0.2"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</row>
    <row r="6590" spans="11:23" x14ac:dyDescent="0.2"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</row>
    <row r="6591" spans="11:23" x14ac:dyDescent="0.2"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</row>
    <row r="6592" spans="11:23" x14ac:dyDescent="0.2"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</row>
    <row r="6593" spans="11:23" x14ac:dyDescent="0.2"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</row>
    <row r="6594" spans="11:23" x14ac:dyDescent="0.2"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</row>
    <row r="6595" spans="11:23" x14ac:dyDescent="0.2"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</row>
    <row r="6596" spans="11:23" x14ac:dyDescent="0.2"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</row>
    <row r="6597" spans="11:23" x14ac:dyDescent="0.2"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</row>
    <row r="6598" spans="11:23" x14ac:dyDescent="0.2"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</row>
    <row r="6599" spans="11:23" x14ac:dyDescent="0.2"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</row>
    <row r="6600" spans="11:23" x14ac:dyDescent="0.2"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</row>
    <row r="6601" spans="11:23" x14ac:dyDescent="0.2"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</row>
    <row r="6602" spans="11:23" x14ac:dyDescent="0.2"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</row>
    <row r="6603" spans="11:23" x14ac:dyDescent="0.2"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</row>
    <row r="6604" spans="11:23" x14ac:dyDescent="0.2"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</row>
    <row r="6605" spans="11:23" x14ac:dyDescent="0.2"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</row>
    <row r="6606" spans="11:23" x14ac:dyDescent="0.2"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</row>
    <row r="6607" spans="11:23" x14ac:dyDescent="0.2"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</row>
    <row r="6608" spans="11:23" x14ac:dyDescent="0.2"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</row>
    <row r="6609" spans="11:23" x14ac:dyDescent="0.2"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</row>
    <row r="6610" spans="11:23" x14ac:dyDescent="0.2"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</row>
    <row r="6611" spans="11:23" x14ac:dyDescent="0.2"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</row>
    <row r="6612" spans="11:23" x14ac:dyDescent="0.2"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</row>
    <row r="6613" spans="11:23" x14ac:dyDescent="0.2"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</row>
    <row r="6614" spans="11:23" x14ac:dyDescent="0.2"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</row>
    <row r="6615" spans="11:23" x14ac:dyDescent="0.2"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</row>
    <row r="6616" spans="11:23" x14ac:dyDescent="0.2"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</row>
    <row r="6617" spans="11:23" x14ac:dyDescent="0.2"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</row>
    <row r="6618" spans="11:23" x14ac:dyDescent="0.2"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</row>
    <row r="6619" spans="11:23" x14ac:dyDescent="0.2"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</row>
    <row r="6620" spans="11:23" x14ac:dyDescent="0.2"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</row>
    <row r="6621" spans="11:23" x14ac:dyDescent="0.2"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</row>
    <row r="6622" spans="11:23" x14ac:dyDescent="0.2"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</row>
    <row r="6623" spans="11:23" x14ac:dyDescent="0.2"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</row>
    <row r="6624" spans="11:23" x14ac:dyDescent="0.2"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</row>
    <row r="6625" spans="11:23" x14ac:dyDescent="0.2"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</row>
    <row r="6626" spans="11:23" x14ac:dyDescent="0.2"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</row>
    <row r="6627" spans="11:23" x14ac:dyDescent="0.2"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</row>
    <row r="6628" spans="11:23" x14ac:dyDescent="0.2"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</row>
    <row r="6629" spans="11:23" x14ac:dyDescent="0.2"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</row>
    <row r="6630" spans="11:23" x14ac:dyDescent="0.2"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</row>
    <row r="6631" spans="11:23" x14ac:dyDescent="0.2"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</row>
    <row r="6632" spans="11:23" x14ac:dyDescent="0.2"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</row>
    <row r="6633" spans="11:23" x14ac:dyDescent="0.2"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</row>
    <row r="6634" spans="11:23" x14ac:dyDescent="0.2"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</row>
    <row r="6635" spans="11:23" x14ac:dyDescent="0.2"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</row>
    <row r="6636" spans="11:23" x14ac:dyDescent="0.2"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</row>
    <row r="6637" spans="11:23" x14ac:dyDescent="0.2"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</row>
    <row r="6638" spans="11:23" x14ac:dyDescent="0.2"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</row>
    <row r="6639" spans="11:23" x14ac:dyDescent="0.2"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</row>
    <row r="6640" spans="11:23" x14ac:dyDescent="0.2"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</row>
    <row r="6641" spans="11:23" x14ac:dyDescent="0.2"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</row>
    <row r="6642" spans="11:23" x14ac:dyDescent="0.2"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</row>
    <row r="6643" spans="11:23" x14ac:dyDescent="0.2"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</row>
    <row r="6644" spans="11:23" x14ac:dyDescent="0.2"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</row>
    <row r="6645" spans="11:23" x14ac:dyDescent="0.2">
      <c r="K6645" s="13"/>
      <c r="L6645" s="13"/>
      <c r="M6645" s="13"/>
      <c r="N6645" s="13"/>
      <c r="O6645" s="13"/>
      <c r="P6645" s="13"/>
      <c r="Q6645" s="13"/>
      <c r="R6645" s="13"/>
      <c r="S6645" s="13"/>
      <c r="T6645" s="13"/>
      <c r="U6645" s="13"/>
      <c r="V6645" s="13"/>
      <c r="W6645" s="13"/>
    </row>
    <row r="6646" spans="11:23" x14ac:dyDescent="0.2">
      <c r="K6646" s="13"/>
      <c r="L6646" s="13"/>
      <c r="M6646" s="13"/>
      <c r="N6646" s="13"/>
      <c r="O6646" s="13"/>
      <c r="P6646" s="13"/>
      <c r="Q6646" s="13"/>
      <c r="R6646" s="13"/>
      <c r="S6646" s="13"/>
      <c r="T6646" s="13"/>
      <c r="U6646" s="13"/>
      <c r="V6646" s="13"/>
      <c r="W6646" s="13"/>
    </row>
    <row r="6647" spans="11:23" x14ac:dyDescent="0.2"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</row>
    <row r="6648" spans="11:23" x14ac:dyDescent="0.2"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</row>
    <row r="6649" spans="11:23" x14ac:dyDescent="0.2"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</row>
    <row r="6650" spans="11:23" x14ac:dyDescent="0.2"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</row>
    <row r="6651" spans="11:23" x14ac:dyDescent="0.2"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</row>
    <row r="6652" spans="11:23" x14ac:dyDescent="0.2"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</row>
    <row r="6653" spans="11:23" x14ac:dyDescent="0.2"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</row>
    <row r="6654" spans="11:23" x14ac:dyDescent="0.2"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</row>
    <row r="6655" spans="11:23" x14ac:dyDescent="0.2"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</row>
    <row r="6656" spans="11:23" x14ac:dyDescent="0.2"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</row>
    <row r="6657" spans="11:23" x14ac:dyDescent="0.2"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</row>
    <row r="6658" spans="11:23" x14ac:dyDescent="0.2"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</row>
    <row r="6659" spans="11:23" x14ac:dyDescent="0.2"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</row>
    <row r="6660" spans="11:23" x14ac:dyDescent="0.2"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</row>
    <row r="6661" spans="11:23" x14ac:dyDescent="0.2"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</row>
    <row r="6662" spans="11:23" x14ac:dyDescent="0.2"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</row>
    <row r="6663" spans="11:23" x14ac:dyDescent="0.2"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</row>
    <row r="6664" spans="11:23" x14ac:dyDescent="0.2"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</row>
    <row r="6665" spans="11:23" x14ac:dyDescent="0.2"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</row>
    <row r="6666" spans="11:23" x14ac:dyDescent="0.2">
      <c r="K6666" s="13"/>
      <c r="L6666" s="13"/>
      <c r="M6666" s="13"/>
      <c r="N6666" s="13"/>
      <c r="O6666" s="13"/>
      <c r="P6666" s="13"/>
      <c r="Q6666" s="13"/>
      <c r="R6666" s="13"/>
      <c r="S6666" s="13"/>
      <c r="T6666" s="13"/>
      <c r="U6666" s="13"/>
      <c r="V6666" s="13"/>
      <c r="W6666" s="13"/>
    </row>
    <row r="6667" spans="11:23" x14ac:dyDescent="0.2"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</row>
    <row r="6668" spans="11:23" x14ac:dyDescent="0.2"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</row>
    <row r="6669" spans="11:23" x14ac:dyDescent="0.2"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</row>
    <row r="6670" spans="11:23" x14ac:dyDescent="0.2"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</row>
    <row r="6671" spans="11:23" x14ac:dyDescent="0.2"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</row>
    <row r="6672" spans="11:23" x14ac:dyDescent="0.2"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</row>
    <row r="6673" spans="11:23" x14ac:dyDescent="0.2"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</row>
    <row r="6674" spans="11:23" x14ac:dyDescent="0.2"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</row>
    <row r="6675" spans="11:23" x14ac:dyDescent="0.2"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</row>
    <row r="6676" spans="11:23" x14ac:dyDescent="0.2"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</row>
    <row r="6677" spans="11:23" x14ac:dyDescent="0.2"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</row>
    <row r="6678" spans="11:23" x14ac:dyDescent="0.2"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</row>
    <row r="6679" spans="11:23" x14ac:dyDescent="0.2"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</row>
    <row r="6680" spans="11:23" x14ac:dyDescent="0.2"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</row>
    <row r="6681" spans="11:23" x14ac:dyDescent="0.2"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</row>
    <row r="6682" spans="11:23" x14ac:dyDescent="0.2"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</row>
    <row r="6683" spans="11:23" x14ac:dyDescent="0.2"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</row>
    <row r="6684" spans="11:23" x14ac:dyDescent="0.2"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</row>
    <row r="6685" spans="11:23" x14ac:dyDescent="0.2"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</row>
    <row r="6686" spans="11:23" x14ac:dyDescent="0.2"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</row>
    <row r="6687" spans="11:23" x14ac:dyDescent="0.2"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</row>
    <row r="6688" spans="11:23" x14ac:dyDescent="0.2"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</row>
    <row r="6689" spans="11:23" x14ac:dyDescent="0.2"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</row>
    <row r="6690" spans="11:23" x14ac:dyDescent="0.2"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</row>
    <row r="6691" spans="11:23" x14ac:dyDescent="0.2"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</row>
    <row r="6692" spans="11:23" x14ac:dyDescent="0.2"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</row>
    <row r="6693" spans="11:23" x14ac:dyDescent="0.2"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</row>
    <row r="6694" spans="11:23" x14ac:dyDescent="0.2"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</row>
    <row r="6695" spans="11:23" x14ac:dyDescent="0.2"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</row>
    <row r="6696" spans="11:23" x14ac:dyDescent="0.2"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</row>
    <row r="6697" spans="11:23" x14ac:dyDescent="0.2"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</row>
    <row r="6698" spans="11:23" x14ac:dyDescent="0.2"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</row>
    <row r="6699" spans="11:23" x14ac:dyDescent="0.2"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</row>
    <row r="6700" spans="11:23" x14ac:dyDescent="0.2"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</row>
    <row r="6701" spans="11:23" x14ac:dyDescent="0.2"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</row>
    <row r="6702" spans="11:23" x14ac:dyDescent="0.2"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</row>
    <row r="6703" spans="11:23" x14ac:dyDescent="0.2"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</row>
    <row r="6704" spans="11:23" x14ac:dyDescent="0.2"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</row>
    <row r="6705" spans="11:23" x14ac:dyDescent="0.2"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</row>
    <row r="6706" spans="11:23" x14ac:dyDescent="0.2"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</row>
    <row r="6707" spans="11:23" x14ac:dyDescent="0.2"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</row>
    <row r="6708" spans="11:23" x14ac:dyDescent="0.2"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</row>
    <row r="6709" spans="11:23" x14ac:dyDescent="0.2"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</row>
    <row r="6710" spans="11:23" x14ac:dyDescent="0.2"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</row>
    <row r="6711" spans="11:23" x14ac:dyDescent="0.2"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</row>
    <row r="6712" spans="11:23" x14ac:dyDescent="0.2"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</row>
    <row r="6713" spans="11:23" x14ac:dyDescent="0.2"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</row>
    <row r="6714" spans="11:23" x14ac:dyDescent="0.2"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</row>
    <row r="6715" spans="11:23" x14ac:dyDescent="0.2"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</row>
    <row r="6716" spans="11:23" x14ac:dyDescent="0.2"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</row>
    <row r="6717" spans="11:23" x14ac:dyDescent="0.2"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</row>
    <row r="6718" spans="11:23" x14ac:dyDescent="0.2"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</row>
    <row r="6719" spans="11:23" x14ac:dyDescent="0.2"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</row>
    <row r="6720" spans="11:23" x14ac:dyDescent="0.2"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</row>
    <row r="6721" spans="11:23" x14ac:dyDescent="0.2"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</row>
    <row r="6722" spans="11:23" x14ac:dyDescent="0.2"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</row>
    <row r="6723" spans="11:23" x14ac:dyDescent="0.2"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</row>
    <row r="6724" spans="11:23" x14ac:dyDescent="0.2"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</row>
    <row r="6725" spans="11:23" x14ac:dyDescent="0.2"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</row>
    <row r="6726" spans="11:23" x14ac:dyDescent="0.2"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</row>
    <row r="6727" spans="11:23" x14ac:dyDescent="0.2"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</row>
    <row r="6728" spans="11:23" x14ac:dyDescent="0.2"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</row>
    <row r="6729" spans="11:23" x14ac:dyDescent="0.2"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</row>
    <row r="6730" spans="11:23" x14ac:dyDescent="0.2"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</row>
    <row r="6731" spans="11:23" x14ac:dyDescent="0.2"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</row>
    <row r="6732" spans="11:23" x14ac:dyDescent="0.2"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</row>
    <row r="6733" spans="11:23" x14ac:dyDescent="0.2"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</row>
    <row r="6734" spans="11:23" x14ac:dyDescent="0.2"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</row>
    <row r="6735" spans="11:23" x14ac:dyDescent="0.2"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</row>
    <row r="6736" spans="11:23" x14ac:dyDescent="0.2"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</row>
    <row r="6737" spans="11:23" x14ac:dyDescent="0.2"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</row>
    <row r="6738" spans="11:23" x14ac:dyDescent="0.2"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</row>
    <row r="6739" spans="11:23" x14ac:dyDescent="0.2"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</row>
    <row r="6740" spans="11:23" x14ac:dyDescent="0.2"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</row>
    <row r="6741" spans="11:23" x14ac:dyDescent="0.2"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</row>
    <row r="6742" spans="11:23" x14ac:dyDescent="0.2"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</row>
    <row r="6743" spans="11:23" x14ac:dyDescent="0.2"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</row>
    <row r="6744" spans="11:23" x14ac:dyDescent="0.2"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</row>
    <row r="6745" spans="11:23" x14ac:dyDescent="0.2"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</row>
    <row r="6746" spans="11:23" x14ac:dyDescent="0.2"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</row>
    <row r="6747" spans="11:23" x14ac:dyDescent="0.2"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</row>
    <row r="6748" spans="11:23" x14ac:dyDescent="0.2"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</row>
    <row r="6749" spans="11:23" x14ac:dyDescent="0.2"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</row>
    <row r="6750" spans="11:23" x14ac:dyDescent="0.2"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</row>
    <row r="6751" spans="11:23" x14ac:dyDescent="0.2"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</row>
    <row r="6752" spans="11:23" x14ac:dyDescent="0.2"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</row>
    <row r="6753" spans="11:23" x14ac:dyDescent="0.2"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</row>
    <row r="6754" spans="11:23" x14ac:dyDescent="0.2"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</row>
    <row r="6755" spans="11:23" x14ac:dyDescent="0.2"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</row>
    <row r="6756" spans="11:23" x14ac:dyDescent="0.2"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</row>
    <row r="6757" spans="11:23" x14ac:dyDescent="0.2"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</row>
    <row r="6758" spans="11:23" x14ac:dyDescent="0.2"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</row>
    <row r="6759" spans="11:23" x14ac:dyDescent="0.2"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</row>
    <row r="6760" spans="11:23" x14ac:dyDescent="0.2"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</row>
    <row r="6761" spans="11:23" x14ac:dyDescent="0.2"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</row>
    <row r="6762" spans="11:23" x14ac:dyDescent="0.2"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</row>
    <row r="6763" spans="11:23" x14ac:dyDescent="0.2"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</row>
    <row r="6764" spans="11:23" x14ac:dyDescent="0.2"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</row>
    <row r="6765" spans="11:23" x14ac:dyDescent="0.2"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</row>
    <row r="6766" spans="11:23" x14ac:dyDescent="0.2"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</row>
    <row r="6767" spans="11:23" x14ac:dyDescent="0.2"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</row>
    <row r="6768" spans="11:23" x14ac:dyDescent="0.2"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</row>
    <row r="6769" spans="11:23" x14ac:dyDescent="0.2"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</row>
    <row r="6770" spans="11:23" x14ac:dyDescent="0.2"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</row>
    <row r="6771" spans="11:23" x14ac:dyDescent="0.2"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</row>
    <row r="6772" spans="11:23" x14ac:dyDescent="0.2"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</row>
    <row r="6773" spans="11:23" x14ac:dyDescent="0.2"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</row>
    <row r="6774" spans="11:23" x14ac:dyDescent="0.2"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</row>
    <row r="6775" spans="11:23" x14ac:dyDescent="0.2"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</row>
    <row r="6776" spans="11:23" x14ac:dyDescent="0.2"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</row>
    <row r="6777" spans="11:23" x14ac:dyDescent="0.2"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</row>
    <row r="6778" spans="11:23" x14ac:dyDescent="0.2"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</row>
    <row r="6779" spans="11:23" x14ac:dyDescent="0.2"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</row>
    <row r="6780" spans="11:23" x14ac:dyDescent="0.2"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</row>
    <row r="6781" spans="11:23" x14ac:dyDescent="0.2"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</row>
    <row r="6782" spans="11:23" x14ac:dyDescent="0.2"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</row>
    <row r="6783" spans="11:23" x14ac:dyDescent="0.2"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</row>
    <row r="6784" spans="11:23" x14ac:dyDescent="0.2"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</row>
    <row r="6785" spans="11:23" x14ac:dyDescent="0.2"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</row>
    <row r="6786" spans="11:23" x14ac:dyDescent="0.2"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</row>
    <row r="6787" spans="11:23" x14ac:dyDescent="0.2"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</row>
    <row r="6788" spans="11:23" x14ac:dyDescent="0.2"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</row>
    <row r="6789" spans="11:23" x14ac:dyDescent="0.2"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</row>
    <row r="6790" spans="11:23" x14ac:dyDescent="0.2"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</row>
    <row r="6791" spans="11:23" x14ac:dyDescent="0.2"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</row>
    <row r="6792" spans="11:23" x14ac:dyDescent="0.2"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</row>
    <row r="6793" spans="11:23" x14ac:dyDescent="0.2"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</row>
    <row r="6794" spans="11:23" x14ac:dyDescent="0.2"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</row>
    <row r="6795" spans="11:23" x14ac:dyDescent="0.2"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</row>
    <row r="6796" spans="11:23" x14ac:dyDescent="0.2"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</row>
    <row r="6797" spans="11:23" x14ac:dyDescent="0.2"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</row>
    <row r="6798" spans="11:23" x14ac:dyDescent="0.2"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</row>
    <row r="6799" spans="11:23" x14ac:dyDescent="0.2"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</row>
    <row r="6800" spans="11:23" x14ac:dyDescent="0.2"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</row>
    <row r="6801" spans="11:23" x14ac:dyDescent="0.2"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</row>
    <row r="6802" spans="11:23" x14ac:dyDescent="0.2"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</row>
    <row r="6803" spans="11:23" x14ac:dyDescent="0.2"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</row>
    <row r="6804" spans="11:23" x14ac:dyDescent="0.2"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</row>
    <row r="6805" spans="11:23" x14ac:dyDescent="0.2"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</row>
    <row r="6806" spans="11:23" x14ac:dyDescent="0.2"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</row>
    <row r="6807" spans="11:23" x14ac:dyDescent="0.2"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</row>
    <row r="6808" spans="11:23" x14ac:dyDescent="0.2"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</row>
    <row r="6809" spans="11:23" x14ac:dyDescent="0.2"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</row>
    <row r="6810" spans="11:23" x14ac:dyDescent="0.2"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</row>
    <row r="6811" spans="11:23" x14ac:dyDescent="0.2"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</row>
    <row r="6812" spans="11:23" x14ac:dyDescent="0.2"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</row>
    <row r="6813" spans="11:23" x14ac:dyDescent="0.2"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</row>
    <row r="6814" spans="11:23" x14ac:dyDescent="0.2"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</row>
    <row r="6815" spans="11:23" x14ac:dyDescent="0.2"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</row>
    <row r="6816" spans="11:23" x14ac:dyDescent="0.2"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</row>
    <row r="6817" spans="11:23" x14ac:dyDescent="0.2"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</row>
    <row r="6818" spans="11:23" x14ac:dyDescent="0.2">
      <c r="K6818" s="13"/>
      <c r="L6818" s="13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</row>
    <row r="6819" spans="11:23" x14ac:dyDescent="0.2"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</row>
    <row r="6820" spans="11:23" x14ac:dyDescent="0.2"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</row>
    <row r="6821" spans="11:23" x14ac:dyDescent="0.2"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</row>
    <row r="6822" spans="11:23" x14ac:dyDescent="0.2"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</row>
    <row r="6823" spans="11:23" x14ac:dyDescent="0.2"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</row>
    <row r="6824" spans="11:23" x14ac:dyDescent="0.2"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</row>
    <row r="6825" spans="11:23" x14ac:dyDescent="0.2"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</row>
    <row r="6826" spans="11:23" x14ac:dyDescent="0.2"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</row>
    <row r="6827" spans="11:23" x14ac:dyDescent="0.2"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</row>
    <row r="6828" spans="11:23" x14ac:dyDescent="0.2"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</row>
    <row r="6829" spans="11:23" x14ac:dyDescent="0.2"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</row>
    <row r="6830" spans="11:23" x14ac:dyDescent="0.2"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</row>
    <row r="6831" spans="11:23" x14ac:dyDescent="0.2"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</row>
    <row r="6832" spans="11:23" x14ac:dyDescent="0.2"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</row>
    <row r="6833" spans="11:23" x14ac:dyDescent="0.2"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</row>
    <row r="6834" spans="11:23" x14ac:dyDescent="0.2"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</row>
    <row r="6835" spans="11:23" x14ac:dyDescent="0.2"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</row>
    <row r="6836" spans="11:23" x14ac:dyDescent="0.2"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</row>
    <row r="6837" spans="11:23" x14ac:dyDescent="0.2"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</row>
    <row r="6838" spans="11:23" x14ac:dyDescent="0.2"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</row>
    <row r="6839" spans="11:23" x14ac:dyDescent="0.2"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</row>
    <row r="6840" spans="11:23" x14ac:dyDescent="0.2"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</row>
    <row r="6841" spans="11:23" x14ac:dyDescent="0.2"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</row>
    <row r="6842" spans="11:23" x14ac:dyDescent="0.2"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</row>
    <row r="6843" spans="11:23" x14ac:dyDescent="0.2"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</row>
    <row r="6844" spans="11:23" x14ac:dyDescent="0.2"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</row>
    <row r="6845" spans="11:23" x14ac:dyDescent="0.2"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</row>
    <row r="6846" spans="11:23" x14ac:dyDescent="0.2"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</row>
    <row r="6847" spans="11:23" x14ac:dyDescent="0.2"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</row>
    <row r="6848" spans="11:23" x14ac:dyDescent="0.2"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</row>
    <row r="6849" spans="11:23" x14ac:dyDescent="0.2"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</row>
    <row r="6850" spans="11:23" x14ac:dyDescent="0.2"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</row>
    <row r="6851" spans="11:23" x14ac:dyDescent="0.2"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</row>
    <row r="6852" spans="11:23" x14ac:dyDescent="0.2"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</row>
    <row r="6853" spans="11:23" x14ac:dyDescent="0.2">
      <c r="K6853" s="13"/>
      <c r="L6853" s="13"/>
      <c r="M6853" s="13"/>
      <c r="N6853" s="13"/>
      <c r="O6853" s="13"/>
      <c r="P6853" s="13"/>
      <c r="Q6853" s="13"/>
      <c r="R6853" s="13"/>
      <c r="S6853" s="13"/>
      <c r="T6853" s="13"/>
      <c r="U6853" s="13"/>
      <c r="V6853" s="13"/>
      <c r="W6853" s="13"/>
    </row>
    <row r="6854" spans="11:23" x14ac:dyDescent="0.2"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</row>
    <row r="6855" spans="11:23" x14ac:dyDescent="0.2"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</row>
    <row r="6856" spans="11:23" x14ac:dyDescent="0.2"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</row>
    <row r="6857" spans="11:23" x14ac:dyDescent="0.2"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</row>
    <row r="6858" spans="11:23" x14ac:dyDescent="0.2"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</row>
    <row r="6859" spans="11:23" x14ac:dyDescent="0.2"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</row>
    <row r="6860" spans="11:23" x14ac:dyDescent="0.2"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</row>
    <row r="6861" spans="11:23" x14ac:dyDescent="0.2"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</row>
    <row r="6862" spans="11:23" x14ac:dyDescent="0.2"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</row>
    <row r="6863" spans="11:23" x14ac:dyDescent="0.2"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</row>
    <row r="6864" spans="11:23" x14ac:dyDescent="0.2"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</row>
    <row r="6865" spans="11:23" x14ac:dyDescent="0.2"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</row>
    <row r="6866" spans="11:23" x14ac:dyDescent="0.2"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</row>
    <row r="6867" spans="11:23" x14ac:dyDescent="0.2"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</row>
    <row r="6868" spans="11:23" x14ac:dyDescent="0.2"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</row>
    <row r="6869" spans="11:23" x14ac:dyDescent="0.2"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</row>
    <row r="6870" spans="11:23" x14ac:dyDescent="0.2"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</row>
    <row r="6871" spans="11:23" x14ac:dyDescent="0.2"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</row>
    <row r="6872" spans="11:23" x14ac:dyDescent="0.2"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</row>
    <row r="6873" spans="11:23" x14ac:dyDescent="0.2"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</row>
    <row r="6874" spans="11:23" x14ac:dyDescent="0.2"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</row>
    <row r="6875" spans="11:23" x14ac:dyDescent="0.2"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</row>
    <row r="6876" spans="11:23" x14ac:dyDescent="0.2"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</row>
    <row r="6877" spans="11:23" x14ac:dyDescent="0.2"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</row>
    <row r="6878" spans="11:23" x14ac:dyDescent="0.2"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</row>
    <row r="6879" spans="11:23" x14ac:dyDescent="0.2"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</row>
    <row r="6880" spans="11:23" x14ac:dyDescent="0.2"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</row>
    <row r="6881" spans="11:23" x14ac:dyDescent="0.2"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</row>
    <row r="6882" spans="11:23" x14ac:dyDescent="0.2"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</row>
    <row r="6883" spans="11:23" x14ac:dyDescent="0.2"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</row>
    <row r="6884" spans="11:23" x14ac:dyDescent="0.2"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</row>
    <row r="6885" spans="11:23" x14ac:dyDescent="0.2"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13"/>
    </row>
    <row r="6886" spans="11:23" x14ac:dyDescent="0.2"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</row>
    <row r="6887" spans="11:23" x14ac:dyDescent="0.2"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</row>
    <row r="6888" spans="11:23" x14ac:dyDescent="0.2"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</row>
    <row r="6889" spans="11:23" x14ac:dyDescent="0.2"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</row>
    <row r="6890" spans="11:23" x14ac:dyDescent="0.2"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</row>
    <row r="6891" spans="11:23" x14ac:dyDescent="0.2"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</row>
    <row r="6892" spans="11:23" x14ac:dyDescent="0.2"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</row>
    <row r="6893" spans="11:23" x14ac:dyDescent="0.2"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</row>
    <row r="6894" spans="11:23" x14ac:dyDescent="0.2"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</row>
    <row r="6895" spans="11:23" x14ac:dyDescent="0.2"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</row>
    <row r="6896" spans="11:23" x14ac:dyDescent="0.2"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</row>
    <row r="6897" spans="11:23" x14ac:dyDescent="0.2"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</row>
    <row r="6898" spans="11:23" x14ac:dyDescent="0.2"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</row>
    <row r="6899" spans="11:23" x14ac:dyDescent="0.2"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</row>
    <row r="6900" spans="11:23" x14ac:dyDescent="0.2"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</row>
    <row r="6901" spans="11:23" x14ac:dyDescent="0.2"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</row>
    <row r="6902" spans="11:23" x14ac:dyDescent="0.2"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</row>
    <row r="6903" spans="11:23" x14ac:dyDescent="0.2"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</row>
    <row r="6904" spans="11:23" x14ac:dyDescent="0.2"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</row>
    <row r="6905" spans="11:23" x14ac:dyDescent="0.2"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</row>
    <row r="6906" spans="11:23" x14ac:dyDescent="0.2">
      <c r="K6906" s="13"/>
      <c r="L6906" s="13"/>
      <c r="M6906" s="13"/>
      <c r="N6906" s="13"/>
      <c r="O6906" s="13"/>
      <c r="P6906" s="13"/>
      <c r="Q6906" s="13"/>
      <c r="R6906" s="13"/>
      <c r="S6906" s="13"/>
      <c r="T6906" s="13"/>
      <c r="U6906" s="13"/>
      <c r="V6906" s="13"/>
      <c r="W6906" s="13"/>
    </row>
    <row r="6907" spans="11:23" x14ac:dyDescent="0.2"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</row>
    <row r="6908" spans="11:23" x14ac:dyDescent="0.2"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</row>
    <row r="6909" spans="11:23" x14ac:dyDescent="0.2"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</row>
    <row r="6910" spans="11:23" x14ac:dyDescent="0.2"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</row>
    <row r="6911" spans="11:23" x14ac:dyDescent="0.2">
      <c r="K6911" s="13"/>
      <c r="L6911" s="13"/>
      <c r="M6911" s="13"/>
      <c r="N6911" s="13"/>
      <c r="O6911" s="13"/>
      <c r="P6911" s="13"/>
      <c r="Q6911" s="13"/>
      <c r="R6911" s="13"/>
      <c r="S6911" s="13"/>
      <c r="T6911" s="13"/>
      <c r="U6911" s="13"/>
      <c r="V6911" s="13"/>
      <c r="W6911" s="13"/>
    </row>
    <row r="6912" spans="11:23" x14ac:dyDescent="0.2">
      <c r="K6912" s="13"/>
      <c r="L6912" s="13"/>
      <c r="M6912" s="13"/>
      <c r="N6912" s="13"/>
      <c r="O6912" s="13"/>
      <c r="P6912" s="13"/>
      <c r="Q6912" s="13"/>
      <c r="R6912" s="13"/>
      <c r="S6912" s="13"/>
      <c r="T6912" s="13"/>
      <c r="U6912" s="13"/>
      <c r="V6912" s="13"/>
      <c r="W6912" s="13"/>
    </row>
    <row r="6913" spans="11:23" x14ac:dyDescent="0.2"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</row>
    <row r="6914" spans="11:23" x14ac:dyDescent="0.2"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</row>
    <row r="6915" spans="11:23" x14ac:dyDescent="0.2"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</row>
    <row r="6916" spans="11:23" x14ac:dyDescent="0.2"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</row>
    <row r="6917" spans="11:23" x14ac:dyDescent="0.2"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</row>
    <row r="6918" spans="11:23" x14ac:dyDescent="0.2"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</row>
    <row r="6919" spans="11:23" x14ac:dyDescent="0.2"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</row>
    <row r="6920" spans="11:23" x14ac:dyDescent="0.2"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</row>
    <row r="6921" spans="11:23" x14ac:dyDescent="0.2"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</row>
    <row r="6922" spans="11:23" x14ac:dyDescent="0.2"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</row>
    <row r="6923" spans="11:23" x14ac:dyDescent="0.2"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</row>
    <row r="6924" spans="11:23" x14ac:dyDescent="0.2">
      <c r="K6924" s="13"/>
      <c r="L6924" s="13"/>
      <c r="M6924" s="13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</row>
    <row r="6925" spans="11:23" x14ac:dyDescent="0.2"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</row>
    <row r="6926" spans="11:23" x14ac:dyDescent="0.2"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</row>
    <row r="6927" spans="11:23" x14ac:dyDescent="0.2"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</row>
    <row r="6928" spans="11:23" x14ac:dyDescent="0.2"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</row>
    <row r="6929" spans="11:23" x14ac:dyDescent="0.2"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</row>
    <row r="6930" spans="11:23" x14ac:dyDescent="0.2"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</row>
    <row r="6931" spans="11:23" x14ac:dyDescent="0.2"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</row>
    <row r="6932" spans="11:23" x14ac:dyDescent="0.2"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</row>
    <row r="6933" spans="11:23" x14ac:dyDescent="0.2"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</row>
    <row r="6934" spans="11:23" x14ac:dyDescent="0.2"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</row>
    <row r="6935" spans="11:23" x14ac:dyDescent="0.2"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</row>
    <row r="6936" spans="11:23" x14ac:dyDescent="0.2"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</row>
    <row r="6937" spans="11:23" x14ac:dyDescent="0.2"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</row>
    <row r="6938" spans="11:23" x14ac:dyDescent="0.2"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</row>
    <row r="6939" spans="11:23" x14ac:dyDescent="0.2"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</row>
    <row r="6940" spans="11:23" x14ac:dyDescent="0.2"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</row>
    <row r="6941" spans="11:23" x14ac:dyDescent="0.2"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</row>
    <row r="6942" spans="11:23" x14ac:dyDescent="0.2"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</row>
    <row r="6943" spans="11:23" x14ac:dyDescent="0.2"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</row>
    <row r="6944" spans="11:23" x14ac:dyDescent="0.2"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</row>
    <row r="6945" spans="11:23" x14ac:dyDescent="0.2"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</row>
    <row r="6946" spans="11:23" x14ac:dyDescent="0.2"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</row>
    <row r="6947" spans="11:23" x14ac:dyDescent="0.2"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</row>
    <row r="6948" spans="11:23" x14ac:dyDescent="0.2"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</row>
    <row r="6949" spans="11:23" x14ac:dyDescent="0.2"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</row>
    <row r="6950" spans="11:23" x14ac:dyDescent="0.2"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</row>
    <row r="6951" spans="11:23" x14ac:dyDescent="0.2"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</row>
    <row r="6952" spans="11:23" x14ac:dyDescent="0.2"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</row>
    <row r="6953" spans="11:23" x14ac:dyDescent="0.2"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</row>
    <row r="6954" spans="11:23" x14ac:dyDescent="0.2"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</row>
    <row r="6955" spans="11:23" x14ac:dyDescent="0.2"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</row>
    <row r="6956" spans="11:23" x14ac:dyDescent="0.2"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</row>
    <row r="6957" spans="11:23" x14ac:dyDescent="0.2"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</row>
    <row r="6958" spans="11:23" x14ac:dyDescent="0.2"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</row>
    <row r="6959" spans="11:23" x14ac:dyDescent="0.2"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</row>
    <row r="6960" spans="11:23" x14ac:dyDescent="0.2"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</row>
    <row r="6961" spans="11:23" x14ac:dyDescent="0.2"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</row>
    <row r="6962" spans="11:23" x14ac:dyDescent="0.2"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</row>
    <row r="6963" spans="11:23" x14ac:dyDescent="0.2"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</row>
    <row r="6964" spans="11:23" x14ac:dyDescent="0.2"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</row>
    <row r="6965" spans="11:23" x14ac:dyDescent="0.2"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</row>
    <row r="6966" spans="11:23" x14ac:dyDescent="0.2"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</row>
    <row r="6967" spans="11:23" x14ac:dyDescent="0.2"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</row>
    <row r="6968" spans="11:23" x14ac:dyDescent="0.2"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</row>
    <row r="6969" spans="11:23" x14ac:dyDescent="0.2"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</row>
    <row r="6970" spans="11:23" x14ac:dyDescent="0.2"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</row>
    <row r="6971" spans="11:23" x14ac:dyDescent="0.2"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</row>
    <row r="6972" spans="11:23" x14ac:dyDescent="0.2"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</row>
    <row r="6973" spans="11:23" x14ac:dyDescent="0.2"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</row>
    <row r="6974" spans="11:23" x14ac:dyDescent="0.2"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</row>
    <row r="6975" spans="11:23" x14ac:dyDescent="0.2"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</row>
    <row r="6976" spans="11:23" x14ac:dyDescent="0.2"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</row>
    <row r="6977" spans="11:23" x14ac:dyDescent="0.2"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</row>
    <row r="6978" spans="11:23" x14ac:dyDescent="0.2"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</row>
    <row r="6979" spans="11:23" x14ac:dyDescent="0.2"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</row>
    <row r="6980" spans="11:23" x14ac:dyDescent="0.2"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</row>
    <row r="6981" spans="11:23" x14ac:dyDescent="0.2"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</row>
    <row r="6982" spans="11:23" x14ac:dyDescent="0.2"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</row>
    <row r="6983" spans="11:23" x14ac:dyDescent="0.2"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</row>
    <row r="6984" spans="11:23" x14ac:dyDescent="0.2"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</row>
    <row r="6985" spans="11:23" x14ac:dyDescent="0.2"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</row>
    <row r="6986" spans="11:23" x14ac:dyDescent="0.2"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</row>
    <row r="6987" spans="11:23" x14ac:dyDescent="0.2"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</row>
    <row r="6988" spans="11:23" x14ac:dyDescent="0.2"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</row>
    <row r="6989" spans="11:23" x14ac:dyDescent="0.2"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</row>
    <row r="6990" spans="11:23" x14ac:dyDescent="0.2"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</row>
    <row r="6991" spans="11:23" x14ac:dyDescent="0.2"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</row>
    <row r="6992" spans="11:23" x14ac:dyDescent="0.2"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</row>
    <row r="6993" spans="11:23" x14ac:dyDescent="0.2"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</row>
    <row r="6994" spans="11:23" x14ac:dyDescent="0.2"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</row>
    <row r="6995" spans="11:23" x14ac:dyDescent="0.2"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</row>
    <row r="6996" spans="11:23" x14ac:dyDescent="0.2"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</row>
    <row r="6997" spans="11:23" x14ac:dyDescent="0.2"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</row>
    <row r="6998" spans="11:23" x14ac:dyDescent="0.2"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</row>
    <row r="6999" spans="11:23" x14ac:dyDescent="0.2"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</row>
    <row r="7000" spans="11:23" x14ac:dyDescent="0.2"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</row>
    <row r="7001" spans="11:23" x14ac:dyDescent="0.2"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</row>
    <row r="7002" spans="11:23" x14ac:dyDescent="0.2"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</row>
    <row r="7003" spans="11:23" x14ac:dyDescent="0.2"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</row>
    <row r="7004" spans="11:23" x14ac:dyDescent="0.2"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</row>
    <row r="7005" spans="11:23" x14ac:dyDescent="0.2"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</row>
    <row r="7006" spans="11:23" x14ac:dyDescent="0.2"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</row>
    <row r="7007" spans="11:23" x14ac:dyDescent="0.2"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</row>
    <row r="7008" spans="11:23" x14ac:dyDescent="0.2"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</row>
    <row r="7009" spans="11:23" x14ac:dyDescent="0.2"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</row>
    <row r="7010" spans="11:23" x14ac:dyDescent="0.2">
      <c r="K7010" s="13"/>
      <c r="L7010" s="13"/>
      <c r="M7010" s="13"/>
      <c r="N7010" s="13"/>
      <c r="O7010" s="13"/>
      <c r="P7010" s="13"/>
      <c r="Q7010" s="13"/>
      <c r="R7010" s="13"/>
      <c r="S7010" s="13"/>
      <c r="T7010" s="13"/>
      <c r="U7010" s="13"/>
      <c r="V7010" s="13"/>
      <c r="W7010" s="13"/>
    </row>
    <row r="7011" spans="11:23" x14ac:dyDescent="0.2"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</row>
    <row r="7012" spans="11:23" x14ac:dyDescent="0.2"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</row>
    <row r="7013" spans="11:23" x14ac:dyDescent="0.2"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</row>
    <row r="7014" spans="11:23" x14ac:dyDescent="0.2">
      <c r="K7014" s="13"/>
      <c r="L7014" s="13"/>
      <c r="M7014" s="13"/>
      <c r="N7014" s="13"/>
      <c r="O7014" s="13"/>
      <c r="P7014" s="13"/>
      <c r="Q7014" s="13"/>
      <c r="R7014" s="13"/>
      <c r="S7014" s="13"/>
      <c r="T7014" s="13"/>
      <c r="U7014" s="13"/>
      <c r="V7014" s="13"/>
      <c r="W7014" s="13"/>
    </row>
    <row r="7015" spans="11:23" x14ac:dyDescent="0.2"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</row>
    <row r="7016" spans="11:23" x14ac:dyDescent="0.2"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</row>
    <row r="7017" spans="11:23" x14ac:dyDescent="0.2"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</row>
    <row r="7018" spans="11:23" x14ac:dyDescent="0.2"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</row>
    <row r="7019" spans="11:23" x14ac:dyDescent="0.2">
      <c r="K7019" s="13"/>
      <c r="L7019" s="13"/>
      <c r="M7019" s="13"/>
      <c r="N7019" s="13"/>
      <c r="O7019" s="13"/>
      <c r="P7019" s="13"/>
      <c r="Q7019" s="13"/>
      <c r="R7019" s="13"/>
      <c r="S7019" s="13"/>
      <c r="T7019" s="13"/>
      <c r="U7019" s="13"/>
      <c r="V7019" s="13"/>
      <c r="W7019" s="13"/>
    </row>
    <row r="7020" spans="11:23" x14ac:dyDescent="0.2"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</row>
    <row r="7021" spans="11:23" x14ac:dyDescent="0.2"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</row>
    <row r="7022" spans="11:23" x14ac:dyDescent="0.2"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</row>
    <row r="7023" spans="11:23" x14ac:dyDescent="0.2"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</row>
    <row r="7024" spans="11:23" x14ac:dyDescent="0.2"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</row>
    <row r="7025" spans="11:23" x14ac:dyDescent="0.2"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</row>
    <row r="7026" spans="11:23" x14ac:dyDescent="0.2"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</row>
    <row r="7027" spans="11:23" x14ac:dyDescent="0.2"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</row>
    <row r="7028" spans="11:23" x14ac:dyDescent="0.2"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</row>
    <row r="7029" spans="11:23" x14ac:dyDescent="0.2"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</row>
    <row r="7030" spans="11:23" x14ac:dyDescent="0.2"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</row>
    <row r="7031" spans="11:23" x14ac:dyDescent="0.2">
      <c r="K7031" s="13"/>
      <c r="L7031" s="13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</row>
    <row r="7032" spans="11:23" x14ac:dyDescent="0.2"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</row>
    <row r="7033" spans="11:23" x14ac:dyDescent="0.2"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</row>
    <row r="7034" spans="11:23" x14ac:dyDescent="0.2"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</row>
    <row r="7035" spans="11:23" x14ac:dyDescent="0.2"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</row>
    <row r="7036" spans="11:23" x14ac:dyDescent="0.2"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</row>
    <row r="7037" spans="11:23" x14ac:dyDescent="0.2"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</row>
    <row r="7038" spans="11:23" x14ac:dyDescent="0.2"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</row>
    <row r="7039" spans="11:23" x14ac:dyDescent="0.2"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</row>
    <row r="7040" spans="11:23" x14ac:dyDescent="0.2"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</row>
    <row r="7041" spans="11:23" x14ac:dyDescent="0.2"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</row>
    <row r="7042" spans="11:23" x14ac:dyDescent="0.2"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</row>
    <row r="7043" spans="11:23" x14ac:dyDescent="0.2"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</row>
    <row r="7044" spans="11:23" x14ac:dyDescent="0.2"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</row>
    <row r="7045" spans="11:23" x14ac:dyDescent="0.2"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</row>
    <row r="7046" spans="11:23" x14ac:dyDescent="0.2"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</row>
    <row r="7047" spans="11:23" x14ac:dyDescent="0.2"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</row>
    <row r="7048" spans="11:23" x14ac:dyDescent="0.2"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</row>
    <row r="7049" spans="11:23" x14ac:dyDescent="0.2"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</row>
    <row r="7050" spans="11:23" x14ac:dyDescent="0.2"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</row>
    <row r="7051" spans="11:23" x14ac:dyDescent="0.2"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</row>
    <row r="7052" spans="11:23" x14ac:dyDescent="0.2"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</row>
    <row r="7053" spans="11:23" x14ac:dyDescent="0.2">
      <c r="K7053" s="13"/>
      <c r="L7053" s="13"/>
      <c r="M7053" s="13"/>
      <c r="N7053" s="13"/>
      <c r="O7053" s="13"/>
      <c r="P7053" s="13"/>
      <c r="Q7053" s="13"/>
      <c r="R7053" s="13"/>
      <c r="S7053" s="13"/>
      <c r="T7053" s="13"/>
      <c r="U7053" s="13"/>
      <c r="V7053" s="13"/>
      <c r="W7053" s="13"/>
    </row>
    <row r="7054" spans="11:23" x14ac:dyDescent="0.2">
      <c r="K7054" s="13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</row>
    <row r="7055" spans="11:23" x14ac:dyDescent="0.2"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</row>
    <row r="7056" spans="11:23" x14ac:dyDescent="0.2"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</row>
    <row r="7057" spans="11:23" x14ac:dyDescent="0.2"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</row>
    <row r="7058" spans="11:23" x14ac:dyDescent="0.2"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</row>
    <row r="7059" spans="11:23" x14ac:dyDescent="0.2"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</row>
    <row r="7060" spans="11:23" x14ac:dyDescent="0.2"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</row>
    <row r="7061" spans="11:23" x14ac:dyDescent="0.2"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</row>
    <row r="7062" spans="11:23" x14ac:dyDescent="0.2"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</row>
    <row r="7063" spans="11:23" x14ac:dyDescent="0.2"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</row>
    <row r="7064" spans="11:23" x14ac:dyDescent="0.2"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</row>
    <row r="7065" spans="11:23" x14ac:dyDescent="0.2"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</row>
    <row r="7066" spans="11:23" x14ac:dyDescent="0.2"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</row>
    <row r="7067" spans="11:23" x14ac:dyDescent="0.2"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</row>
    <row r="7068" spans="11:23" x14ac:dyDescent="0.2"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</row>
    <row r="7069" spans="11:23" x14ac:dyDescent="0.2"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</row>
    <row r="7070" spans="11:23" x14ac:dyDescent="0.2"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</row>
    <row r="7071" spans="11:23" x14ac:dyDescent="0.2"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</row>
    <row r="7072" spans="11:23" x14ac:dyDescent="0.2"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</row>
    <row r="7073" spans="11:23" x14ac:dyDescent="0.2"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</row>
    <row r="7074" spans="11:23" x14ac:dyDescent="0.2">
      <c r="K7074" s="13"/>
      <c r="L7074" s="13"/>
      <c r="M7074" s="13"/>
      <c r="N7074" s="13"/>
      <c r="O7074" s="13"/>
      <c r="P7074" s="13"/>
      <c r="Q7074" s="13"/>
      <c r="R7074" s="13"/>
      <c r="S7074" s="13"/>
      <c r="T7074" s="13"/>
      <c r="U7074" s="13"/>
      <c r="V7074" s="13"/>
      <c r="W7074" s="13"/>
    </row>
    <row r="7075" spans="11:23" x14ac:dyDescent="0.2"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</row>
    <row r="7076" spans="11:23" x14ac:dyDescent="0.2"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</row>
    <row r="7077" spans="11:23" x14ac:dyDescent="0.2"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</row>
    <row r="7078" spans="11:23" x14ac:dyDescent="0.2">
      <c r="K7078" s="13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</row>
    <row r="7079" spans="11:23" x14ac:dyDescent="0.2"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</row>
    <row r="7080" spans="11:23" x14ac:dyDescent="0.2"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</row>
    <row r="7081" spans="11:23" x14ac:dyDescent="0.2"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</row>
    <row r="7082" spans="11:23" x14ac:dyDescent="0.2"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</row>
    <row r="7083" spans="11:23" x14ac:dyDescent="0.2"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</row>
    <row r="7084" spans="11:23" x14ac:dyDescent="0.2"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</row>
    <row r="7085" spans="11:23" x14ac:dyDescent="0.2"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</row>
    <row r="7086" spans="11:23" x14ac:dyDescent="0.2"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</row>
    <row r="7087" spans="11:23" x14ac:dyDescent="0.2"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</row>
    <row r="7088" spans="11:23" x14ac:dyDescent="0.2"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</row>
    <row r="7089" spans="11:23" x14ac:dyDescent="0.2"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</row>
    <row r="7090" spans="11:23" x14ac:dyDescent="0.2"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</row>
    <row r="7091" spans="11:23" x14ac:dyDescent="0.2"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</row>
    <row r="7092" spans="11:23" x14ac:dyDescent="0.2"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</row>
    <row r="7093" spans="11:23" x14ac:dyDescent="0.2"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</row>
    <row r="7094" spans="11:23" x14ac:dyDescent="0.2">
      <c r="K7094" s="13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</row>
    <row r="7095" spans="11:23" x14ac:dyDescent="0.2"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</row>
    <row r="7096" spans="11:23" x14ac:dyDescent="0.2"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</row>
    <row r="7097" spans="11:23" x14ac:dyDescent="0.2"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</row>
    <row r="7098" spans="11:23" x14ac:dyDescent="0.2"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</row>
    <row r="7099" spans="11:23" x14ac:dyDescent="0.2"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</row>
    <row r="7100" spans="11:23" x14ac:dyDescent="0.2"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13"/>
      <c r="W7100" s="13"/>
    </row>
    <row r="7101" spans="11:23" x14ac:dyDescent="0.2"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</row>
    <row r="7102" spans="11:23" x14ac:dyDescent="0.2"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</row>
    <row r="7103" spans="11:23" x14ac:dyDescent="0.2"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</row>
    <row r="7104" spans="11:23" x14ac:dyDescent="0.2"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</row>
    <row r="7105" spans="11:23" x14ac:dyDescent="0.2"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</row>
    <row r="7106" spans="11:23" x14ac:dyDescent="0.2"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</row>
    <row r="7107" spans="11:23" x14ac:dyDescent="0.2"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</row>
    <row r="7108" spans="11:23" x14ac:dyDescent="0.2"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</row>
    <row r="7109" spans="11:23" x14ac:dyDescent="0.2"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</row>
    <row r="7110" spans="11:23" x14ac:dyDescent="0.2"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</row>
    <row r="7111" spans="11:23" x14ac:dyDescent="0.2">
      <c r="K7111" s="13"/>
      <c r="L7111" s="13"/>
      <c r="M7111" s="13"/>
      <c r="N7111" s="13"/>
      <c r="O7111" s="13"/>
      <c r="P7111" s="13"/>
      <c r="Q7111" s="13"/>
      <c r="R7111" s="13"/>
      <c r="S7111" s="13"/>
      <c r="T7111" s="13"/>
      <c r="U7111" s="13"/>
      <c r="V7111" s="13"/>
      <c r="W7111" s="13"/>
    </row>
    <row r="7112" spans="11:23" x14ac:dyDescent="0.2"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</row>
    <row r="7113" spans="11:23" x14ac:dyDescent="0.2"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</row>
    <row r="7114" spans="11:23" x14ac:dyDescent="0.2"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</row>
    <row r="7115" spans="11:23" x14ac:dyDescent="0.2"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</row>
    <row r="7116" spans="11:23" x14ac:dyDescent="0.2"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</row>
    <row r="7117" spans="11:23" x14ac:dyDescent="0.2"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</row>
    <row r="7118" spans="11:23" x14ac:dyDescent="0.2"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</row>
    <row r="7119" spans="11:23" x14ac:dyDescent="0.2"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</row>
    <row r="7120" spans="11:23" x14ac:dyDescent="0.2">
      <c r="K7120" s="13"/>
      <c r="L7120" s="13"/>
      <c r="M7120" s="13"/>
      <c r="N7120" s="13"/>
      <c r="O7120" s="13"/>
      <c r="P7120" s="13"/>
      <c r="Q7120" s="13"/>
      <c r="R7120" s="13"/>
      <c r="S7120" s="13"/>
      <c r="T7120" s="13"/>
      <c r="U7120" s="13"/>
      <c r="V7120" s="13"/>
      <c r="W7120" s="13"/>
    </row>
    <row r="7121" spans="11:23" x14ac:dyDescent="0.2"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</row>
    <row r="7122" spans="11:23" x14ac:dyDescent="0.2"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</row>
    <row r="7123" spans="11:23" x14ac:dyDescent="0.2"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</row>
    <row r="7124" spans="11:23" x14ac:dyDescent="0.2"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</row>
    <row r="7125" spans="11:23" x14ac:dyDescent="0.2"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</row>
    <row r="7126" spans="11:23" x14ac:dyDescent="0.2"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</row>
    <row r="7127" spans="11:23" x14ac:dyDescent="0.2"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</row>
    <row r="7128" spans="11:23" x14ac:dyDescent="0.2"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</row>
    <row r="7129" spans="11:23" x14ac:dyDescent="0.2"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</row>
    <row r="7130" spans="11:23" x14ac:dyDescent="0.2"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</row>
    <row r="7131" spans="11:23" x14ac:dyDescent="0.2"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</row>
    <row r="7132" spans="11:23" x14ac:dyDescent="0.2"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</row>
    <row r="7133" spans="11:23" x14ac:dyDescent="0.2"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</row>
    <row r="7134" spans="11:23" x14ac:dyDescent="0.2"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</row>
    <row r="7135" spans="11:23" x14ac:dyDescent="0.2"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</row>
    <row r="7136" spans="11:23" x14ac:dyDescent="0.2"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</row>
    <row r="7137" spans="11:23" x14ac:dyDescent="0.2"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</row>
    <row r="7138" spans="11:23" x14ac:dyDescent="0.2"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</row>
    <row r="7139" spans="11:23" x14ac:dyDescent="0.2"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</row>
    <row r="7140" spans="11:23" x14ac:dyDescent="0.2"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</row>
    <row r="7141" spans="11:23" x14ac:dyDescent="0.2"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</row>
    <row r="7142" spans="11:23" x14ac:dyDescent="0.2"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</row>
    <row r="7143" spans="11:23" x14ac:dyDescent="0.2"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</row>
    <row r="7144" spans="11:23" x14ac:dyDescent="0.2"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</row>
    <row r="7145" spans="11:23" x14ac:dyDescent="0.2"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</row>
    <row r="7146" spans="11:23" x14ac:dyDescent="0.2"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</row>
    <row r="7147" spans="11:23" x14ac:dyDescent="0.2"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</row>
    <row r="7148" spans="11:23" x14ac:dyDescent="0.2"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</row>
    <row r="7149" spans="11:23" x14ac:dyDescent="0.2"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</row>
    <row r="7150" spans="11:23" x14ac:dyDescent="0.2"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</row>
    <row r="7151" spans="11:23" x14ac:dyDescent="0.2"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</row>
    <row r="7152" spans="11:23" x14ac:dyDescent="0.2"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</row>
    <row r="7153" spans="11:23" x14ac:dyDescent="0.2"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</row>
    <row r="7154" spans="11:23" x14ac:dyDescent="0.2"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</row>
    <row r="7155" spans="11:23" x14ac:dyDescent="0.2"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</row>
    <row r="7156" spans="11:23" x14ac:dyDescent="0.2"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</row>
    <row r="7157" spans="11:23" x14ac:dyDescent="0.2"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</row>
    <row r="7158" spans="11:23" x14ac:dyDescent="0.2">
      <c r="K7158" s="13"/>
      <c r="L7158" s="13"/>
      <c r="M7158" s="13"/>
      <c r="N7158" s="13"/>
      <c r="O7158" s="13"/>
      <c r="P7158" s="13"/>
      <c r="Q7158" s="13"/>
      <c r="R7158" s="13"/>
      <c r="S7158" s="13"/>
      <c r="T7158" s="13"/>
      <c r="U7158" s="13"/>
      <c r="V7158" s="13"/>
      <c r="W7158" s="13"/>
    </row>
    <row r="7159" spans="11:23" x14ac:dyDescent="0.2"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</row>
    <row r="7160" spans="11:23" x14ac:dyDescent="0.2"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</row>
    <row r="7161" spans="11:23" x14ac:dyDescent="0.2"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</row>
    <row r="7162" spans="11:23" x14ac:dyDescent="0.2">
      <c r="K7162" s="13"/>
      <c r="L7162" s="13"/>
      <c r="M7162" s="13"/>
      <c r="N7162" s="13"/>
      <c r="O7162" s="13"/>
      <c r="P7162" s="13"/>
      <c r="Q7162" s="13"/>
      <c r="R7162" s="13"/>
      <c r="S7162" s="13"/>
      <c r="T7162" s="13"/>
      <c r="U7162" s="13"/>
      <c r="V7162" s="13"/>
      <c r="W7162" s="13"/>
    </row>
    <row r="7163" spans="11:23" x14ac:dyDescent="0.2"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</row>
    <row r="7164" spans="11:23" x14ac:dyDescent="0.2"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</row>
    <row r="7165" spans="11:23" x14ac:dyDescent="0.2"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</row>
    <row r="7166" spans="11:23" x14ac:dyDescent="0.2"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</row>
    <row r="7167" spans="11:23" x14ac:dyDescent="0.2"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</row>
    <row r="7168" spans="11:23" x14ac:dyDescent="0.2"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</row>
    <row r="7169" spans="11:23" x14ac:dyDescent="0.2">
      <c r="K7169" s="13"/>
      <c r="L7169" s="13"/>
      <c r="M7169" s="13"/>
      <c r="N7169" s="13"/>
      <c r="O7169" s="13"/>
      <c r="P7169" s="13"/>
      <c r="Q7169" s="13"/>
      <c r="R7169" s="13"/>
      <c r="S7169" s="13"/>
      <c r="T7169" s="13"/>
      <c r="U7169" s="13"/>
      <c r="V7169" s="13"/>
      <c r="W7169" s="13"/>
    </row>
    <row r="7170" spans="11:23" x14ac:dyDescent="0.2"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</row>
    <row r="7171" spans="11:23" x14ac:dyDescent="0.2"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</row>
    <row r="7172" spans="11:23" x14ac:dyDescent="0.2"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</row>
    <row r="7173" spans="11:23" x14ac:dyDescent="0.2"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</row>
    <row r="7174" spans="11:23" x14ac:dyDescent="0.2"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</row>
    <row r="7175" spans="11:23" x14ac:dyDescent="0.2"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</row>
    <row r="7176" spans="11:23" x14ac:dyDescent="0.2"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</row>
    <row r="7177" spans="11:23" x14ac:dyDescent="0.2"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</row>
    <row r="7178" spans="11:23" x14ac:dyDescent="0.2"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</row>
    <row r="7179" spans="11:23" x14ac:dyDescent="0.2"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</row>
    <row r="7180" spans="11:23" x14ac:dyDescent="0.2"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</row>
    <row r="7181" spans="11:23" x14ac:dyDescent="0.2"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</row>
    <row r="7182" spans="11:23" x14ac:dyDescent="0.2"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</row>
    <row r="7183" spans="11:23" x14ac:dyDescent="0.2"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</row>
    <row r="7184" spans="11:23" x14ac:dyDescent="0.2"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</row>
    <row r="7185" spans="11:23" x14ac:dyDescent="0.2"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13"/>
    </row>
    <row r="7186" spans="11:23" x14ac:dyDescent="0.2"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</row>
    <row r="7187" spans="11:23" x14ac:dyDescent="0.2"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</row>
    <row r="7188" spans="11:23" x14ac:dyDescent="0.2"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</row>
    <row r="7189" spans="11:23" x14ac:dyDescent="0.2"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</row>
    <row r="7190" spans="11:23" x14ac:dyDescent="0.2"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</row>
    <row r="7191" spans="11:23" x14ac:dyDescent="0.2"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</row>
    <row r="7192" spans="11:23" x14ac:dyDescent="0.2"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</row>
    <row r="7193" spans="11:23" x14ac:dyDescent="0.2"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</row>
    <row r="7194" spans="11:23" x14ac:dyDescent="0.2"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</row>
    <row r="7195" spans="11:23" x14ac:dyDescent="0.2"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</row>
    <row r="7196" spans="11:23" x14ac:dyDescent="0.2"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</row>
    <row r="7197" spans="11:23" x14ac:dyDescent="0.2"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</row>
    <row r="7198" spans="11:23" x14ac:dyDescent="0.2"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</row>
    <row r="7199" spans="11:23" x14ac:dyDescent="0.2"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</row>
    <row r="7200" spans="11:23" x14ac:dyDescent="0.2"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</row>
    <row r="7201" spans="11:23" x14ac:dyDescent="0.2">
      <c r="K7201" s="13"/>
      <c r="L7201" s="13"/>
      <c r="M7201" s="13"/>
      <c r="N7201" s="13"/>
      <c r="O7201" s="13"/>
      <c r="P7201" s="13"/>
      <c r="Q7201" s="13"/>
      <c r="R7201" s="13"/>
      <c r="S7201" s="13"/>
      <c r="T7201" s="13"/>
      <c r="U7201" s="13"/>
      <c r="V7201" s="13"/>
      <c r="W7201" s="13"/>
    </row>
    <row r="7202" spans="11:23" x14ac:dyDescent="0.2"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</row>
    <row r="7203" spans="11:23" x14ac:dyDescent="0.2"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</row>
    <row r="7204" spans="11:23" x14ac:dyDescent="0.2"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</row>
    <row r="7205" spans="11:23" x14ac:dyDescent="0.2"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</row>
    <row r="7206" spans="11:23" x14ac:dyDescent="0.2"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</row>
    <row r="7207" spans="11:23" x14ac:dyDescent="0.2"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</row>
    <row r="7208" spans="11:23" x14ac:dyDescent="0.2"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</row>
    <row r="7209" spans="11:23" x14ac:dyDescent="0.2"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</row>
    <row r="7210" spans="11:23" x14ac:dyDescent="0.2"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</row>
    <row r="7211" spans="11:23" x14ac:dyDescent="0.2"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</row>
    <row r="7212" spans="11:23" x14ac:dyDescent="0.2"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</row>
    <row r="7213" spans="11:23" x14ac:dyDescent="0.2"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</row>
    <row r="7214" spans="11:23" x14ac:dyDescent="0.2"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</row>
    <row r="7215" spans="11:23" x14ac:dyDescent="0.2"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</row>
    <row r="7216" spans="11:23" x14ac:dyDescent="0.2"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</row>
    <row r="7217" spans="11:23" x14ac:dyDescent="0.2"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</row>
    <row r="7218" spans="11:23" x14ac:dyDescent="0.2">
      <c r="K7218" s="13"/>
      <c r="L7218" s="13"/>
      <c r="M7218" s="13"/>
      <c r="N7218" s="13"/>
      <c r="O7218" s="13"/>
      <c r="P7218" s="13"/>
      <c r="Q7218" s="13"/>
      <c r="R7218" s="13"/>
      <c r="S7218" s="13"/>
      <c r="T7218" s="13"/>
      <c r="U7218" s="13"/>
      <c r="V7218" s="13"/>
      <c r="W7218" s="13"/>
    </row>
    <row r="7219" spans="11:23" x14ac:dyDescent="0.2"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</row>
    <row r="7220" spans="11:23" x14ac:dyDescent="0.2"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</row>
    <row r="7221" spans="11:23" x14ac:dyDescent="0.2"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</row>
    <row r="7222" spans="11:23" x14ac:dyDescent="0.2"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</row>
    <row r="7223" spans="11:23" x14ac:dyDescent="0.2"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</row>
    <row r="7224" spans="11:23" x14ac:dyDescent="0.2"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</row>
    <row r="7225" spans="11:23" x14ac:dyDescent="0.2"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</row>
    <row r="7226" spans="11:23" x14ac:dyDescent="0.2"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</row>
    <row r="7227" spans="11:23" x14ac:dyDescent="0.2"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</row>
    <row r="7228" spans="11:23" x14ac:dyDescent="0.2"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</row>
    <row r="7229" spans="11:23" x14ac:dyDescent="0.2"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</row>
    <row r="7230" spans="11:23" x14ac:dyDescent="0.2"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</row>
    <row r="7231" spans="11:23" x14ac:dyDescent="0.2"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</row>
    <row r="7232" spans="11:23" x14ac:dyDescent="0.2"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</row>
    <row r="7233" spans="11:23" x14ac:dyDescent="0.2"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</row>
    <row r="7234" spans="11:23" x14ac:dyDescent="0.2"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</row>
    <row r="7235" spans="11:23" x14ac:dyDescent="0.2"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</row>
    <row r="7236" spans="11:23" x14ac:dyDescent="0.2"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</row>
    <row r="7237" spans="11:23" x14ac:dyDescent="0.2"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</row>
    <row r="7238" spans="11:23" x14ac:dyDescent="0.2"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</row>
    <row r="7239" spans="11:23" x14ac:dyDescent="0.2"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</row>
    <row r="7240" spans="11:23" x14ac:dyDescent="0.2"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</row>
    <row r="7241" spans="11:23" x14ac:dyDescent="0.2"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</row>
    <row r="7242" spans="11:23" x14ac:dyDescent="0.2"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</row>
    <row r="7243" spans="11:23" x14ac:dyDescent="0.2"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</row>
    <row r="7244" spans="11:23" x14ac:dyDescent="0.2"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</row>
    <row r="7245" spans="11:23" x14ac:dyDescent="0.2"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</row>
    <row r="7246" spans="11:23" x14ac:dyDescent="0.2"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</row>
    <row r="7247" spans="11:23" x14ac:dyDescent="0.2"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</row>
    <row r="7248" spans="11:23" x14ac:dyDescent="0.2"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</row>
    <row r="7249" spans="11:23" x14ac:dyDescent="0.2"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</row>
    <row r="7250" spans="11:23" x14ac:dyDescent="0.2"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</row>
    <row r="7251" spans="11:23" x14ac:dyDescent="0.2"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13"/>
      <c r="V7251" s="13"/>
      <c r="W7251" s="13"/>
    </row>
    <row r="7252" spans="11:23" x14ac:dyDescent="0.2"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</row>
    <row r="7253" spans="11:23" x14ac:dyDescent="0.2"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</row>
    <row r="7254" spans="11:23" x14ac:dyDescent="0.2"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</row>
    <row r="7255" spans="11:23" x14ac:dyDescent="0.2"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</row>
    <row r="7256" spans="11:23" x14ac:dyDescent="0.2">
      <c r="K7256" s="13"/>
      <c r="L7256" s="13"/>
      <c r="M7256" s="13"/>
      <c r="N7256" s="13"/>
      <c r="O7256" s="13"/>
      <c r="P7256" s="13"/>
      <c r="Q7256" s="13"/>
      <c r="R7256" s="13"/>
      <c r="S7256" s="13"/>
      <c r="T7256" s="13"/>
      <c r="U7256" s="13"/>
      <c r="V7256" s="13"/>
      <c r="W7256" s="13"/>
    </row>
    <row r="7257" spans="11:23" x14ac:dyDescent="0.2"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</row>
    <row r="7258" spans="11:23" x14ac:dyDescent="0.2"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</row>
    <row r="7259" spans="11:23" x14ac:dyDescent="0.2"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</row>
    <row r="7260" spans="11:23" x14ac:dyDescent="0.2"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</row>
    <row r="7261" spans="11:23" x14ac:dyDescent="0.2"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</row>
    <row r="7262" spans="11:23" x14ac:dyDescent="0.2"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</row>
    <row r="7263" spans="11:23" x14ac:dyDescent="0.2"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</row>
    <row r="7264" spans="11:23" x14ac:dyDescent="0.2"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</row>
    <row r="7265" spans="11:23" x14ac:dyDescent="0.2"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</row>
    <row r="7266" spans="11:23" x14ac:dyDescent="0.2"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</row>
    <row r="7267" spans="11:23" x14ac:dyDescent="0.2"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</row>
    <row r="7268" spans="11:23" x14ac:dyDescent="0.2"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</row>
    <row r="7269" spans="11:23" x14ac:dyDescent="0.2"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</row>
    <row r="7270" spans="11:23" x14ac:dyDescent="0.2"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</row>
    <row r="7271" spans="11:23" x14ac:dyDescent="0.2"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</row>
    <row r="7272" spans="11:23" x14ac:dyDescent="0.2"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</row>
    <row r="7273" spans="11:23" x14ac:dyDescent="0.2"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</row>
    <row r="7274" spans="11:23" x14ac:dyDescent="0.2"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</row>
    <row r="7275" spans="11:23" x14ac:dyDescent="0.2"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</row>
    <row r="7276" spans="11:23" x14ac:dyDescent="0.2">
      <c r="K7276" s="13"/>
      <c r="L7276" s="13"/>
      <c r="M7276" s="13"/>
      <c r="N7276" s="13"/>
      <c r="O7276" s="13"/>
      <c r="P7276" s="13"/>
      <c r="Q7276" s="13"/>
      <c r="R7276" s="13"/>
      <c r="S7276" s="13"/>
      <c r="T7276" s="13"/>
      <c r="U7276" s="13"/>
      <c r="V7276" s="13"/>
      <c r="W7276" s="13"/>
    </row>
    <row r="7277" spans="11:23" x14ac:dyDescent="0.2"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</row>
    <row r="7278" spans="11:23" x14ac:dyDescent="0.2"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</row>
    <row r="7279" spans="11:23" x14ac:dyDescent="0.2">
      <c r="K7279" s="13"/>
      <c r="L7279" s="13"/>
      <c r="M7279" s="13"/>
      <c r="N7279" s="13"/>
      <c r="O7279" s="13"/>
      <c r="P7279" s="13"/>
      <c r="Q7279" s="13"/>
      <c r="R7279" s="13"/>
      <c r="S7279" s="13"/>
      <c r="T7279" s="13"/>
      <c r="U7279" s="13"/>
      <c r="V7279" s="13"/>
      <c r="W7279" s="13"/>
    </row>
    <row r="7280" spans="11:23" x14ac:dyDescent="0.2"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</row>
    <row r="7281" spans="11:23" x14ac:dyDescent="0.2"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</row>
    <row r="7282" spans="11:23" x14ac:dyDescent="0.2">
      <c r="K7282" s="13"/>
      <c r="L7282" s="13"/>
      <c r="M7282" s="13"/>
      <c r="N7282" s="13"/>
      <c r="O7282" s="13"/>
      <c r="P7282" s="13"/>
      <c r="Q7282" s="13"/>
      <c r="R7282" s="13"/>
      <c r="S7282" s="13"/>
      <c r="T7282" s="13"/>
      <c r="U7282" s="13"/>
      <c r="V7282" s="13"/>
      <c r="W7282" s="13"/>
    </row>
    <row r="7283" spans="11:23" x14ac:dyDescent="0.2"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</row>
    <row r="7284" spans="11:23" x14ac:dyDescent="0.2"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</row>
    <row r="7285" spans="11:23" x14ac:dyDescent="0.2"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</row>
    <row r="7286" spans="11:23" x14ac:dyDescent="0.2"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</row>
    <row r="7287" spans="11:23" x14ac:dyDescent="0.2"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</row>
    <row r="7288" spans="11:23" x14ac:dyDescent="0.2"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</row>
    <row r="7289" spans="11:23" x14ac:dyDescent="0.2"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</row>
    <row r="7290" spans="11:23" x14ac:dyDescent="0.2"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</row>
    <row r="7291" spans="11:23" x14ac:dyDescent="0.2"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</row>
    <row r="7292" spans="11:23" x14ac:dyDescent="0.2"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</row>
    <row r="7293" spans="11:23" x14ac:dyDescent="0.2"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</row>
    <row r="7294" spans="11:23" x14ac:dyDescent="0.2"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</row>
    <row r="7295" spans="11:23" x14ac:dyDescent="0.2"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</row>
    <row r="7296" spans="11:23" x14ac:dyDescent="0.2"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</row>
    <row r="7297" spans="11:23" x14ac:dyDescent="0.2">
      <c r="K7297" s="13"/>
      <c r="L7297" s="13"/>
      <c r="M7297" s="13"/>
      <c r="N7297" s="13"/>
      <c r="O7297" s="13"/>
      <c r="P7297" s="13"/>
      <c r="Q7297" s="13"/>
      <c r="R7297" s="13"/>
      <c r="S7297" s="13"/>
      <c r="T7297" s="13"/>
      <c r="U7297" s="13"/>
      <c r="V7297" s="13"/>
      <c r="W7297" s="13"/>
    </row>
    <row r="7298" spans="11:23" x14ac:dyDescent="0.2"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</row>
    <row r="7299" spans="11:23" x14ac:dyDescent="0.2"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</row>
    <row r="7300" spans="11:23" x14ac:dyDescent="0.2"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</row>
    <row r="7301" spans="11:23" x14ac:dyDescent="0.2"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</row>
    <row r="7302" spans="11:23" x14ac:dyDescent="0.2"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</row>
    <row r="7303" spans="11:23" x14ac:dyDescent="0.2"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</row>
    <row r="7304" spans="11:23" x14ac:dyDescent="0.2"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</row>
    <row r="7305" spans="11:23" x14ac:dyDescent="0.2"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</row>
    <row r="7306" spans="11:23" x14ac:dyDescent="0.2"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</row>
    <row r="7307" spans="11:23" x14ac:dyDescent="0.2"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</row>
    <row r="7308" spans="11:23" x14ac:dyDescent="0.2"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</row>
    <row r="7309" spans="11:23" x14ac:dyDescent="0.2"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</row>
    <row r="7310" spans="11:23" x14ac:dyDescent="0.2"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</row>
    <row r="7311" spans="11:23" x14ac:dyDescent="0.2">
      <c r="K7311" s="13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</row>
    <row r="7312" spans="11:23" x14ac:dyDescent="0.2"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</row>
    <row r="7313" spans="11:23" x14ac:dyDescent="0.2"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</row>
    <row r="7314" spans="11:23" x14ac:dyDescent="0.2"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</row>
    <row r="7315" spans="11:23" x14ac:dyDescent="0.2"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</row>
    <row r="7316" spans="11:23" x14ac:dyDescent="0.2"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</row>
    <row r="7317" spans="11:23" x14ac:dyDescent="0.2"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</row>
    <row r="7318" spans="11:23" x14ac:dyDescent="0.2"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</row>
    <row r="7319" spans="11:23" x14ac:dyDescent="0.2">
      <c r="K7319" s="13"/>
      <c r="L7319" s="13"/>
      <c r="M7319" s="13"/>
      <c r="N7319" s="13"/>
      <c r="O7319" s="13"/>
      <c r="P7319" s="13"/>
      <c r="Q7319" s="13"/>
      <c r="R7319" s="13"/>
      <c r="S7319" s="13"/>
      <c r="T7319" s="13"/>
      <c r="U7319" s="13"/>
      <c r="V7319" s="13"/>
      <c r="W7319" s="13"/>
    </row>
    <row r="7320" spans="11:23" x14ac:dyDescent="0.2"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</row>
    <row r="7321" spans="11:23" x14ac:dyDescent="0.2"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</row>
    <row r="7322" spans="11:23" x14ac:dyDescent="0.2"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</row>
    <row r="7323" spans="11:23" x14ac:dyDescent="0.2"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</row>
    <row r="7324" spans="11:23" x14ac:dyDescent="0.2"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</row>
    <row r="7325" spans="11:23" x14ac:dyDescent="0.2"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</row>
    <row r="7326" spans="11:23" x14ac:dyDescent="0.2"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</row>
    <row r="7327" spans="11:23" x14ac:dyDescent="0.2"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</row>
    <row r="7328" spans="11:23" x14ac:dyDescent="0.2"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</row>
    <row r="7329" spans="11:23" x14ac:dyDescent="0.2"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</row>
    <row r="7330" spans="11:23" x14ac:dyDescent="0.2"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</row>
    <row r="7331" spans="11:23" x14ac:dyDescent="0.2"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</row>
    <row r="7332" spans="11:23" x14ac:dyDescent="0.2"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</row>
    <row r="7333" spans="11:23" x14ac:dyDescent="0.2"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</row>
    <row r="7334" spans="11:23" x14ac:dyDescent="0.2"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</row>
    <row r="7335" spans="11:23" x14ac:dyDescent="0.2"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</row>
    <row r="7336" spans="11:23" x14ac:dyDescent="0.2"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</row>
    <row r="7337" spans="11:23" x14ac:dyDescent="0.2"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</row>
    <row r="7338" spans="11:23" x14ac:dyDescent="0.2">
      <c r="K7338" s="13"/>
      <c r="L7338" s="13"/>
      <c r="M7338" s="13"/>
      <c r="N7338" s="13"/>
      <c r="O7338" s="13"/>
      <c r="P7338" s="13"/>
      <c r="Q7338" s="13"/>
      <c r="R7338" s="13"/>
      <c r="S7338" s="13"/>
      <c r="T7338" s="13"/>
      <c r="U7338" s="13"/>
      <c r="V7338" s="13"/>
      <c r="W7338" s="13"/>
    </row>
    <row r="7339" spans="11:23" x14ac:dyDescent="0.2"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</row>
    <row r="7340" spans="11:23" x14ac:dyDescent="0.2"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</row>
    <row r="7341" spans="11:23" x14ac:dyDescent="0.2">
      <c r="K7341" s="13"/>
      <c r="L7341" s="13"/>
      <c r="M7341" s="13"/>
      <c r="N7341" s="13"/>
      <c r="O7341" s="13"/>
      <c r="P7341" s="13"/>
      <c r="Q7341" s="13"/>
      <c r="R7341" s="13"/>
      <c r="S7341" s="13"/>
      <c r="T7341" s="13"/>
      <c r="U7341" s="13"/>
      <c r="V7341" s="13"/>
      <c r="W7341" s="13"/>
    </row>
    <row r="7342" spans="11:23" x14ac:dyDescent="0.2"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</row>
    <row r="7343" spans="11:23" x14ac:dyDescent="0.2"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</row>
    <row r="7344" spans="11:23" x14ac:dyDescent="0.2"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</row>
    <row r="7345" spans="11:23" x14ac:dyDescent="0.2"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</row>
    <row r="7346" spans="11:23" x14ac:dyDescent="0.2"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</row>
    <row r="7347" spans="11:23" x14ac:dyDescent="0.2"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</row>
    <row r="7348" spans="11:23" x14ac:dyDescent="0.2"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</row>
    <row r="7349" spans="11:23" x14ac:dyDescent="0.2"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</row>
    <row r="7350" spans="11:23" x14ac:dyDescent="0.2"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</row>
    <row r="7351" spans="11:23" x14ac:dyDescent="0.2"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</row>
    <row r="7352" spans="11:23" x14ac:dyDescent="0.2"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</row>
    <row r="7353" spans="11:23" x14ac:dyDescent="0.2"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</row>
    <row r="7354" spans="11:23" x14ac:dyDescent="0.2"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</row>
    <row r="7355" spans="11:23" x14ac:dyDescent="0.2"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</row>
    <row r="7356" spans="11:23" x14ac:dyDescent="0.2"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</row>
    <row r="7357" spans="11:23" x14ac:dyDescent="0.2"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</row>
    <row r="7358" spans="11:23" x14ac:dyDescent="0.2"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</row>
    <row r="7359" spans="11:23" x14ac:dyDescent="0.2"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</row>
    <row r="7360" spans="11:23" x14ac:dyDescent="0.2"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</row>
    <row r="7361" spans="11:23" x14ac:dyDescent="0.2"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</row>
    <row r="7362" spans="11:23" x14ac:dyDescent="0.2"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</row>
    <row r="7363" spans="11:23" x14ac:dyDescent="0.2"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</row>
    <row r="7364" spans="11:23" x14ac:dyDescent="0.2"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</row>
    <row r="7365" spans="11:23" x14ac:dyDescent="0.2"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</row>
    <row r="7366" spans="11:23" x14ac:dyDescent="0.2"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</row>
    <row r="7367" spans="11:23" x14ac:dyDescent="0.2"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</row>
    <row r="7368" spans="11:23" x14ac:dyDescent="0.2"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</row>
    <row r="7369" spans="11:23" x14ac:dyDescent="0.2"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</row>
    <row r="7370" spans="11:23" x14ac:dyDescent="0.2"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</row>
    <row r="7371" spans="11:23" x14ac:dyDescent="0.2"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</row>
    <row r="7372" spans="11:23" x14ac:dyDescent="0.2"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</row>
    <row r="7373" spans="11:23" x14ac:dyDescent="0.2"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</row>
    <row r="7374" spans="11:23" x14ac:dyDescent="0.2"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</row>
    <row r="7375" spans="11:23" x14ac:dyDescent="0.2"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</row>
    <row r="7376" spans="11:23" x14ac:dyDescent="0.2"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</row>
    <row r="7377" spans="11:23" x14ac:dyDescent="0.2"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</row>
    <row r="7378" spans="11:23" x14ac:dyDescent="0.2"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</row>
    <row r="7379" spans="11:23" x14ac:dyDescent="0.2"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</row>
    <row r="7380" spans="11:23" x14ac:dyDescent="0.2"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</row>
    <row r="7381" spans="11:23" x14ac:dyDescent="0.2"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</row>
    <row r="7382" spans="11:23" x14ac:dyDescent="0.2"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</row>
    <row r="7383" spans="11:23" x14ac:dyDescent="0.2"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</row>
    <row r="7384" spans="11:23" x14ac:dyDescent="0.2"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</row>
    <row r="7385" spans="11:23" x14ac:dyDescent="0.2"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</row>
    <row r="7386" spans="11:23" x14ac:dyDescent="0.2"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</row>
    <row r="7387" spans="11:23" x14ac:dyDescent="0.2">
      <c r="K7387" s="13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</row>
    <row r="7388" spans="11:23" x14ac:dyDescent="0.2"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</row>
    <row r="7389" spans="11:23" x14ac:dyDescent="0.2"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</row>
    <row r="7390" spans="11:23" x14ac:dyDescent="0.2"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</row>
    <row r="7391" spans="11:23" x14ac:dyDescent="0.2"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</row>
    <row r="7392" spans="11:23" x14ac:dyDescent="0.2"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</row>
    <row r="7393" spans="11:23" x14ac:dyDescent="0.2"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</row>
    <row r="7394" spans="11:23" x14ac:dyDescent="0.2"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</row>
    <row r="7395" spans="11:23" x14ac:dyDescent="0.2"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</row>
    <row r="7396" spans="11:23" x14ac:dyDescent="0.2">
      <c r="K7396" s="13"/>
      <c r="L7396" s="13"/>
      <c r="M7396" s="13"/>
      <c r="N7396" s="13"/>
      <c r="O7396" s="13"/>
      <c r="P7396" s="13"/>
      <c r="Q7396" s="13"/>
      <c r="R7396" s="13"/>
      <c r="S7396" s="13"/>
      <c r="T7396" s="13"/>
      <c r="U7396" s="13"/>
      <c r="V7396" s="13"/>
      <c r="W7396" s="13"/>
    </row>
    <row r="7397" spans="11:23" x14ac:dyDescent="0.2"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</row>
    <row r="7398" spans="11:23" x14ac:dyDescent="0.2"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</row>
    <row r="7399" spans="11:23" x14ac:dyDescent="0.2"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</row>
    <row r="7400" spans="11:23" x14ac:dyDescent="0.2"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</row>
    <row r="7401" spans="11:23" x14ac:dyDescent="0.2"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</row>
    <row r="7402" spans="11:23" x14ac:dyDescent="0.2"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</row>
    <row r="7403" spans="11:23" x14ac:dyDescent="0.2"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</row>
    <row r="7404" spans="11:23" x14ac:dyDescent="0.2"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</row>
    <row r="7405" spans="11:23" x14ac:dyDescent="0.2"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</row>
    <row r="7406" spans="11:23" x14ac:dyDescent="0.2"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</row>
    <row r="7407" spans="11:23" x14ac:dyDescent="0.2"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</row>
    <row r="7408" spans="11:23" x14ac:dyDescent="0.2"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</row>
    <row r="7409" spans="11:23" x14ac:dyDescent="0.2"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</row>
    <row r="7410" spans="11:23" x14ac:dyDescent="0.2"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</row>
    <row r="7411" spans="11:23" x14ac:dyDescent="0.2"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</row>
    <row r="7412" spans="11:23" x14ac:dyDescent="0.2">
      <c r="K7412" s="13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</row>
    <row r="7413" spans="11:23" x14ac:dyDescent="0.2"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</row>
    <row r="7414" spans="11:23" x14ac:dyDescent="0.2"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</row>
    <row r="7415" spans="11:23" x14ac:dyDescent="0.2"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</row>
    <row r="7416" spans="11:23" x14ac:dyDescent="0.2"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</row>
    <row r="7417" spans="11:23" x14ac:dyDescent="0.2"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</row>
    <row r="7418" spans="11:23" x14ac:dyDescent="0.2"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</row>
    <row r="7419" spans="11:23" x14ac:dyDescent="0.2"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</row>
    <row r="7420" spans="11:23" x14ac:dyDescent="0.2"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</row>
    <row r="7421" spans="11:23" x14ac:dyDescent="0.2"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</row>
    <row r="7422" spans="11:23" x14ac:dyDescent="0.2"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</row>
    <row r="7423" spans="11:23" x14ac:dyDescent="0.2"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</row>
    <row r="7424" spans="11:23" x14ac:dyDescent="0.2"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</row>
    <row r="7425" spans="11:23" x14ac:dyDescent="0.2"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</row>
    <row r="7426" spans="11:23" x14ac:dyDescent="0.2"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</row>
    <row r="7427" spans="11:23" x14ac:dyDescent="0.2"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</row>
    <row r="7428" spans="11:23" x14ac:dyDescent="0.2"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</row>
    <row r="7429" spans="11:23" x14ac:dyDescent="0.2"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</row>
    <row r="7430" spans="11:23" x14ac:dyDescent="0.2"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</row>
    <row r="7431" spans="11:23" x14ac:dyDescent="0.2"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</row>
    <row r="7432" spans="11:23" x14ac:dyDescent="0.2"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</row>
    <row r="7433" spans="11:23" x14ac:dyDescent="0.2"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</row>
    <row r="7434" spans="11:23" x14ac:dyDescent="0.2"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</row>
    <row r="7435" spans="11:23" x14ac:dyDescent="0.2"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</row>
    <row r="7436" spans="11:23" x14ac:dyDescent="0.2"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</row>
    <row r="7437" spans="11:23" x14ac:dyDescent="0.2"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</row>
    <row r="7438" spans="11:23" x14ac:dyDescent="0.2"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</row>
    <row r="7439" spans="11:23" x14ac:dyDescent="0.2"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</row>
    <row r="7440" spans="11:23" x14ac:dyDescent="0.2"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</row>
    <row r="7441" spans="11:23" x14ac:dyDescent="0.2"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</row>
    <row r="7442" spans="11:23" x14ac:dyDescent="0.2"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</row>
    <row r="7443" spans="11:23" x14ac:dyDescent="0.2"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</row>
    <row r="7444" spans="11:23" x14ac:dyDescent="0.2"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</row>
    <row r="7445" spans="11:23" x14ac:dyDescent="0.2"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</row>
    <row r="7446" spans="11:23" x14ac:dyDescent="0.2"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</row>
    <row r="7447" spans="11:23" x14ac:dyDescent="0.2"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</row>
    <row r="7448" spans="11:23" x14ac:dyDescent="0.2"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</row>
    <row r="7449" spans="11:23" x14ac:dyDescent="0.2"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</row>
    <row r="7450" spans="11:23" x14ac:dyDescent="0.2"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</row>
    <row r="7451" spans="11:23" x14ac:dyDescent="0.2"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</row>
    <row r="7452" spans="11:23" x14ac:dyDescent="0.2"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</row>
    <row r="7453" spans="11:23" x14ac:dyDescent="0.2"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</row>
    <row r="7454" spans="11:23" x14ac:dyDescent="0.2"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</row>
    <row r="7455" spans="11:23" x14ac:dyDescent="0.2"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</row>
    <row r="7456" spans="11:23" x14ac:dyDescent="0.2"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</row>
    <row r="7457" spans="11:23" x14ac:dyDescent="0.2"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</row>
    <row r="7458" spans="11:23" x14ac:dyDescent="0.2"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</row>
    <row r="7459" spans="11:23" x14ac:dyDescent="0.2"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</row>
    <row r="7460" spans="11:23" x14ac:dyDescent="0.2"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</row>
    <row r="7461" spans="11:23" x14ac:dyDescent="0.2"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</row>
    <row r="7462" spans="11:23" x14ac:dyDescent="0.2"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</row>
    <row r="7463" spans="11:23" x14ac:dyDescent="0.2"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</row>
    <row r="7464" spans="11:23" x14ac:dyDescent="0.2"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</row>
    <row r="7465" spans="11:23" x14ac:dyDescent="0.2"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</row>
    <row r="7466" spans="11:23" x14ac:dyDescent="0.2"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</row>
    <row r="7467" spans="11:23" x14ac:dyDescent="0.2"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</row>
    <row r="7468" spans="11:23" x14ac:dyDescent="0.2"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</row>
    <row r="7469" spans="11:23" x14ac:dyDescent="0.2"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</row>
    <row r="7470" spans="11:23" x14ac:dyDescent="0.2"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</row>
    <row r="7471" spans="11:23" x14ac:dyDescent="0.2"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</row>
    <row r="7472" spans="11:23" x14ac:dyDescent="0.2"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</row>
    <row r="7473" spans="11:23" x14ac:dyDescent="0.2"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</row>
    <row r="7474" spans="11:23" x14ac:dyDescent="0.2"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</row>
    <row r="7475" spans="11:23" x14ac:dyDescent="0.2"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</row>
    <row r="7476" spans="11:23" x14ac:dyDescent="0.2"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</row>
    <row r="7477" spans="11:23" x14ac:dyDescent="0.2"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</row>
    <row r="7478" spans="11:23" x14ac:dyDescent="0.2"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</row>
    <row r="7479" spans="11:23" x14ac:dyDescent="0.2"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</row>
    <row r="7480" spans="11:23" x14ac:dyDescent="0.2"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</row>
    <row r="7481" spans="11:23" x14ac:dyDescent="0.2"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</row>
    <row r="7482" spans="11:23" x14ac:dyDescent="0.2"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</row>
    <row r="7483" spans="11:23" x14ac:dyDescent="0.2"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</row>
    <row r="7484" spans="11:23" x14ac:dyDescent="0.2"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</row>
    <row r="7485" spans="11:23" x14ac:dyDescent="0.2"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</row>
    <row r="7486" spans="11:23" x14ac:dyDescent="0.2"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</row>
    <row r="7487" spans="11:23" x14ac:dyDescent="0.2"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</row>
    <row r="7488" spans="11:23" x14ac:dyDescent="0.2"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</row>
    <row r="7489" spans="11:23" x14ac:dyDescent="0.2"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</row>
    <row r="7490" spans="11:23" x14ac:dyDescent="0.2"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</row>
    <row r="7491" spans="11:23" x14ac:dyDescent="0.2"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</row>
    <row r="7492" spans="11:23" x14ac:dyDescent="0.2">
      <c r="K7492" s="13"/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</row>
    <row r="7493" spans="11:23" x14ac:dyDescent="0.2">
      <c r="K7493" s="13"/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</row>
    <row r="7494" spans="11:23" x14ac:dyDescent="0.2">
      <c r="K7494" s="13"/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</row>
    <row r="7495" spans="11:23" x14ac:dyDescent="0.2"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</row>
    <row r="7496" spans="11:23" x14ac:dyDescent="0.2">
      <c r="K7496" s="13"/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</row>
    <row r="7497" spans="11:23" x14ac:dyDescent="0.2">
      <c r="K7497" s="13"/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</row>
    <row r="7498" spans="11:23" x14ac:dyDescent="0.2">
      <c r="K7498" s="13"/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</row>
    <row r="7499" spans="11:23" x14ac:dyDescent="0.2">
      <c r="K7499" s="13"/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</row>
    <row r="7500" spans="11:23" x14ac:dyDescent="0.2"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</row>
    <row r="7501" spans="11:23" x14ac:dyDescent="0.2"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</row>
    <row r="7502" spans="11:23" x14ac:dyDescent="0.2"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</row>
    <row r="7503" spans="11:23" x14ac:dyDescent="0.2"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</row>
    <row r="7504" spans="11:23" x14ac:dyDescent="0.2"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</row>
    <row r="7505" spans="11:23" x14ac:dyDescent="0.2"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</row>
    <row r="7506" spans="11:23" x14ac:dyDescent="0.2"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</row>
    <row r="7507" spans="11:23" x14ac:dyDescent="0.2"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</row>
    <row r="7508" spans="11:23" x14ac:dyDescent="0.2"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</row>
    <row r="7509" spans="11:23" x14ac:dyDescent="0.2"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</row>
    <row r="7510" spans="11:23" x14ac:dyDescent="0.2"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</row>
    <row r="7511" spans="11:23" x14ac:dyDescent="0.2"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</row>
    <row r="7512" spans="11:23" x14ac:dyDescent="0.2"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</row>
    <row r="7513" spans="11:23" x14ac:dyDescent="0.2"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</row>
    <row r="7514" spans="11:23" x14ac:dyDescent="0.2"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</row>
    <row r="7515" spans="11:23" x14ac:dyDescent="0.2"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</row>
    <row r="7516" spans="11:23" x14ac:dyDescent="0.2"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</row>
    <row r="7517" spans="11:23" x14ac:dyDescent="0.2"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</row>
    <row r="7518" spans="11:23" x14ac:dyDescent="0.2"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</row>
    <row r="7519" spans="11:23" x14ac:dyDescent="0.2"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</row>
    <row r="7520" spans="11:23" x14ac:dyDescent="0.2"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</row>
    <row r="7521" spans="11:23" x14ac:dyDescent="0.2"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</row>
    <row r="7522" spans="11:23" x14ac:dyDescent="0.2"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</row>
    <row r="7523" spans="11:23" x14ac:dyDescent="0.2"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</row>
    <row r="7524" spans="11:23" x14ac:dyDescent="0.2"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</row>
    <row r="7525" spans="11:23" x14ac:dyDescent="0.2"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</row>
    <row r="7526" spans="11:23" x14ac:dyDescent="0.2"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</row>
    <row r="7527" spans="11:23" x14ac:dyDescent="0.2"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</row>
    <row r="7528" spans="11:23" x14ac:dyDescent="0.2"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</row>
    <row r="7529" spans="11:23" x14ac:dyDescent="0.2"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</row>
    <row r="7530" spans="11:23" x14ac:dyDescent="0.2"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</row>
    <row r="7531" spans="11:23" x14ac:dyDescent="0.2"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</row>
    <row r="7532" spans="11:23" x14ac:dyDescent="0.2"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</row>
    <row r="7533" spans="11:23" x14ac:dyDescent="0.2"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</row>
    <row r="7534" spans="11:23" x14ac:dyDescent="0.2"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</row>
    <row r="7535" spans="11:23" x14ac:dyDescent="0.2"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</row>
    <row r="7536" spans="11:23" x14ac:dyDescent="0.2"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</row>
    <row r="7537" spans="11:23" x14ac:dyDescent="0.2"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</row>
    <row r="7538" spans="11:23" x14ac:dyDescent="0.2"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</row>
    <row r="7539" spans="11:23" x14ac:dyDescent="0.2"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</row>
    <row r="7540" spans="11:23" x14ac:dyDescent="0.2"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</row>
    <row r="7541" spans="11:23" x14ac:dyDescent="0.2"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</row>
    <row r="7542" spans="11:23" x14ac:dyDescent="0.2"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</row>
    <row r="7543" spans="11:23" x14ac:dyDescent="0.2"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</row>
    <row r="7544" spans="11:23" x14ac:dyDescent="0.2"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</row>
    <row r="7545" spans="11:23" x14ac:dyDescent="0.2"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</row>
    <row r="7546" spans="11:23" x14ac:dyDescent="0.2"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</row>
    <row r="7547" spans="11:23" x14ac:dyDescent="0.2">
      <c r="K7547" s="13"/>
      <c r="L7547" s="13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</row>
    <row r="7548" spans="11:23" x14ac:dyDescent="0.2"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</row>
    <row r="7549" spans="11:23" x14ac:dyDescent="0.2"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</row>
    <row r="7550" spans="11:23" x14ac:dyDescent="0.2"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</row>
    <row r="7551" spans="11:23" x14ac:dyDescent="0.2"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</row>
    <row r="7552" spans="11:23" x14ac:dyDescent="0.2"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</row>
    <row r="7553" spans="11:23" x14ac:dyDescent="0.2"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</row>
    <row r="7554" spans="11:23" x14ac:dyDescent="0.2"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</row>
    <row r="7555" spans="11:23" x14ac:dyDescent="0.2"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</row>
    <row r="7556" spans="11:23" x14ac:dyDescent="0.2"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</row>
    <row r="7557" spans="11:23" x14ac:dyDescent="0.2"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</row>
    <row r="7558" spans="11:23" x14ac:dyDescent="0.2"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</row>
    <row r="7559" spans="11:23" x14ac:dyDescent="0.2"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</row>
    <row r="7560" spans="11:23" x14ac:dyDescent="0.2"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</row>
    <row r="7561" spans="11:23" x14ac:dyDescent="0.2"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</row>
    <row r="7562" spans="11:23" x14ac:dyDescent="0.2"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</row>
    <row r="7563" spans="11:23" x14ac:dyDescent="0.2"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</row>
    <row r="7564" spans="11:23" x14ac:dyDescent="0.2"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</row>
    <row r="7565" spans="11:23" x14ac:dyDescent="0.2"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</row>
    <row r="7566" spans="11:23" x14ac:dyDescent="0.2"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</row>
    <row r="7567" spans="11:23" x14ac:dyDescent="0.2"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</row>
    <row r="7568" spans="11:23" x14ac:dyDescent="0.2"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</row>
    <row r="7569" spans="11:23" x14ac:dyDescent="0.2"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</row>
    <row r="7570" spans="11:23" x14ac:dyDescent="0.2"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</row>
    <row r="7571" spans="11:23" x14ac:dyDescent="0.2"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</row>
    <row r="7572" spans="11:23" x14ac:dyDescent="0.2"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</row>
    <row r="7573" spans="11:23" x14ac:dyDescent="0.2"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</row>
    <row r="7574" spans="11:23" x14ac:dyDescent="0.2"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</row>
    <row r="7575" spans="11:23" x14ac:dyDescent="0.2"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</row>
    <row r="7576" spans="11:23" x14ac:dyDescent="0.2"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</row>
    <row r="7577" spans="11:23" x14ac:dyDescent="0.2"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</row>
    <row r="7578" spans="11:23" x14ac:dyDescent="0.2"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</row>
    <row r="7579" spans="11:23" x14ac:dyDescent="0.2"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</row>
    <row r="7580" spans="11:23" x14ac:dyDescent="0.2"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</row>
    <row r="7581" spans="11:23" x14ac:dyDescent="0.2"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</row>
    <row r="7582" spans="11:23" x14ac:dyDescent="0.2"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</row>
    <row r="7583" spans="11:23" x14ac:dyDescent="0.2"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</row>
    <row r="7584" spans="11:23" x14ac:dyDescent="0.2"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</row>
    <row r="7585" spans="11:23" x14ac:dyDescent="0.2"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</row>
    <row r="7586" spans="11:23" x14ac:dyDescent="0.2"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</row>
    <row r="7587" spans="11:23" x14ac:dyDescent="0.2"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</row>
    <row r="7588" spans="11:23" x14ac:dyDescent="0.2"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</row>
    <row r="7589" spans="11:23" x14ac:dyDescent="0.2"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</row>
    <row r="7590" spans="11:23" x14ac:dyDescent="0.2"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</row>
    <row r="7591" spans="11:23" x14ac:dyDescent="0.2"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</row>
    <row r="7592" spans="11:23" x14ac:dyDescent="0.2"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</row>
    <row r="7593" spans="11:23" x14ac:dyDescent="0.2"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</row>
    <row r="7594" spans="11:23" x14ac:dyDescent="0.2"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</row>
    <row r="7595" spans="11:23" x14ac:dyDescent="0.2"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</row>
    <row r="7596" spans="11:23" x14ac:dyDescent="0.2"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</row>
    <row r="7597" spans="11:23" x14ac:dyDescent="0.2"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</row>
    <row r="7598" spans="11:23" x14ac:dyDescent="0.2"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</row>
    <row r="7599" spans="11:23" x14ac:dyDescent="0.2"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</row>
    <row r="7600" spans="11:23" x14ac:dyDescent="0.2"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</row>
    <row r="7601" spans="11:23" x14ac:dyDescent="0.2"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</row>
    <row r="7602" spans="11:23" x14ac:dyDescent="0.2"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</row>
    <row r="7603" spans="11:23" x14ac:dyDescent="0.2"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</row>
    <row r="7604" spans="11:23" x14ac:dyDescent="0.2"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</row>
    <row r="7605" spans="11:23" x14ac:dyDescent="0.2"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</row>
    <row r="7606" spans="11:23" x14ac:dyDescent="0.2"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</row>
    <row r="7607" spans="11:23" x14ac:dyDescent="0.2"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</row>
    <row r="7608" spans="11:23" x14ac:dyDescent="0.2"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</row>
    <row r="7609" spans="11:23" x14ac:dyDescent="0.2"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</row>
    <row r="7610" spans="11:23" x14ac:dyDescent="0.2"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</row>
    <row r="7611" spans="11:23" x14ac:dyDescent="0.2"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</row>
    <row r="7612" spans="11:23" x14ac:dyDescent="0.2"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</row>
    <row r="7613" spans="11:23" x14ac:dyDescent="0.2"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</row>
    <row r="7614" spans="11:23" x14ac:dyDescent="0.2"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</row>
    <row r="7615" spans="11:23" x14ac:dyDescent="0.2"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</row>
    <row r="7616" spans="11:23" x14ac:dyDescent="0.2"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</row>
    <row r="7617" spans="11:23" x14ac:dyDescent="0.2"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</row>
    <row r="7618" spans="11:23" x14ac:dyDescent="0.2"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</row>
    <row r="7619" spans="11:23" x14ac:dyDescent="0.2"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</row>
    <row r="7620" spans="11:23" x14ac:dyDescent="0.2"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</row>
    <row r="7621" spans="11:23" x14ac:dyDescent="0.2"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</row>
    <row r="7622" spans="11:23" x14ac:dyDescent="0.2"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</row>
    <row r="7623" spans="11:23" x14ac:dyDescent="0.2"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</row>
    <row r="7624" spans="11:23" x14ac:dyDescent="0.2"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</row>
    <row r="7625" spans="11:23" x14ac:dyDescent="0.2"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</row>
    <row r="7626" spans="11:23" x14ac:dyDescent="0.2"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</row>
    <row r="7627" spans="11:23" x14ac:dyDescent="0.2">
      <c r="K7627" s="13"/>
      <c r="L7627" s="13"/>
      <c r="M7627" s="13"/>
      <c r="N7627" s="13"/>
      <c r="O7627" s="13"/>
      <c r="P7627" s="13"/>
      <c r="Q7627" s="13"/>
      <c r="R7627" s="13"/>
      <c r="S7627" s="13"/>
      <c r="T7627" s="13"/>
      <c r="U7627" s="13"/>
      <c r="V7627" s="13"/>
      <c r="W7627" s="13"/>
    </row>
    <row r="7628" spans="11:23" x14ac:dyDescent="0.2"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</row>
    <row r="7629" spans="11:23" x14ac:dyDescent="0.2"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</row>
    <row r="7630" spans="11:23" x14ac:dyDescent="0.2"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</row>
    <row r="7631" spans="11:23" x14ac:dyDescent="0.2"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</row>
    <row r="7632" spans="11:23" x14ac:dyDescent="0.2"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</row>
    <row r="7633" spans="11:23" x14ac:dyDescent="0.2"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</row>
    <row r="7634" spans="11:23" x14ac:dyDescent="0.2"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</row>
    <row r="7635" spans="11:23" x14ac:dyDescent="0.2"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</row>
    <row r="7636" spans="11:23" x14ac:dyDescent="0.2"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</row>
    <row r="7637" spans="11:23" x14ac:dyDescent="0.2"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</row>
    <row r="7638" spans="11:23" x14ac:dyDescent="0.2"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</row>
    <row r="7639" spans="11:23" x14ac:dyDescent="0.2"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</row>
    <row r="7640" spans="11:23" x14ac:dyDescent="0.2"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</row>
    <row r="7641" spans="11:23" x14ac:dyDescent="0.2"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</row>
    <row r="7642" spans="11:23" x14ac:dyDescent="0.2"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</row>
    <row r="7643" spans="11:23" x14ac:dyDescent="0.2"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</row>
    <row r="7644" spans="11:23" x14ac:dyDescent="0.2"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</row>
    <row r="7645" spans="11:23" x14ac:dyDescent="0.2"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</row>
    <row r="7646" spans="11:23" x14ac:dyDescent="0.2"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</row>
    <row r="7647" spans="11:23" x14ac:dyDescent="0.2"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</row>
    <row r="7648" spans="11:23" x14ac:dyDescent="0.2">
      <c r="K7648" s="13"/>
      <c r="L7648" s="13"/>
      <c r="M7648" s="13"/>
      <c r="N7648" s="13"/>
      <c r="O7648" s="13"/>
      <c r="P7648" s="13"/>
      <c r="Q7648" s="13"/>
      <c r="R7648" s="13"/>
      <c r="S7648" s="13"/>
      <c r="T7648" s="13"/>
      <c r="U7648" s="13"/>
      <c r="V7648" s="13"/>
      <c r="W7648" s="13"/>
    </row>
    <row r="7649" spans="11:23" x14ac:dyDescent="0.2"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</row>
    <row r="7650" spans="11:23" x14ac:dyDescent="0.2"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</row>
    <row r="7651" spans="11:23" x14ac:dyDescent="0.2"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</row>
    <row r="7652" spans="11:23" x14ac:dyDescent="0.2"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</row>
    <row r="7653" spans="11:23" x14ac:dyDescent="0.2"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</row>
    <row r="7654" spans="11:23" x14ac:dyDescent="0.2">
      <c r="K7654" s="13"/>
      <c r="L7654" s="13"/>
      <c r="M7654" s="13"/>
      <c r="N7654" s="13"/>
      <c r="O7654" s="13"/>
      <c r="P7654" s="13"/>
      <c r="Q7654" s="13"/>
      <c r="R7654" s="13"/>
      <c r="S7654" s="13"/>
      <c r="T7654" s="13"/>
      <c r="U7654" s="13"/>
      <c r="V7654" s="13"/>
      <c r="W7654" s="13"/>
    </row>
    <row r="7655" spans="11:23" x14ac:dyDescent="0.2"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</row>
    <row r="7656" spans="11:23" x14ac:dyDescent="0.2"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</row>
    <row r="7657" spans="11:23" x14ac:dyDescent="0.2"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</row>
    <row r="7658" spans="11:23" x14ac:dyDescent="0.2"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</row>
    <row r="7659" spans="11:23" x14ac:dyDescent="0.2"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</row>
    <row r="7660" spans="11:23" x14ac:dyDescent="0.2"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</row>
    <row r="7661" spans="11:23" x14ac:dyDescent="0.2"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</row>
    <row r="7662" spans="11:23" x14ac:dyDescent="0.2"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</row>
    <row r="7663" spans="11:23" x14ac:dyDescent="0.2"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</row>
    <row r="7664" spans="11:23" x14ac:dyDescent="0.2"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</row>
    <row r="7665" spans="11:23" x14ac:dyDescent="0.2"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</row>
    <row r="7666" spans="11:23" x14ac:dyDescent="0.2"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</row>
    <row r="7667" spans="11:23" x14ac:dyDescent="0.2"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</row>
    <row r="7668" spans="11:23" x14ac:dyDescent="0.2"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</row>
    <row r="7669" spans="11:23" x14ac:dyDescent="0.2"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</row>
    <row r="7670" spans="11:23" x14ac:dyDescent="0.2"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</row>
    <row r="7671" spans="11:23" x14ac:dyDescent="0.2"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</row>
    <row r="7672" spans="11:23" x14ac:dyDescent="0.2"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</row>
    <row r="7673" spans="11:23" x14ac:dyDescent="0.2"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</row>
    <row r="7674" spans="11:23" x14ac:dyDescent="0.2"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</row>
    <row r="7675" spans="11:23" x14ac:dyDescent="0.2"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</row>
    <row r="7676" spans="11:23" x14ac:dyDescent="0.2"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</row>
    <row r="7677" spans="11:23" x14ac:dyDescent="0.2"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</row>
    <row r="7678" spans="11:23" x14ac:dyDescent="0.2">
      <c r="K7678" s="13"/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</row>
    <row r="7679" spans="11:23" x14ac:dyDescent="0.2">
      <c r="K7679" s="13"/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</row>
    <row r="7680" spans="11:23" x14ac:dyDescent="0.2"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</row>
    <row r="7681" spans="11:23" x14ac:dyDescent="0.2">
      <c r="K7681" s="13"/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</row>
    <row r="7682" spans="11:23" x14ac:dyDescent="0.2">
      <c r="K7682" s="13"/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</row>
    <row r="7683" spans="11:23" x14ac:dyDescent="0.2">
      <c r="K7683" s="13"/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</row>
    <row r="7684" spans="11:23" x14ac:dyDescent="0.2"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</row>
    <row r="7685" spans="11:23" x14ac:dyDescent="0.2"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</row>
    <row r="7686" spans="11:23" x14ac:dyDescent="0.2"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</row>
    <row r="7687" spans="11:23" x14ac:dyDescent="0.2"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</row>
    <row r="7688" spans="11:23" x14ac:dyDescent="0.2"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</row>
    <row r="7689" spans="11:23" x14ac:dyDescent="0.2"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</row>
    <row r="7690" spans="11:23" x14ac:dyDescent="0.2"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</row>
    <row r="7691" spans="11:23" x14ac:dyDescent="0.2">
      <c r="K7691" s="13"/>
      <c r="L7691" s="13"/>
      <c r="M7691" s="13"/>
      <c r="N7691" s="13"/>
      <c r="O7691" s="13"/>
      <c r="P7691" s="13"/>
      <c r="Q7691" s="13"/>
      <c r="R7691" s="13"/>
      <c r="S7691" s="13"/>
      <c r="T7691" s="13"/>
      <c r="U7691" s="13"/>
      <c r="V7691" s="13"/>
      <c r="W7691" s="13"/>
    </row>
    <row r="7692" spans="11:23" x14ac:dyDescent="0.2"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</row>
    <row r="7693" spans="11:23" x14ac:dyDescent="0.2"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</row>
    <row r="7694" spans="11:23" x14ac:dyDescent="0.2"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</row>
    <row r="7695" spans="11:23" x14ac:dyDescent="0.2"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</row>
    <row r="7696" spans="11:23" x14ac:dyDescent="0.2"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</row>
    <row r="7697" spans="11:23" x14ac:dyDescent="0.2"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</row>
    <row r="7698" spans="11:23" x14ac:dyDescent="0.2"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</row>
    <row r="7699" spans="11:23" x14ac:dyDescent="0.2"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</row>
    <row r="7700" spans="11:23" x14ac:dyDescent="0.2"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</row>
    <row r="7701" spans="11:23" x14ac:dyDescent="0.2"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</row>
    <row r="7702" spans="11:23" x14ac:dyDescent="0.2"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</row>
    <row r="7703" spans="11:23" x14ac:dyDescent="0.2"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</row>
    <row r="7704" spans="11:23" x14ac:dyDescent="0.2"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</row>
    <row r="7705" spans="11:23" x14ac:dyDescent="0.2"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</row>
    <row r="7706" spans="11:23" x14ac:dyDescent="0.2"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</row>
    <row r="7707" spans="11:23" x14ac:dyDescent="0.2"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</row>
    <row r="7708" spans="11:23" x14ac:dyDescent="0.2"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</row>
    <row r="7709" spans="11:23" x14ac:dyDescent="0.2"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</row>
    <row r="7710" spans="11:23" x14ac:dyDescent="0.2"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</row>
    <row r="7711" spans="11:23" x14ac:dyDescent="0.2"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</row>
    <row r="7712" spans="11:23" x14ac:dyDescent="0.2"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</row>
    <row r="7713" spans="11:23" x14ac:dyDescent="0.2"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</row>
    <row r="7714" spans="11:23" x14ac:dyDescent="0.2"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</row>
    <row r="7715" spans="11:23" x14ac:dyDescent="0.2"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</row>
    <row r="7716" spans="11:23" x14ac:dyDescent="0.2"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</row>
    <row r="7717" spans="11:23" x14ac:dyDescent="0.2"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</row>
    <row r="7718" spans="11:23" x14ac:dyDescent="0.2"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</row>
    <row r="7719" spans="11:23" x14ac:dyDescent="0.2">
      <c r="K7719" s="13"/>
      <c r="L7719" s="13"/>
      <c r="M7719" s="13"/>
      <c r="N7719" s="13"/>
      <c r="O7719" s="13"/>
      <c r="P7719" s="13"/>
      <c r="Q7719" s="13"/>
      <c r="R7719" s="13"/>
      <c r="S7719" s="13"/>
      <c r="T7719" s="13"/>
      <c r="U7719" s="13"/>
      <c r="V7719" s="13"/>
      <c r="W7719" s="13"/>
    </row>
    <row r="7720" spans="11:23" x14ac:dyDescent="0.2"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</row>
    <row r="7721" spans="11:23" x14ac:dyDescent="0.2"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</row>
    <row r="7722" spans="11:23" x14ac:dyDescent="0.2"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</row>
    <row r="7723" spans="11:23" x14ac:dyDescent="0.2"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</row>
    <row r="7724" spans="11:23" x14ac:dyDescent="0.2"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</row>
    <row r="7725" spans="11:23" x14ac:dyDescent="0.2"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</row>
    <row r="7726" spans="11:23" x14ac:dyDescent="0.2"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</row>
    <row r="7727" spans="11:23" x14ac:dyDescent="0.2"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</row>
    <row r="7728" spans="11:23" x14ac:dyDescent="0.2"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</row>
    <row r="7729" spans="11:23" x14ac:dyDescent="0.2"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</row>
    <row r="7730" spans="11:23" x14ac:dyDescent="0.2"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</row>
    <row r="7731" spans="11:23" x14ac:dyDescent="0.2"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</row>
    <row r="7732" spans="11:23" x14ac:dyDescent="0.2"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</row>
    <row r="7733" spans="11:23" x14ac:dyDescent="0.2"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</row>
    <row r="7734" spans="11:23" x14ac:dyDescent="0.2"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</row>
    <row r="7735" spans="11:23" x14ac:dyDescent="0.2"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</row>
    <row r="7736" spans="11:23" x14ac:dyDescent="0.2"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</row>
    <row r="7737" spans="11:23" x14ac:dyDescent="0.2"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</row>
    <row r="7738" spans="11:23" x14ac:dyDescent="0.2"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</row>
    <row r="7739" spans="11:23" x14ac:dyDescent="0.2"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</row>
    <row r="7740" spans="11:23" x14ac:dyDescent="0.2"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</row>
    <row r="7741" spans="11:23" x14ac:dyDescent="0.2"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</row>
    <row r="7742" spans="11:23" x14ac:dyDescent="0.2"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</row>
    <row r="7743" spans="11:23" x14ac:dyDescent="0.2"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</row>
    <row r="7744" spans="11:23" x14ac:dyDescent="0.2"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</row>
    <row r="7745" spans="11:23" x14ac:dyDescent="0.2"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</row>
    <row r="7746" spans="11:23" x14ac:dyDescent="0.2"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</row>
    <row r="7747" spans="11:23" x14ac:dyDescent="0.2"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</row>
    <row r="7748" spans="11:23" x14ac:dyDescent="0.2"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</row>
    <row r="7749" spans="11:23" x14ac:dyDescent="0.2"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</row>
    <row r="7750" spans="11:23" x14ac:dyDescent="0.2"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</row>
    <row r="7751" spans="11:23" x14ac:dyDescent="0.2"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</row>
    <row r="7752" spans="11:23" x14ac:dyDescent="0.2"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</row>
    <row r="7753" spans="11:23" x14ac:dyDescent="0.2"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</row>
    <row r="7754" spans="11:23" x14ac:dyDescent="0.2"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</row>
    <row r="7755" spans="11:23" x14ac:dyDescent="0.2"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</row>
    <row r="7756" spans="11:23" x14ac:dyDescent="0.2"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</row>
    <row r="7757" spans="11:23" x14ac:dyDescent="0.2"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</row>
    <row r="7758" spans="11:23" x14ac:dyDescent="0.2"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</row>
    <row r="7759" spans="11:23" x14ac:dyDescent="0.2"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</row>
    <row r="7760" spans="11:23" x14ac:dyDescent="0.2"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</row>
    <row r="7761" spans="11:23" x14ac:dyDescent="0.2"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</row>
    <row r="7762" spans="11:23" x14ac:dyDescent="0.2"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</row>
    <row r="7763" spans="11:23" x14ac:dyDescent="0.2"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</row>
    <row r="7764" spans="11:23" x14ac:dyDescent="0.2"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</row>
    <row r="7765" spans="11:23" x14ac:dyDescent="0.2"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</row>
    <row r="7766" spans="11:23" x14ac:dyDescent="0.2"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</row>
    <row r="7767" spans="11:23" x14ac:dyDescent="0.2"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</row>
    <row r="7768" spans="11:23" x14ac:dyDescent="0.2"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</row>
    <row r="7769" spans="11:23" x14ac:dyDescent="0.2"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</row>
    <row r="7770" spans="11:23" x14ac:dyDescent="0.2"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</row>
    <row r="7771" spans="11:23" x14ac:dyDescent="0.2"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</row>
    <row r="7772" spans="11:23" x14ac:dyDescent="0.2"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</row>
    <row r="7773" spans="11:23" x14ac:dyDescent="0.2"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</row>
    <row r="7774" spans="11:23" x14ac:dyDescent="0.2"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</row>
    <row r="7775" spans="11:23" x14ac:dyDescent="0.2"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</row>
    <row r="7776" spans="11:23" x14ac:dyDescent="0.2"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</row>
    <row r="7777" spans="11:23" x14ac:dyDescent="0.2"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</row>
    <row r="7778" spans="11:23" x14ac:dyDescent="0.2"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</row>
    <row r="7779" spans="11:23" x14ac:dyDescent="0.2"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</row>
    <row r="7780" spans="11:23" x14ac:dyDescent="0.2"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</row>
    <row r="7781" spans="11:23" x14ac:dyDescent="0.2"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</row>
    <row r="7782" spans="11:23" x14ac:dyDescent="0.2"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</row>
    <row r="7783" spans="11:23" x14ac:dyDescent="0.2"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</row>
    <row r="7784" spans="11:23" x14ac:dyDescent="0.2"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</row>
    <row r="7785" spans="11:23" x14ac:dyDescent="0.2"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</row>
    <row r="7786" spans="11:23" x14ac:dyDescent="0.2"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</row>
    <row r="7787" spans="11:23" x14ac:dyDescent="0.2"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</row>
    <row r="7788" spans="11:23" x14ac:dyDescent="0.2"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</row>
    <row r="7789" spans="11:23" x14ac:dyDescent="0.2"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</row>
    <row r="7790" spans="11:23" x14ac:dyDescent="0.2"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</row>
    <row r="7791" spans="11:23" x14ac:dyDescent="0.2"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</row>
    <row r="7792" spans="11:23" x14ac:dyDescent="0.2"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</row>
    <row r="7793" spans="11:23" x14ac:dyDescent="0.2"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</row>
    <row r="7794" spans="11:23" x14ac:dyDescent="0.2"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</row>
    <row r="7795" spans="11:23" x14ac:dyDescent="0.2"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</row>
    <row r="7796" spans="11:23" x14ac:dyDescent="0.2"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</row>
    <row r="7797" spans="11:23" x14ac:dyDescent="0.2"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</row>
    <row r="7798" spans="11:23" x14ac:dyDescent="0.2"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</row>
    <row r="7799" spans="11:23" x14ac:dyDescent="0.2"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</row>
    <row r="7800" spans="11:23" x14ac:dyDescent="0.2"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</row>
    <row r="7801" spans="11:23" x14ac:dyDescent="0.2"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</row>
    <row r="7802" spans="11:23" x14ac:dyDescent="0.2"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</row>
    <row r="7803" spans="11:23" x14ac:dyDescent="0.2"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</row>
    <row r="7804" spans="11:23" x14ac:dyDescent="0.2"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</row>
    <row r="7805" spans="11:23" x14ac:dyDescent="0.2"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</row>
    <row r="7806" spans="11:23" x14ac:dyDescent="0.2"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</row>
    <row r="7807" spans="11:23" x14ac:dyDescent="0.2">
      <c r="K7807" s="13"/>
      <c r="L7807" s="13"/>
      <c r="M7807" s="13"/>
      <c r="N7807" s="13"/>
      <c r="O7807" s="13"/>
      <c r="P7807" s="13"/>
      <c r="Q7807" s="13"/>
      <c r="R7807" s="13"/>
      <c r="S7807" s="13"/>
      <c r="T7807" s="13"/>
      <c r="U7807" s="13"/>
      <c r="V7807" s="13"/>
      <c r="W7807" s="13"/>
    </row>
    <row r="7808" spans="11:23" x14ac:dyDescent="0.2"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</row>
    <row r="7809" spans="11:23" x14ac:dyDescent="0.2"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</row>
    <row r="7810" spans="11:23" x14ac:dyDescent="0.2">
      <c r="K7810" s="13"/>
      <c r="L7810" s="13"/>
      <c r="M7810" s="13"/>
      <c r="N7810" s="13"/>
      <c r="O7810" s="13"/>
      <c r="P7810" s="13"/>
      <c r="Q7810" s="13"/>
      <c r="R7810" s="13"/>
      <c r="S7810" s="13"/>
      <c r="T7810" s="13"/>
      <c r="U7810" s="13"/>
      <c r="V7810" s="13"/>
      <c r="W7810" s="13"/>
    </row>
    <row r="7811" spans="11:23" x14ac:dyDescent="0.2"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</row>
    <row r="7812" spans="11:23" x14ac:dyDescent="0.2"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</row>
    <row r="7813" spans="11:23" x14ac:dyDescent="0.2"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</row>
    <row r="7814" spans="11:23" x14ac:dyDescent="0.2"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</row>
    <row r="7815" spans="11:23" x14ac:dyDescent="0.2"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</row>
    <row r="7816" spans="11:23" x14ac:dyDescent="0.2"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</row>
    <row r="7817" spans="11:23" x14ac:dyDescent="0.2"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</row>
    <row r="7818" spans="11:23" x14ac:dyDescent="0.2"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</row>
    <row r="7819" spans="11:23" x14ac:dyDescent="0.2"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</row>
    <row r="7820" spans="11:23" x14ac:dyDescent="0.2"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</row>
    <row r="7821" spans="11:23" x14ac:dyDescent="0.2"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</row>
    <row r="7822" spans="11:23" x14ac:dyDescent="0.2"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</row>
    <row r="7823" spans="11:23" x14ac:dyDescent="0.2"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</row>
    <row r="7824" spans="11:23" x14ac:dyDescent="0.2"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</row>
    <row r="7825" spans="11:23" x14ac:dyDescent="0.2"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</row>
    <row r="7826" spans="11:23" x14ac:dyDescent="0.2"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</row>
    <row r="7827" spans="11:23" x14ac:dyDescent="0.2"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</row>
    <row r="7828" spans="11:23" x14ac:dyDescent="0.2"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</row>
    <row r="7829" spans="11:23" x14ac:dyDescent="0.2"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</row>
    <row r="7830" spans="11:23" x14ac:dyDescent="0.2"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</row>
    <row r="7831" spans="11:23" x14ac:dyDescent="0.2"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</row>
    <row r="7832" spans="11:23" x14ac:dyDescent="0.2"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</row>
    <row r="7833" spans="11:23" x14ac:dyDescent="0.2"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</row>
    <row r="7834" spans="11:23" x14ac:dyDescent="0.2"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</row>
    <row r="7835" spans="11:23" x14ac:dyDescent="0.2"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</row>
    <row r="7836" spans="11:23" x14ac:dyDescent="0.2"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</row>
    <row r="7837" spans="11:23" x14ac:dyDescent="0.2"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</row>
    <row r="7838" spans="11:23" x14ac:dyDescent="0.2"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</row>
    <row r="7839" spans="11:23" x14ac:dyDescent="0.2"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</row>
    <row r="7840" spans="11:23" x14ac:dyDescent="0.2"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</row>
    <row r="7841" spans="11:23" x14ac:dyDescent="0.2"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</row>
    <row r="7842" spans="11:23" x14ac:dyDescent="0.2"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</row>
    <row r="7843" spans="11:23" x14ac:dyDescent="0.2"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</row>
    <row r="7844" spans="11:23" x14ac:dyDescent="0.2"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</row>
    <row r="7845" spans="11:23" x14ac:dyDescent="0.2"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</row>
    <row r="7846" spans="11:23" x14ac:dyDescent="0.2"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</row>
    <row r="7847" spans="11:23" x14ac:dyDescent="0.2"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</row>
    <row r="7848" spans="11:23" x14ac:dyDescent="0.2"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</row>
    <row r="7849" spans="11:23" x14ac:dyDescent="0.2"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</row>
    <row r="7850" spans="11:23" x14ac:dyDescent="0.2"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</row>
    <row r="7851" spans="11:23" x14ac:dyDescent="0.2"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</row>
    <row r="7852" spans="11:23" x14ac:dyDescent="0.2"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</row>
    <row r="7853" spans="11:23" x14ac:dyDescent="0.2"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</row>
    <row r="7854" spans="11:23" x14ac:dyDescent="0.2"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</row>
    <row r="7855" spans="11:23" x14ac:dyDescent="0.2"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</row>
    <row r="7856" spans="11:23" x14ac:dyDescent="0.2"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</row>
    <row r="7857" spans="11:23" x14ac:dyDescent="0.2"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</row>
    <row r="7858" spans="11:23" x14ac:dyDescent="0.2"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</row>
    <row r="7859" spans="11:23" x14ac:dyDescent="0.2"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</row>
    <row r="7860" spans="11:23" x14ac:dyDescent="0.2"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</row>
    <row r="7861" spans="11:23" x14ac:dyDescent="0.2"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</row>
    <row r="7862" spans="11:23" x14ac:dyDescent="0.2"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</row>
    <row r="7863" spans="11:23" x14ac:dyDescent="0.2"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</row>
    <row r="7864" spans="11:23" x14ac:dyDescent="0.2"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</row>
    <row r="7865" spans="11:23" x14ac:dyDescent="0.2"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</row>
    <row r="7866" spans="11:23" x14ac:dyDescent="0.2"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</row>
    <row r="7867" spans="11:23" x14ac:dyDescent="0.2"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</row>
    <row r="7868" spans="11:23" x14ac:dyDescent="0.2">
      <c r="K7868" s="13"/>
      <c r="L7868" s="13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</row>
    <row r="7869" spans="11:23" x14ac:dyDescent="0.2"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</row>
    <row r="7870" spans="11:23" x14ac:dyDescent="0.2"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</row>
    <row r="7871" spans="11:23" x14ac:dyDescent="0.2"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</row>
    <row r="7872" spans="11:23" x14ac:dyDescent="0.2"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</row>
    <row r="7873" spans="11:23" x14ac:dyDescent="0.2"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</row>
    <row r="7874" spans="11:23" x14ac:dyDescent="0.2"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</row>
    <row r="7875" spans="11:23" x14ac:dyDescent="0.2"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</row>
    <row r="7876" spans="11:23" x14ac:dyDescent="0.2"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</row>
    <row r="7877" spans="11:23" x14ac:dyDescent="0.2"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13"/>
      <c r="W7877" s="13"/>
    </row>
    <row r="7878" spans="11:23" x14ac:dyDescent="0.2"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</row>
    <row r="7879" spans="11:23" x14ac:dyDescent="0.2"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</row>
    <row r="7880" spans="11:23" x14ac:dyDescent="0.2"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</row>
    <row r="7881" spans="11:23" x14ac:dyDescent="0.2"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</row>
    <row r="7882" spans="11:23" x14ac:dyDescent="0.2"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</row>
    <row r="7883" spans="11:23" x14ac:dyDescent="0.2">
      <c r="K7883" s="13"/>
      <c r="L7883" s="13"/>
      <c r="M7883" s="13"/>
      <c r="N7883" s="13"/>
      <c r="O7883" s="13"/>
      <c r="P7883" s="13"/>
      <c r="Q7883" s="13"/>
      <c r="R7883" s="13"/>
      <c r="S7883" s="13"/>
      <c r="T7883" s="13"/>
      <c r="U7883" s="13"/>
      <c r="V7883" s="13"/>
      <c r="W7883" s="13"/>
    </row>
    <row r="7884" spans="11:23" x14ac:dyDescent="0.2"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</row>
    <row r="7885" spans="11:23" x14ac:dyDescent="0.2"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</row>
    <row r="7886" spans="11:23" x14ac:dyDescent="0.2"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</row>
    <row r="7887" spans="11:23" x14ac:dyDescent="0.2"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</row>
    <row r="7888" spans="11:23" x14ac:dyDescent="0.2"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</row>
    <row r="7889" spans="11:23" x14ac:dyDescent="0.2"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</row>
    <row r="7890" spans="11:23" x14ac:dyDescent="0.2"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</row>
    <row r="7891" spans="11:23" x14ac:dyDescent="0.2"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</row>
    <row r="7892" spans="11:23" x14ac:dyDescent="0.2"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</row>
    <row r="7893" spans="11:23" x14ac:dyDescent="0.2"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</row>
    <row r="7894" spans="11:23" x14ac:dyDescent="0.2"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</row>
    <row r="7895" spans="11:23" x14ac:dyDescent="0.2"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</row>
    <row r="7896" spans="11:23" x14ac:dyDescent="0.2"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</row>
    <row r="7897" spans="11:23" x14ac:dyDescent="0.2"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</row>
    <row r="7898" spans="11:23" x14ac:dyDescent="0.2"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</row>
    <row r="7899" spans="11:23" x14ac:dyDescent="0.2"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</row>
    <row r="7900" spans="11:23" x14ac:dyDescent="0.2"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</row>
    <row r="7901" spans="11:23" x14ac:dyDescent="0.2"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</row>
    <row r="7902" spans="11:23" x14ac:dyDescent="0.2"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</row>
    <row r="7903" spans="11:23" x14ac:dyDescent="0.2"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</row>
    <row r="7904" spans="11:23" x14ac:dyDescent="0.2"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</row>
    <row r="7905" spans="11:23" x14ac:dyDescent="0.2"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</row>
    <row r="7906" spans="11:23" x14ac:dyDescent="0.2"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</row>
    <row r="7907" spans="11:23" x14ac:dyDescent="0.2"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</row>
    <row r="7908" spans="11:23" x14ac:dyDescent="0.2"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</row>
    <row r="7909" spans="11:23" x14ac:dyDescent="0.2"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</row>
    <row r="7910" spans="11:23" x14ac:dyDescent="0.2"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</row>
    <row r="7911" spans="11:23" x14ac:dyDescent="0.2">
      <c r="K7911" s="13"/>
      <c r="L7911" s="13"/>
      <c r="M7911" s="13"/>
      <c r="N7911" s="13"/>
      <c r="O7911" s="13"/>
      <c r="P7911" s="13"/>
      <c r="Q7911" s="13"/>
      <c r="R7911" s="13"/>
      <c r="S7911" s="13"/>
      <c r="T7911" s="13"/>
      <c r="U7911" s="13"/>
      <c r="V7911" s="13"/>
      <c r="W7911" s="13"/>
    </row>
    <row r="7912" spans="11:23" x14ac:dyDescent="0.2"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</row>
    <row r="7913" spans="11:23" x14ac:dyDescent="0.2"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</row>
    <row r="7914" spans="11:23" x14ac:dyDescent="0.2"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</row>
    <row r="7915" spans="11:23" x14ac:dyDescent="0.2"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</row>
    <row r="7916" spans="11:23" x14ac:dyDescent="0.2"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</row>
    <row r="7917" spans="11:23" x14ac:dyDescent="0.2"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</row>
    <row r="7918" spans="11:23" x14ac:dyDescent="0.2">
      <c r="K7918" s="13"/>
      <c r="L7918" s="13"/>
      <c r="M7918" s="13"/>
      <c r="N7918" s="13"/>
      <c r="O7918" s="13"/>
      <c r="P7918" s="13"/>
      <c r="Q7918" s="13"/>
      <c r="R7918" s="13"/>
      <c r="S7918" s="13"/>
      <c r="T7918" s="13"/>
      <c r="U7918" s="13"/>
      <c r="V7918" s="13"/>
      <c r="W7918" s="13"/>
    </row>
    <row r="7919" spans="11:23" x14ac:dyDescent="0.2"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</row>
    <row r="7920" spans="11:23" x14ac:dyDescent="0.2">
      <c r="K7920" s="13"/>
      <c r="L7920" s="13"/>
      <c r="M7920" s="13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</row>
    <row r="7921" spans="11:23" x14ac:dyDescent="0.2"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</row>
    <row r="7922" spans="11:23" x14ac:dyDescent="0.2"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</row>
    <row r="7923" spans="11:23" x14ac:dyDescent="0.2"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</row>
    <row r="7924" spans="11:23" x14ac:dyDescent="0.2"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</row>
    <row r="7925" spans="11:23" x14ac:dyDescent="0.2"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</row>
    <row r="7926" spans="11:23" x14ac:dyDescent="0.2"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</row>
    <row r="7927" spans="11:23" x14ac:dyDescent="0.2"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</row>
    <row r="7928" spans="11:23" x14ac:dyDescent="0.2"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</row>
    <row r="7929" spans="11:23" x14ac:dyDescent="0.2"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</row>
    <row r="7930" spans="11:23" x14ac:dyDescent="0.2"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</row>
    <row r="7931" spans="11:23" x14ac:dyDescent="0.2"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</row>
    <row r="7932" spans="11:23" x14ac:dyDescent="0.2"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</row>
    <row r="7933" spans="11:23" x14ac:dyDescent="0.2"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</row>
    <row r="7934" spans="11:23" x14ac:dyDescent="0.2"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</row>
    <row r="7935" spans="11:23" x14ac:dyDescent="0.2"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</row>
    <row r="7936" spans="11:23" x14ac:dyDescent="0.2"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</row>
    <row r="7937" spans="11:23" x14ac:dyDescent="0.2"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</row>
    <row r="7938" spans="11:23" x14ac:dyDescent="0.2"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</row>
    <row r="7939" spans="11:23" x14ac:dyDescent="0.2"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</row>
    <row r="7940" spans="11:23" x14ac:dyDescent="0.2"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</row>
    <row r="7941" spans="11:23" x14ac:dyDescent="0.2"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</row>
    <row r="7942" spans="11:23" x14ac:dyDescent="0.2"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</row>
    <row r="7943" spans="11:23" x14ac:dyDescent="0.2"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</row>
    <row r="7944" spans="11:23" x14ac:dyDescent="0.2"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</row>
    <row r="7945" spans="11:23" x14ac:dyDescent="0.2"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</row>
    <row r="7946" spans="11:23" x14ac:dyDescent="0.2"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</row>
    <row r="7947" spans="11:23" x14ac:dyDescent="0.2"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</row>
    <row r="7948" spans="11:23" x14ac:dyDescent="0.2"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</row>
    <row r="7949" spans="11:23" x14ac:dyDescent="0.2"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</row>
    <row r="7950" spans="11:23" x14ac:dyDescent="0.2"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</row>
    <row r="7951" spans="11:23" x14ac:dyDescent="0.2"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</row>
    <row r="7952" spans="11:23" x14ac:dyDescent="0.2"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</row>
    <row r="7953" spans="11:23" x14ac:dyDescent="0.2"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</row>
    <row r="7954" spans="11:23" x14ac:dyDescent="0.2"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</row>
    <row r="7955" spans="11:23" x14ac:dyDescent="0.2"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</row>
    <row r="7956" spans="11:23" x14ac:dyDescent="0.2"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</row>
    <row r="7957" spans="11:23" x14ac:dyDescent="0.2"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</row>
    <row r="7958" spans="11:23" x14ac:dyDescent="0.2"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</row>
    <row r="7959" spans="11:23" x14ac:dyDescent="0.2"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</row>
    <row r="7960" spans="11:23" x14ac:dyDescent="0.2"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</row>
    <row r="7961" spans="11:23" x14ac:dyDescent="0.2"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</row>
    <row r="7962" spans="11:23" x14ac:dyDescent="0.2"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13"/>
      <c r="V7962" s="13"/>
      <c r="W7962" s="13"/>
    </row>
    <row r="7963" spans="11:23" x14ac:dyDescent="0.2"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</row>
    <row r="7964" spans="11:23" x14ac:dyDescent="0.2"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</row>
    <row r="7965" spans="11:23" x14ac:dyDescent="0.2"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</row>
    <row r="7966" spans="11:23" x14ac:dyDescent="0.2"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</row>
    <row r="7967" spans="11:23" x14ac:dyDescent="0.2">
      <c r="K7967" s="13"/>
      <c r="L7967" s="13"/>
      <c r="M7967" s="13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</row>
    <row r="7968" spans="11:23" x14ac:dyDescent="0.2"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</row>
    <row r="7969" spans="11:23" x14ac:dyDescent="0.2"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</row>
    <row r="7970" spans="11:23" x14ac:dyDescent="0.2"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</row>
    <row r="7971" spans="11:23" x14ac:dyDescent="0.2"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</row>
    <row r="7972" spans="11:23" x14ac:dyDescent="0.2"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</row>
    <row r="7973" spans="11:23" x14ac:dyDescent="0.2"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</row>
    <row r="7974" spans="11:23" x14ac:dyDescent="0.2"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</row>
    <row r="7975" spans="11:23" x14ac:dyDescent="0.2"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</row>
    <row r="7976" spans="11:23" x14ac:dyDescent="0.2"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</row>
    <row r="7977" spans="11:23" x14ac:dyDescent="0.2"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</row>
    <row r="7978" spans="11:23" x14ac:dyDescent="0.2"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</row>
    <row r="7979" spans="11:23" x14ac:dyDescent="0.2"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</row>
    <row r="7980" spans="11:23" x14ac:dyDescent="0.2"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</row>
    <row r="7981" spans="11:23" x14ac:dyDescent="0.2"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</row>
    <row r="7982" spans="11:23" x14ac:dyDescent="0.2"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</row>
    <row r="7983" spans="11:23" x14ac:dyDescent="0.2"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</row>
    <row r="7984" spans="11:23" x14ac:dyDescent="0.2"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</row>
    <row r="7985" spans="11:23" x14ac:dyDescent="0.2"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</row>
    <row r="7986" spans="11:23" x14ac:dyDescent="0.2"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</row>
    <row r="7987" spans="11:23" x14ac:dyDescent="0.2"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</row>
    <row r="7988" spans="11:23" x14ac:dyDescent="0.2"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</row>
    <row r="7989" spans="11:23" x14ac:dyDescent="0.2"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</row>
    <row r="7990" spans="11:23" x14ac:dyDescent="0.2"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</row>
    <row r="7991" spans="11:23" x14ac:dyDescent="0.2">
      <c r="K7991" s="13"/>
      <c r="L7991" s="13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</row>
    <row r="7992" spans="11:23" x14ac:dyDescent="0.2">
      <c r="K7992" s="13"/>
      <c r="L7992" s="13"/>
      <c r="M7992" s="13"/>
      <c r="N7992" s="13"/>
      <c r="O7992" s="13"/>
      <c r="P7992" s="13"/>
      <c r="Q7992" s="13"/>
      <c r="R7992" s="13"/>
      <c r="S7992" s="13"/>
      <c r="T7992" s="13"/>
      <c r="U7992" s="13"/>
      <c r="V7992" s="13"/>
      <c r="W7992" s="13"/>
    </row>
    <row r="7993" spans="11:23" x14ac:dyDescent="0.2"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</row>
    <row r="7994" spans="11:23" x14ac:dyDescent="0.2">
      <c r="K7994" s="13"/>
      <c r="L7994" s="13"/>
      <c r="M7994" s="13"/>
      <c r="N7994" s="13"/>
      <c r="O7994" s="13"/>
      <c r="P7994" s="13"/>
      <c r="Q7994" s="13"/>
      <c r="R7994" s="13"/>
      <c r="S7994" s="13"/>
      <c r="T7994" s="13"/>
      <c r="U7994" s="13"/>
      <c r="V7994" s="13"/>
      <c r="W7994" s="13"/>
    </row>
    <row r="7995" spans="11:23" x14ac:dyDescent="0.2"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</row>
    <row r="7996" spans="11:23" x14ac:dyDescent="0.2"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</row>
    <row r="7997" spans="11:23" x14ac:dyDescent="0.2"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</row>
    <row r="7998" spans="11:23" x14ac:dyDescent="0.2"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</row>
    <row r="7999" spans="11:23" x14ac:dyDescent="0.2"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</row>
    <row r="8000" spans="11:23" x14ac:dyDescent="0.2">
      <c r="K8000" s="13"/>
      <c r="L8000" s="13"/>
      <c r="M8000" s="13"/>
      <c r="N8000" s="13"/>
      <c r="O8000" s="13"/>
      <c r="P8000" s="13"/>
      <c r="Q8000" s="13"/>
      <c r="R8000" s="13"/>
      <c r="S8000" s="13"/>
      <c r="T8000" s="13"/>
      <c r="U8000" s="13"/>
      <c r="V8000" s="13"/>
      <c r="W8000" s="13"/>
    </row>
    <row r="8001" spans="11:23" x14ac:dyDescent="0.2"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</row>
    <row r="8002" spans="11:23" x14ac:dyDescent="0.2"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</row>
    <row r="8003" spans="11:23" x14ac:dyDescent="0.2"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</row>
    <row r="8004" spans="11:23" x14ac:dyDescent="0.2"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</row>
    <row r="8005" spans="11:23" x14ac:dyDescent="0.2"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</row>
    <row r="8006" spans="11:23" x14ac:dyDescent="0.2"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</row>
    <row r="8007" spans="11:23" x14ac:dyDescent="0.2"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</row>
    <row r="8008" spans="11:23" x14ac:dyDescent="0.2"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</row>
    <row r="8009" spans="11:23" x14ac:dyDescent="0.2"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</row>
    <row r="8010" spans="11:23" x14ac:dyDescent="0.2"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</row>
    <row r="8011" spans="11:23" x14ac:dyDescent="0.2"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</row>
    <row r="8012" spans="11:23" x14ac:dyDescent="0.2"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</row>
    <row r="8013" spans="11:23" x14ac:dyDescent="0.2"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</row>
    <row r="8014" spans="11:23" x14ac:dyDescent="0.2">
      <c r="R8014" s="13"/>
      <c r="S8014" s="13"/>
      <c r="T8014" s="13"/>
      <c r="U8014" s="13"/>
      <c r="V8014" s="13"/>
      <c r="W8014" s="13"/>
    </row>
    <row r="8015" spans="11:23" x14ac:dyDescent="0.2">
      <c r="R8015" s="13"/>
      <c r="S8015" s="13"/>
      <c r="T8015" s="13"/>
      <c r="U8015" s="13"/>
      <c r="V8015" s="13"/>
      <c r="W8015" s="13"/>
    </row>
    <row r="8016" spans="11:23" x14ac:dyDescent="0.2">
      <c r="R8016" s="13"/>
      <c r="S8016" s="13"/>
      <c r="T8016" s="13"/>
      <c r="U8016" s="13"/>
      <c r="V8016" s="13"/>
      <c r="W8016" s="13"/>
    </row>
    <row r="8017" spans="18:23" x14ac:dyDescent="0.2">
      <c r="R8017" s="13"/>
      <c r="S8017" s="13"/>
      <c r="T8017" s="13"/>
      <c r="U8017" s="13"/>
      <c r="V8017" s="13"/>
      <c r="W8017" s="13"/>
    </row>
    <row r="8018" spans="18:23" x14ac:dyDescent="0.2">
      <c r="R8018" s="13"/>
      <c r="S8018" s="13"/>
      <c r="T8018" s="13"/>
      <c r="U8018" s="13"/>
      <c r="V8018" s="13"/>
      <c r="W8018" s="13"/>
    </row>
    <row r="8019" spans="18:23" x14ac:dyDescent="0.2">
      <c r="R8019" s="13"/>
      <c r="S8019" s="13"/>
      <c r="T8019" s="13"/>
      <c r="U8019" s="13"/>
      <c r="V8019" s="13"/>
      <c r="W8019" s="13"/>
    </row>
    <row r="8020" spans="18:23" x14ac:dyDescent="0.2">
      <c r="R8020" s="13"/>
      <c r="S8020" s="13"/>
      <c r="T8020" s="13"/>
      <c r="U8020" s="13"/>
      <c r="V8020" s="13"/>
      <c r="W8020" s="13"/>
    </row>
    <row r="8021" spans="18:23" x14ac:dyDescent="0.2">
      <c r="R8021" s="13"/>
      <c r="S8021" s="13"/>
      <c r="T8021" s="13"/>
      <c r="U8021" s="13"/>
      <c r="V8021" s="13"/>
      <c r="W8021" s="13"/>
    </row>
    <row r="8022" spans="18:23" x14ac:dyDescent="0.2">
      <c r="R8022" s="13"/>
      <c r="S8022" s="13"/>
      <c r="T8022" s="13"/>
      <c r="U8022" s="13"/>
      <c r="V8022" s="13"/>
      <c r="W8022" s="13"/>
    </row>
    <row r="8023" spans="18:23" x14ac:dyDescent="0.2">
      <c r="R8023" s="13"/>
      <c r="S8023" s="13"/>
      <c r="T8023" s="13"/>
      <c r="U8023" s="13"/>
      <c r="V8023" s="13"/>
      <c r="W8023" s="13"/>
    </row>
    <row r="8024" spans="18:23" x14ac:dyDescent="0.2">
      <c r="R8024" s="13"/>
      <c r="S8024" s="13"/>
      <c r="T8024" s="13"/>
      <c r="U8024" s="13"/>
      <c r="V8024" s="13"/>
      <c r="W8024" s="13"/>
    </row>
    <row r="8025" spans="18:23" x14ac:dyDescent="0.2">
      <c r="R8025" s="13"/>
      <c r="S8025" s="13"/>
      <c r="T8025" s="13"/>
      <c r="U8025" s="13"/>
      <c r="V8025" s="13"/>
      <c r="W8025" s="13"/>
    </row>
    <row r="8026" spans="18:23" x14ac:dyDescent="0.2">
      <c r="R8026" s="13"/>
      <c r="S8026" s="13"/>
      <c r="T8026" s="13"/>
      <c r="U8026" s="13"/>
      <c r="V8026" s="13"/>
      <c r="W8026" s="13"/>
    </row>
    <row r="8027" spans="18:23" x14ac:dyDescent="0.2">
      <c r="R8027" s="13"/>
      <c r="S8027" s="13"/>
      <c r="T8027" s="13"/>
      <c r="U8027" s="13"/>
      <c r="V8027" s="13"/>
      <c r="W8027" s="13"/>
    </row>
    <row r="8028" spans="18:23" x14ac:dyDescent="0.2">
      <c r="R8028" s="13"/>
      <c r="S8028" s="13"/>
      <c r="T8028" s="13"/>
      <c r="U8028" s="13"/>
      <c r="V8028" s="13"/>
      <c r="W8028" s="13"/>
    </row>
    <row r="8029" spans="18:23" x14ac:dyDescent="0.2">
      <c r="R8029" s="13"/>
      <c r="S8029" s="13"/>
      <c r="T8029" s="13"/>
      <c r="U8029" s="13"/>
      <c r="V8029" s="13"/>
      <c r="W8029" s="13"/>
    </row>
    <row r="8030" spans="18:23" x14ac:dyDescent="0.2">
      <c r="R8030" s="13"/>
      <c r="S8030" s="13"/>
      <c r="T8030" s="13"/>
      <c r="U8030" s="13"/>
      <c r="V8030" s="13"/>
      <c r="W8030" s="13"/>
    </row>
    <row r="8031" spans="18:23" x14ac:dyDescent="0.2">
      <c r="R8031" s="13"/>
      <c r="S8031" s="13"/>
      <c r="T8031" s="13"/>
      <c r="U8031" s="13"/>
      <c r="V8031" s="13"/>
      <c r="W8031" s="13"/>
    </row>
    <row r="8032" spans="18:23" x14ac:dyDescent="0.2">
      <c r="R8032" s="13"/>
      <c r="S8032" s="13"/>
      <c r="T8032" s="13"/>
      <c r="U8032" s="13"/>
      <c r="V8032" s="13"/>
      <c r="W8032" s="13"/>
    </row>
    <row r="8033" spans="18:23" x14ac:dyDescent="0.2">
      <c r="R8033" s="13"/>
      <c r="S8033" s="13"/>
      <c r="T8033" s="13"/>
      <c r="U8033" s="13"/>
      <c r="V8033" s="13"/>
      <c r="W8033" s="13"/>
    </row>
    <row r="8034" spans="18:23" x14ac:dyDescent="0.2">
      <c r="R8034" s="13"/>
      <c r="S8034" s="13"/>
      <c r="T8034" s="13"/>
      <c r="U8034" s="13"/>
      <c r="V8034" s="13"/>
      <c r="W8034" s="13"/>
    </row>
    <row r="8035" spans="18:23" x14ac:dyDescent="0.2">
      <c r="R8035" s="13"/>
      <c r="S8035" s="13"/>
      <c r="T8035" s="13"/>
      <c r="U8035" s="13"/>
      <c r="V8035" s="13"/>
      <c r="W8035" s="13"/>
    </row>
    <row r="8036" spans="18:23" x14ac:dyDescent="0.2">
      <c r="R8036" s="13"/>
      <c r="S8036" s="13"/>
      <c r="T8036" s="13"/>
      <c r="U8036" s="13"/>
      <c r="V8036" s="13"/>
      <c r="W8036" s="13"/>
    </row>
    <row r="8037" spans="18:23" x14ac:dyDescent="0.2">
      <c r="R8037" s="13"/>
      <c r="S8037" s="13"/>
      <c r="T8037" s="13"/>
      <c r="U8037" s="13"/>
      <c r="V8037" s="13"/>
      <c r="W8037" s="13"/>
    </row>
    <row r="8038" spans="18:23" x14ac:dyDescent="0.2">
      <c r="R8038" s="13"/>
      <c r="S8038" s="13"/>
      <c r="T8038" s="13"/>
      <c r="U8038" s="13"/>
      <c r="V8038" s="13"/>
      <c r="W8038" s="13"/>
    </row>
    <row r="8039" spans="18:23" x14ac:dyDescent="0.2">
      <c r="R8039" s="13"/>
      <c r="S8039" s="13"/>
      <c r="T8039" s="13"/>
      <c r="U8039" s="13"/>
      <c r="V8039" s="13"/>
      <c r="W8039" s="13"/>
    </row>
    <row r="8040" spans="18:23" x14ac:dyDescent="0.2">
      <c r="R8040" s="13"/>
      <c r="S8040" s="13"/>
      <c r="T8040" s="13"/>
      <c r="U8040" s="13"/>
      <c r="V8040" s="13"/>
      <c r="W8040" s="13"/>
    </row>
    <row r="8041" spans="18:23" x14ac:dyDescent="0.2">
      <c r="R8041" s="13"/>
      <c r="S8041" s="13"/>
      <c r="T8041" s="13"/>
      <c r="U8041" s="13"/>
      <c r="V8041" s="13"/>
      <c r="W8041" s="13"/>
    </row>
    <row r="8042" spans="18:23" x14ac:dyDescent="0.2">
      <c r="R8042" s="13"/>
      <c r="S8042" s="13"/>
      <c r="T8042" s="13"/>
      <c r="U8042" s="13"/>
      <c r="V8042" s="13"/>
      <c r="W8042" s="13"/>
    </row>
    <row r="8043" spans="18:23" x14ac:dyDescent="0.2">
      <c r="R8043" s="13"/>
      <c r="S8043" s="13"/>
      <c r="T8043" s="13"/>
      <c r="U8043" s="13"/>
      <c r="V8043" s="13"/>
      <c r="W8043" s="13"/>
    </row>
    <row r="8044" spans="18:23" x14ac:dyDescent="0.2">
      <c r="R8044" s="13"/>
      <c r="S8044" s="13"/>
      <c r="T8044" s="13"/>
      <c r="U8044" s="13"/>
      <c r="V8044" s="13"/>
      <c r="W8044" s="13"/>
    </row>
    <row r="8045" spans="18:23" x14ac:dyDescent="0.2">
      <c r="R8045" s="13"/>
      <c r="S8045" s="13"/>
      <c r="T8045" s="13"/>
      <c r="U8045" s="13"/>
      <c r="V8045" s="13"/>
      <c r="W8045" s="13"/>
    </row>
    <row r="8046" spans="18:23" x14ac:dyDescent="0.2">
      <c r="R8046" s="13"/>
      <c r="S8046" s="13"/>
      <c r="T8046" s="13"/>
      <c r="U8046" s="13"/>
      <c r="V8046" s="13"/>
      <c r="W8046" s="13"/>
    </row>
    <row r="8047" spans="18:23" x14ac:dyDescent="0.2">
      <c r="R8047" s="13"/>
      <c r="S8047" s="13"/>
      <c r="T8047" s="13"/>
      <c r="U8047" s="13"/>
      <c r="V8047" s="13"/>
      <c r="W8047" s="13"/>
    </row>
    <row r="8048" spans="18:23" x14ac:dyDescent="0.2">
      <c r="R8048" s="13"/>
      <c r="S8048" s="13"/>
      <c r="T8048" s="13"/>
      <c r="U8048" s="13"/>
      <c r="V8048" s="13"/>
      <c r="W8048" s="13"/>
    </row>
    <row r="8049" spans="18:23" x14ac:dyDescent="0.2">
      <c r="R8049" s="13"/>
      <c r="S8049" s="13"/>
      <c r="T8049" s="13"/>
      <c r="U8049" s="13"/>
      <c r="V8049" s="13"/>
      <c r="W8049" s="13"/>
    </row>
    <row r="8050" spans="18:23" x14ac:dyDescent="0.2">
      <c r="R8050" s="13"/>
      <c r="S8050" s="13"/>
      <c r="T8050" s="13"/>
      <c r="U8050" s="13"/>
      <c r="V8050" s="13"/>
      <c r="W8050" s="13"/>
    </row>
    <row r="8051" spans="18:23" x14ac:dyDescent="0.2">
      <c r="R8051" s="13"/>
      <c r="S8051" s="13"/>
      <c r="T8051" s="13"/>
      <c r="U8051" s="13"/>
      <c r="V8051" s="13"/>
      <c r="W8051" s="13"/>
    </row>
    <row r="8052" spans="18:23" x14ac:dyDescent="0.2">
      <c r="R8052" s="13"/>
      <c r="S8052" s="13"/>
      <c r="T8052" s="13"/>
      <c r="U8052" s="13"/>
      <c r="V8052" s="13"/>
      <c r="W8052" s="13"/>
    </row>
    <row r="8053" spans="18:23" x14ac:dyDescent="0.2">
      <c r="R8053" s="13"/>
      <c r="S8053" s="13"/>
      <c r="T8053" s="13"/>
      <c r="U8053" s="13"/>
      <c r="V8053" s="13"/>
      <c r="W8053" s="13"/>
    </row>
    <row r="8054" spans="18:23" x14ac:dyDescent="0.2">
      <c r="R8054" s="13"/>
      <c r="S8054" s="13"/>
      <c r="T8054" s="13"/>
      <c r="U8054" s="13"/>
      <c r="V8054" s="13"/>
      <c r="W8054" s="13"/>
    </row>
    <row r="8055" spans="18:23" x14ac:dyDescent="0.2">
      <c r="R8055" s="13"/>
      <c r="S8055" s="13"/>
      <c r="T8055" s="13"/>
      <c r="U8055" s="13"/>
      <c r="V8055" s="13"/>
      <c r="W8055" s="13"/>
    </row>
    <row r="8056" spans="18:23" x14ac:dyDescent="0.2">
      <c r="R8056" s="13"/>
      <c r="S8056" s="13"/>
      <c r="T8056" s="13"/>
      <c r="U8056" s="13"/>
      <c r="V8056" s="13"/>
      <c r="W8056" s="13"/>
    </row>
    <row r="8057" spans="18:23" x14ac:dyDescent="0.2">
      <c r="R8057" s="13"/>
      <c r="S8057" s="13"/>
      <c r="T8057" s="13"/>
      <c r="U8057" s="13"/>
      <c r="V8057" s="13"/>
      <c r="W8057" s="13"/>
    </row>
    <row r="8058" spans="18:23" x14ac:dyDescent="0.2">
      <c r="R8058" s="13"/>
      <c r="S8058" s="13"/>
      <c r="T8058" s="13"/>
      <c r="U8058" s="13"/>
      <c r="V8058" s="13"/>
      <c r="W8058" s="13"/>
    </row>
    <row r="8059" spans="18:23" x14ac:dyDescent="0.2">
      <c r="R8059" s="13"/>
      <c r="S8059" s="13"/>
      <c r="T8059" s="13"/>
      <c r="U8059" s="13"/>
      <c r="V8059" s="13"/>
      <c r="W8059" s="13"/>
    </row>
    <row r="8060" spans="18:23" x14ac:dyDescent="0.2">
      <c r="R8060" s="13"/>
      <c r="S8060" s="13"/>
      <c r="T8060" s="13"/>
      <c r="U8060" s="13"/>
      <c r="V8060" s="13"/>
      <c r="W8060" s="13"/>
    </row>
    <row r="8061" spans="18:23" x14ac:dyDescent="0.2">
      <c r="R8061" s="13"/>
      <c r="S8061" s="13"/>
      <c r="T8061" s="13"/>
      <c r="U8061" s="13"/>
      <c r="V8061" s="13"/>
      <c r="W8061" s="13"/>
    </row>
    <row r="8062" spans="18:23" x14ac:dyDescent="0.2">
      <c r="R8062" s="13"/>
      <c r="S8062" s="13"/>
      <c r="T8062" s="13"/>
      <c r="U8062" s="13"/>
      <c r="V8062" s="13"/>
      <c r="W8062" s="13"/>
    </row>
    <row r="8063" spans="18:23" x14ac:dyDescent="0.2">
      <c r="R8063" s="13"/>
      <c r="S8063" s="13"/>
      <c r="T8063" s="13"/>
      <c r="U8063" s="13"/>
      <c r="V8063" s="13"/>
      <c r="W8063" s="13"/>
    </row>
    <row r="8064" spans="18:23" x14ac:dyDescent="0.2">
      <c r="R8064" s="13"/>
      <c r="S8064" s="13"/>
      <c r="T8064" s="13"/>
      <c r="U8064" s="13"/>
      <c r="V8064" s="13"/>
      <c r="W8064" s="13"/>
    </row>
    <row r="8065" spans="18:23" x14ac:dyDescent="0.2">
      <c r="R8065" s="13"/>
      <c r="S8065" s="13"/>
      <c r="T8065" s="13"/>
      <c r="U8065" s="13"/>
      <c r="V8065" s="13"/>
      <c r="W8065" s="13"/>
    </row>
    <row r="8066" spans="18:23" x14ac:dyDescent="0.2">
      <c r="R8066" s="13"/>
      <c r="S8066" s="13"/>
      <c r="T8066" s="13"/>
      <c r="U8066" s="13"/>
      <c r="V8066" s="13"/>
      <c r="W8066" s="13"/>
    </row>
    <row r="8067" spans="18:23" x14ac:dyDescent="0.2">
      <c r="R8067" s="13"/>
      <c r="S8067" s="13"/>
      <c r="T8067" s="13"/>
      <c r="U8067" s="13"/>
      <c r="V8067" s="13"/>
      <c r="W8067" s="13"/>
    </row>
    <row r="8068" spans="18:23" x14ac:dyDescent="0.2">
      <c r="R8068" s="13"/>
      <c r="S8068" s="13"/>
      <c r="T8068" s="13"/>
      <c r="U8068" s="13"/>
      <c r="V8068" s="13"/>
      <c r="W8068" s="13"/>
    </row>
    <row r="8069" spans="18:23" x14ac:dyDescent="0.2">
      <c r="R8069" s="13"/>
      <c r="S8069" s="13"/>
      <c r="T8069" s="13"/>
      <c r="U8069" s="13"/>
      <c r="V8069" s="13"/>
      <c r="W8069" s="13"/>
    </row>
    <row r="8070" spans="18:23" x14ac:dyDescent="0.2">
      <c r="R8070" s="13"/>
      <c r="S8070" s="13"/>
      <c r="T8070" s="13"/>
      <c r="U8070" s="13"/>
      <c r="V8070" s="13"/>
      <c r="W8070" s="13"/>
    </row>
    <row r="8071" spans="18:23" x14ac:dyDescent="0.2">
      <c r="R8071" s="13"/>
      <c r="S8071" s="13"/>
      <c r="T8071" s="13"/>
      <c r="U8071" s="13"/>
      <c r="V8071" s="13"/>
      <c r="W8071" s="13"/>
    </row>
    <row r="8072" spans="18:23" x14ac:dyDescent="0.2">
      <c r="R8072" s="13"/>
      <c r="S8072" s="13"/>
      <c r="T8072" s="13"/>
      <c r="U8072" s="13"/>
      <c r="V8072" s="13"/>
      <c r="W8072" s="13"/>
    </row>
    <row r="8073" spans="18:23" x14ac:dyDescent="0.2">
      <c r="R8073" s="13"/>
      <c r="S8073" s="13"/>
      <c r="T8073" s="13"/>
      <c r="U8073" s="13"/>
      <c r="V8073" s="13"/>
      <c r="W8073" s="13"/>
    </row>
    <row r="8074" spans="18:23" x14ac:dyDescent="0.2">
      <c r="R8074" s="13"/>
      <c r="S8074" s="13"/>
      <c r="T8074" s="13"/>
      <c r="U8074" s="13"/>
      <c r="V8074" s="13"/>
      <c r="W8074" s="13"/>
    </row>
    <row r="8075" spans="18:23" x14ac:dyDescent="0.2">
      <c r="R8075" s="13"/>
      <c r="S8075" s="13"/>
      <c r="T8075" s="13"/>
      <c r="U8075" s="13"/>
      <c r="V8075" s="13"/>
      <c r="W8075" s="13"/>
    </row>
    <row r="8076" spans="18:23" x14ac:dyDescent="0.2">
      <c r="R8076" s="13"/>
      <c r="S8076" s="13"/>
      <c r="T8076" s="13"/>
      <c r="U8076" s="13"/>
      <c r="V8076" s="13"/>
      <c r="W8076" s="13"/>
    </row>
    <row r="8077" spans="18:23" x14ac:dyDescent="0.2">
      <c r="R8077" s="13"/>
      <c r="S8077" s="13"/>
      <c r="T8077" s="13"/>
      <c r="U8077" s="13"/>
      <c r="V8077" s="13"/>
      <c r="W8077" s="13"/>
    </row>
    <row r="8078" spans="18:23" x14ac:dyDescent="0.2">
      <c r="R8078" s="13"/>
      <c r="S8078" s="13"/>
      <c r="T8078" s="13"/>
      <c r="U8078" s="13"/>
      <c r="V8078" s="13"/>
      <c r="W8078" s="13"/>
    </row>
    <row r="8079" spans="18:23" x14ac:dyDescent="0.2">
      <c r="R8079" s="13"/>
      <c r="S8079" s="13"/>
      <c r="T8079" s="13"/>
      <c r="U8079" s="13"/>
      <c r="V8079" s="13"/>
      <c r="W8079" s="13"/>
    </row>
    <row r="8080" spans="18:23" x14ac:dyDescent="0.2">
      <c r="R8080" s="13"/>
      <c r="S8080" s="13"/>
      <c r="T8080" s="13"/>
      <c r="U8080" s="13"/>
      <c r="V8080" s="13"/>
      <c r="W8080" s="13"/>
    </row>
    <row r="8081" spans="18:23" x14ac:dyDescent="0.2">
      <c r="R8081" s="13"/>
      <c r="S8081" s="13"/>
      <c r="T8081" s="13"/>
      <c r="U8081" s="13"/>
      <c r="V8081" s="13"/>
      <c r="W8081" s="13"/>
    </row>
    <row r="8082" spans="18:23" x14ac:dyDescent="0.2">
      <c r="R8082" s="13"/>
      <c r="S8082" s="13"/>
      <c r="T8082" s="13"/>
      <c r="U8082" s="13"/>
      <c r="V8082" s="13"/>
      <c r="W8082" s="13"/>
    </row>
    <row r="8083" spans="18:23" x14ac:dyDescent="0.2">
      <c r="R8083" s="13"/>
      <c r="S8083" s="13"/>
      <c r="T8083" s="13"/>
      <c r="U8083" s="13"/>
      <c r="V8083" s="13"/>
      <c r="W8083" s="13"/>
    </row>
    <row r="8084" spans="18:23" x14ac:dyDescent="0.2">
      <c r="R8084" s="13"/>
      <c r="S8084" s="13"/>
      <c r="T8084" s="13"/>
      <c r="U8084" s="13"/>
      <c r="V8084" s="13"/>
      <c r="W8084" s="13"/>
    </row>
    <row r="8085" spans="18:23" x14ac:dyDescent="0.2">
      <c r="R8085" s="13"/>
      <c r="S8085" s="13"/>
      <c r="T8085" s="13"/>
      <c r="U8085" s="13"/>
      <c r="V8085" s="13"/>
      <c r="W8085" s="13"/>
    </row>
    <row r="8086" spans="18:23" x14ac:dyDescent="0.2">
      <c r="R8086" s="13"/>
      <c r="S8086" s="13"/>
      <c r="T8086" s="13"/>
      <c r="U8086" s="13"/>
      <c r="V8086" s="13"/>
      <c r="W8086" s="13"/>
    </row>
    <row r="8087" spans="18:23" x14ac:dyDescent="0.2">
      <c r="R8087" s="13"/>
      <c r="S8087" s="13"/>
      <c r="T8087" s="13"/>
      <c r="U8087" s="13"/>
      <c r="V8087" s="13"/>
      <c r="W8087" s="13"/>
    </row>
    <row r="8088" spans="18:23" x14ac:dyDescent="0.2">
      <c r="R8088" s="13"/>
      <c r="S8088" s="13"/>
      <c r="T8088" s="13"/>
      <c r="U8088" s="13"/>
      <c r="V8088" s="13"/>
      <c r="W8088" s="13"/>
    </row>
    <row r="8089" spans="18:23" x14ac:dyDescent="0.2">
      <c r="R8089" s="13"/>
      <c r="S8089" s="13"/>
      <c r="T8089" s="13"/>
      <c r="U8089" s="13"/>
      <c r="V8089" s="13"/>
      <c r="W8089" s="13"/>
    </row>
    <row r="8090" spans="18:23" x14ac:dyDescent="0.2">
      <c r="R8090" s="13"/>
      <c r="S8090" s="13"/>
      <c r="T8090" s="13"/>
      <c r="U8090" s="13"/>
      <c r="V8090" s="13"/>
      <c r="W8090" s="13"/>
    </row>
    <row r="8091" spans="18:23" x14ac:dyDescent="0.2">
      <c r="R8091" s="13"/>
      <c r="S8091" s="13"/>
      <c r="T8091" s="13"/>
      <c r="U8091" s="13"/>
      <c r="V8091" s="13"/>
      <c r="W8091" s="13"/>
    </row>
    <row r="8092" spans="18:23" x14ac:dyDescent="0.2">
      <c r="R8092" s="13"/>
      <c r="S8092" s="13"/>
      <c r="T8092" s="13"/>
      <c r="U8092" s="13"/>
      <c r="V8092" s="13"/>
      <c r="W8092" s="13"/>
    </row>
    <row r="8093" spans="18:23" x14ac:dyDescent="0.2">
      <c r="R8093" s="13"/>
      <c r="S8093" s="13"/>
      <c r="T8093" s="13"/>
      <c r="U8093" s="13"/>
      <c r="V8093" s="13"/>
      <c r="W8093" s="13"/>
    </row>
    <row r="8094" spans="18:23" x14ac:dyDescent="0.2">
      <c r="R8094" s="13"/>
      <c r="S8094" s="13"/>
      <c r="T8094" s="13"/>
      <c r="U8094" s="13"/>
      <c r="V8094" s="13"/>
      <c r="W8094" s="13"/>
    </row>
    <row r="8095" spans="18:23" x14ac:dyDescent="0.2">
      <c r="R8095" s="13"/>
      <c r="S8095" s="13"/>
      <c r="T8095" s="13"/>
      <c r="U8095" s="13"/>
      <c r="V8095" s="13"/>
      <c r="W8095" s="13"/>
    </row>
    <row r="8096" spans="18:23" x14ac:dyDescent="0.2">
      <c r="R8096" s="13"/>
      <c r="S8096" s="13"/>
      <c r="T8096" s="13"/>
      <c r="U8096" s="13"/>
      <c r="V8096" s="13"/>
      <c r="W8096" s="13"/>
    </row>
    <row r="8097" spans="18:23" x14ac:dyDescent="0.2">
      <c r="R8097" s="13"/>
      <c r="S8097" s="13"/>
      <c r="T8097" s="13"/>
      <c r="U8097" s="13"/>
      <c r="V8097" s="13"/>
      <c r="W8097" s="13"/>
    </row>
    <row r="8098" spans="18:23" x14ac:dyDescent="0.2">
      <c r="R8098" s="13"/>
      <c r="S8098" s="13"/>
      <c r="T8098" s="13"/>
      <c r="U8098" s="13"/>
      <c r="V8098" s="13"/>
      <c r="W8098" s="13"/>
    </row>
    <row r="8099" spans="18:23" x14ac:dyDescent="0.2">
      <c r="R8099" s="13"/>
      <c r="S8099" s="13"/>
      <c r="T8099" s="13"/>
      <c r="U8099" s="13"/>
      <c r="V8099" s="13"/>
      <c r="W8099" s="13"/>
    </row>
    <row r="8100" spans="18:23" x14ac:dyDescent="0.2">
      <c r="R8100" s="13"/>
      <c r="S8100" s="13"/>
      <c r="T8100" s="13"/>
      <c r="U8100" s="13"/>
      <c r="V8100" s="13"/>
      <c r="W8100" s="13"/>
    </row>
    <row r="8101" spans="18:23" x14ac:dyDescent="0.2">
      <c r="R8101" s="13"/>
      <c r="S8101" s="13"/>
      <c r="T8101" s="13"/>
      <c r="U8101" s="13"/>
      <c r="V8101" s="13"/>
      <c r="W8101" s="13"/>
    </row>
    <row r="8102" spans="18:23" x14ac:dyDescent="0.2">
      <c r="R8102" s="13"/>
      <c r="S8102" s="13"/>
      <c r="T8102" s="13"/>
      <c r="U8102" s="13"/>
      <c r="V8102" s="13"/>
      <c r="W8102" s="13"/>
    </row>
    <row r="8103" spans="18:23" x14ac:dyDescent="0.2">
      <c r="R8103" s="13"/>
      <c r="S8103" s="13"/>
      <c r="T8103" s="13"/>
      <c r="U8103" s="13"/>
      <c r="V8103" s="13"/>
      <c r="W8103" s="13"/>
    </row>
    <row r="8104" spans="18:23" x14ac:dyDescent="0.2">
      <c r="R8104" s="13"/>
      <c r="S8104" s="13"/>
      <c r="T8104" s="13"/>
      <c r="U8104" s="13"/>
      <c r="V8104" s="13"/>
      <c r="W8104" s="13"/>
    </row>
    <row r="8105" spans="18:23" x14ac:dyDescent="0.2">
      <c r="R8105" s="13"/>
      <c r="S8105" s="13"/>
      <c r="T8105" s="13"/>
      <c r="U8105" s="13"/>
      <c r="V8105" s="13"/>
      <c r="W8105" s="13"/>
    </row>
    <row r="8106" spans="18:23" x14ac:dyDescent="0.2">
      <c r="R8106" s="13"/>
      <c r="S8106" s="13"/>
      <c r="T8106" s="13"/>
      <c r="U8106" s="13"/>
      <c r="V8106" s="13"/>
      <c r="W8106" s="13"/>
    </row>
    <row r="8107" spans="18:23" x14ac:dyDescent="0.2">
      <c r="R8107" s="13"/>
      <c r="S8107" s="13"/>
      <c r="T8107" s="13"/>
      <c r="U8107" s="13"/>
      <c r="V8107" s="13"/>
      <c r="W8107" s="13"/>
    </row>
    <row r="8108" spans="18:23" x14ac:dyDescent="0.2">
      <c r="R8108" s="13"/>
      <c r="S8108" s="13"/>
      <c r="T8108" s="13"/>
      <c r="U8108" s="13"/>
      <c r="V8108" s="13"/>
      <c r="W8108" s="13"/>
    </row>
    <row r="8109" spans="18:23" x14ac:dyDescent="0.2">
      <c r="R8109" s="13"/>
      <c r="S8109" s="13"/>
      <c r="T8109" s="13"/>
      <c r="U8109" s="13"/>
      <c r="V8109" s="13"/>
      <c r="W8109" s="13"/>
    </row>
    <row r="8110" spans="18:23" x14ac:dyDescent="0.2">
      <c r="R8110" s="13"/>
      <c r="S8110" s="13"/>
      <c r="T8110" s="13"/>
      <c r="U8110" s="13"/>
      <c r="V8110" s="13"/>
      <c r="W8110" s="13"/>
    </row>
    <row r="8111" spans="18:23" x14ac:dyDescent="0.2">
      <c r="R8111" s="13"/>
      <c r="S8111" s="13"/>
      <c r="T8111" s="13"/>
      <c r="U8111" s="13"/>
      <c r="V8111" s="13"/>
      <c r="W8111" s="13"/>
    </row>
    <row r="8112" spans="18:23" x14ac:dyDescent="0.2">
      <c r="R8112" s="13"/>
      <c r="S8112" s="13"/>
      <c r="T8112" s="13"/>
      <c r="U8112" s="13"/>
      <c r="V8112" s="13"/>
      <c r="W8112" s="13"/>
    </row>
    <row r="8113" spans="18:23" x14ac:dyDescent="0.2">
      <c r="R8113" s="13"/>
      <c r="S8113" s="13"/>
      <c r="T8113" s="13"/>
      <c r="U8113" s="13"/>
      <c r="V8113" s="13"/>
      <c r="W8113" s="13"/>
    </row>
    <row r="8114" spans="18:23" x14ac:dyDescent="0.2">
      <c r="R8114" s="13"/>
      <c r="S8114" s="13"/>
      <c r="T8114" s="13"/>
      <c r="U8114" s="13"/>
      <c r="V8114" s="13"/>
      <c r="W8114" s="13"/>
    </row>
    <row r="8115" spans="18:23" x14ac:dyDescent="0.2">
      <c r="R8115" s="13"/>
      <c r="S8115" s="13"/>
      <c r="T8115" s="13"/>
      <c r="U8115" s="13"/>
      <c r="V8115" s="13"/>
      <c r="W8115" s="13"/>
    </row>
    <row r="8116" spans="18:23" x14ac:dyDescent="0.2">
      <c r="R8116" s="13"/>
      <c r="S8116" s="13"/>
      <c r="T8116" s="13"/>
      <c r="U8116" s="13"/>
      <c r="V8116" s="13"/>
      <c r="W8116" s="13"/>
    </row>
    <row r="8117" spans="18:23" x14ac:dyDescent="0.2">
      <c r="R8117" s="13"/>
      <c r="S8117" s="13"/>
      <c r="T8117" s="13"/>
      <c r="U8117" s="13"/>
      <c r="V8117" s="13"/>
      <c r="W8117" s="13"/>
    </row>
    <row r="8118" spans="18:23" x14ac:dyDescent="0.2">
      <c r="R8118" s="13"/>
      <c r="S8118" s="13"/>
      <c r="T8118" s="13"/>
      <c r="U8118" s="13"/>
      <c r="V8118" s="13"/>
      <c r="W8118" s="13"/>
    </row>
    <row r="8119" spans="18:23" x14ac:dyDescent="0.2">
      <c r="R8119" s="13"/>
      <c r="S8119" s="13"/>
      <c r="T8119" s="13"/>
      <c r="U8119" s="13"/>
      <c r="V8119" s="13"/>
      <c r="W8119" s="13"/>
    </row>
    <row r="8120" spans="18:23" x14ac:dyDescent="0.2">
      <c r="R8120" s="13"/>
      <c r="S8120" s="13"/>
      <c r="T8120" s="13"/>
      <c r="U8120" s="13"/>
      <c r="V8120" s="13"/>
      <c r="W8120" s="13"/>
    </row>
    <row r="8121" spans="18:23" x14ac:dyDescent="0.2">
      <c r="R8121" s="13"/>
      <c r="S8121" s="13"/>
      <c r="T8121" s="13"/>
      <c r="U8121" s="13"/>
      <c r="V8121" s="13"/>
      <c r="W8121" s="13"/>
    </row>
    <row r="8122" spans="18:23" x14ac:dyDescent="0.2">
      <c r="R8122" s="13"/>
      <c r="S8122" s="13"/>
      <c r="T8122" s="13"/>
      <c r="U8122" s="13"/>
      <c r="V8122" s="13"/>
      <c r="W8122" s="13"/>
    </row>
    <row r="8123" spans="18:23" x14ac:dyDescent="0.2">
      <c r="R8123" s="13"/>
      <c r="S8123" s="13"/>
      <c r="T8123" s="13"/>
      <c r="U8123" s="13"/>
      <c r="V8123" s="13"/>
      <c r="W8123" s="13"/>
    </row>
    <row r="8124" spans="18:23" x14ac:dyDescent="0.2">
      <c r="R8124" s="13"/>
      <c r="S8124" s="13"/>
      <c r="T8124" s="13"/>
      <c r="U8124" s="13"/>
      <c r="V8124" s="13"/>
      <c r="W8124" s="13"/>
    </row>
    <row r="8125" spans="18:23" x14ac:dyDescent="0.2">
      <c r="R8125" s="13"/>
      <c r="S8125" s="13"/>
      <c r="T8125" s="13"/>
      <c r="U8125" s="13"/>
      <c r="V8125" s="13"/>
      <c r="W8125" s="13"/>
    </row>
    <row r="8126" spans="18:23" x14ac:dyDescent="0.2">
      <c r="R8126" s="13"/>
      <c r="S8126" s="13"/>
      <c r="T8126" s="13"/>
      <c r="U8126" s="13"/>
      <c r="V8126" s="13"/>
      <c r="W8126" s="13"/>
    </row>
    <row r="8127" spans="18:23" x14ac:dyDescent="0.2">
      <c r="R8127" s="13"/>
      <c r="S8127" s="13"/>
      <c r="T8127" s="13"/>
      <c r="U8127" s="13"/>
      <c r="V8127" s="13"/>
      <c r="W8127" s="13"/>
    </row>
    <row r="8128" spans="18:23" x14ac:dyDescent="0.2">
      <c r="R8128" s="13"/>
      <c r="S8128" s="13"/>
      <c r="T8128" s="13"/>
      <c r="U8128" s="13"/>
      <c r="V8128" s="13"/>
      <c r="W8128" s="13"/>
    </row>
    <row r="8129" spans="18:23" x14ac:dyDescent="0.2">
      <c r="R8129" s="13"/>
      <c r="S8129" s="13"/>
      <c r="T8129" s="13"/>
      <c r="U8129" s="13"/>
      <c r="V8129" s="13"/>
      <c r="W8129" s="13"/>
    </row>
    <row r="8130" spans="18:23" x14ac:dyDescent="0.2">
      <c r="R8130" s="13"/>
      <c r="S8130" s="13"/>
      <c r="T8130" s="13"/>
      <c r="U8130" s="13"/>
      <c r="V8130" s="13"/>
      <c r="W8130" s="13"/>
    </row>
    <row r="8131" spans="18:23" x14ac:dyDescent="0.2">
      <c r="R8131" s="13"/>
      <c r="S8131" s="13"/>
      <c r="T8131" s="13"/>
      <c r="U8131" s="13"/>
      <c r="V8131" s="13"/>
      <c r="W8131" s="13"/>
    </row>
    <row r="8132" spans="18:23" x14ac:dyDescent="0.2">
      <c r="R8132" s="13"/>
      <c r="S8132" s="13"/>
      <c r="T8132" s="13"/>
      <c r="U8132" s="13"/>
      <c r="V8132" s="13"/>
      <c r="W8132" s="13"/>
    </row>
    <row r="8133" spans="18:23" x14ac:dyDescent="0.2">
      <c r="R8133" s="13"/>
      <c r="S8133" s="13"/>
      <c r="T8133" s="13"/>
      <c r="U8133" s="13"/>
      <c r="V8133" s="13"/>
      <c r="W8133" s="13"/>
    </row>
    <row r="8134" spans="18:23" x14ac:dyDescent="0.2">
      <c r="R8134" s="13"/>
      <c r="S8134" s="13"/>
      <c r="T8134" s="13"/>
      <c r="U8134" s="13"/>
      <c r="V8134" s="13"/>
      <c r="W8134" s="13"/>
    </row>
    <row r="8135" spans="18:23" x14ac:dyDescent="0.2">
      <c r="R8135" s="13"/>
      <c r="S8135" s="13"/>
      <c r="T8135" s="13"/>
      <c r="U8135" s="13"/>
      <c r="V8135" s="13"/>
      <c r="W8135" s="13"/>
    </row>
    <row r="8136" spans="18:23" x14ac:dyDescent="0.2">
      <c r="R8136" s="13"/>
      <c r="S8136" s="13"/>
      <c r="T8136" s="13"/>
      <c r="U8136" s="13"/>
      <c r="V8136" s="13"/>
      <c r="W8136" s="13"/>
    </row>
    <row r="8137" spans="18:23" x14ac:dyDescent="0.2">
      <c r="R8137" s="13"/>
      <c r="S8137" s="13"/>
      <c r="T8137" s="13"/>
      <c r="U8137" s="13"/>
      <c r="V8137" s="13"/>
      <c r="W8137" s="13"/>
    </row>
    <row r="8138" spans="18:23" x14ac:dyDescent="0.2">
      <c r="R8138" s="13"/>
      <c r="S8138" s="13"/>
      <c r="T8138" s="13"/>
      <c r="U8138" s="13"/>
      <c r="V8138" s="13"/>
      <c r="W8138" s="13"/>
    </row>
    <row r="8139" spans="18:23" x14ac:dyDescent="0.2">
      <c r="R8139" s="13"/>
      <c r="S8139" s="13"/>
      <c r="T8139" s="13"/>
      <c r="U8139" s="13"/>
      <c r="V8139" s="13"/>
      <c r="W8139" s="13"/>
    </row>
    <row r="8140" spans="18:23" x14ac:dyDescent="0.2">
      <c r="R8140" s="13"/>
      <c r="S8140" s="13"/>
      <c r="T8140" s="13"/>
      <c r="U8140" s="13"/>
      <c r="V8140" s="13"/>
      <c r="W8140" s="13"/>
    </row>
    <row r="8141" spans="18:23" x14ac:dyDescent="0.2">
      <c r="R8141" s="13"/>
      <c r="S8141" s="13"/>
      <c r="T8141" s="13"/>
      <c r="U8141" s="13"/>
      <c r="V8141" s="13"/>
      <c r="W8141" s="13"/>
    </row>
    <row r="8142" spans="18:23" x14ac:dyDescent="0.2">
      <c r="R8142" s="13"/>
      <c r="S8142" s="13"/>
      <c r="T8142" s="13"/>
      <c r="U8142" s="13"/>
      <c r="V8142" s="13"/>
      <c r="W8142" s="13"/>
    </row>
    <row r="8143" spans="18:23" x14ac:dyDescent="0.2">
      <c r="R8143" s="13"/>
      <c r="S8143" s="13"/>
      <c r="T8143" s="13"/>
      <c r="U8143" s="13"/>
      <c r="V8143" s="13"/>
      <c r="W8143" s="13"/>
    </row>
    <row r="8144" spans="18:23" x14ac:dyDescent="0.2">
      <c r="R8144" s="13"/>
      <c r="S8144" s="13"/>
      <c r="T8144" s="13"/>
      <c r="U8144" s="13"/>
      <c r="V8144" s="13"/>
      <c r="W8144" s="13"/>
    </row>
    <row r="8145" spans="18:23" x14ac:dyDescent="0.2">
      <c r="R8145" s="13"/>
      <c r="S8145" s="13"/>
      <c r="T8145" s="13"/>
      <c r="U8145" s="13"/>
      <c r="V8145" s="13"/>
      <c r="W8145" s="13"/>
    </row>
    <row r="8146" spans="18:23" x14ac:dyDescent="0.2">
      <c r="R8146" s="13"/>
      <c r="S8146" s="13"/>
      <c r="T8146" s="13"/>
      <c r="U8146" s="13"/>
      <c r="V8146" s="13"/>
      <c r="W8146" s="13"/>
    </row>
    <row r="8147" spans="18:23" x14ac:dyDescent="0.2">
      <c r="R8147" s="13"/>
      <c r="S8147" s="13"/>
      <c r="T8147" s="13"/>
      <c r="U8147" s="13"/>
      <c r="V8147" s="13"/>
      <c r="W8147" s="13"/>
    </row>
    <row r="8148" spans="18:23" x14ac:dyDescent="0.2">
      <c r="R8148" s="13"/>
      <c r="S8148" s="13"/>
      <c r="T8148" s="13"/>
      <c r="U8148" s="13"/>
      <c r="V8148" s="13"/>
      <c r="W8148" s="13"/>
    </row>
    <row r="8149" spans="18:23" x14ac:dyDescent="0.2">
      <c r="R8149" s="13"/>
      <c r="S8149" s="13"/>
      <c r="T8149" s="13"/>
      <c r="U8149" s="13"/>
      <c r="V8149" s="13"/>
      <c r="W8149" s="13"/>
    </row>
    <row r="8150" spans="18:23" x14ac:dyDescent="0.2">
      <c r="R8150" s="13"/>
      <c r="S8150" s="13"/>
      <c r="T8150" s="13"/>
      <c r="U8150" s="13"/>
      <c r="V8150" s="13"/>
      <c r="W8150" s="13"/>
    </row>
    <row r="8151" spans="18:23" x14ac:dyDescent="0.2">
      <c r="R8151" s="13"/>
      <c r="S8151" s="13"/>
      <c r="T8151" s="13"/>
      <c r="U8151" s="13"/>
      <c r="V8151" s="13"/>
      <c r="W8151" s="13"/>
    </row>
    <row r="8152" spans="18:23" x14ac:dyDescent="0.2">
      <c r="R8152" s="13"/>
      <c r="S8152" s="13"/>
      <c r="T8152" s="13"/>
      <c r="U8152" s="13"/>
      <c r="V8152" s="13"/>
      <c r="W8152" s="13"/>
    </row>
    <row r="8153" spans="18:23" x14ac:dyDescent="0.2">
      <c r="R8153" s="13"/>
      <c r="S8153" s="13"/>
      <c r="T8153" s="13"/>
      <c r="U8153" s="13"/>
      <c r="V8153" s="13"/>
      <c r="W8153" s="13"/>
    </row>
    <row r="8154" spans="18:23" x14ac:dyDescent="0.2">
      <c r="R8154" s="13"/>
      <c r="S8154" s="13"/>
      <c r="T8154" s="13"/>
      <c r="U8154" s="13"/>
      <c r="V8154" s="13"/>
      <c r="W8154" s="13"/>
    </row>
    <row r="8155" spans="18:23" x14ac:dyDescent="0.2">
      <c r="R8155" s="13"/>
      <c r="S8155" s="13"/>
      <c r="T8155" s="13"/>
      <c r="U8155" s="13"/>
      <c r="V8155" s="13"/>
      <c r="W8155" s="13"/>
    </row>
    <row r="8156" spans="18:23" x14ac:dyDescent="0.2">
      <c r="R8156" s="13"/>
      <c r="S8156" s="13"/>
      <c r="T8156" s="13"/>
      <c r="U8156" s="13"/>
      <c r="V8156" s="13"/>
      <c r="W8156" s="13"/>
    </row>
    <row r="8157" spans="18:23" x14ac:dyDescent="0.2">
      <c r="R8157" s="13"/>
      <c r="S8157" s="13"/>
      <c r="T8157" s="13"/>
      <c r="U8157" s="13"/>
      <c r="V8157" s="13"/>
      <c r="W8157" s="13"/>
    </row>
    <row r="8158" spans="18:23" x14ac:dyDescent="0.2">
      <c r="R8158" s="13"/>
      <c r="S8158" s="13"/>
      <c r="T8158" s="13"/>
      <c r="U8158" s="13"/>
      <c r="V8158" s="13"/>
      <c r="W8158" s="13"/>
    </row>
    <row r="8159" spans="18:23" x14ac:dyDescent="0.2">
      <c r="R8159" s="13"/>
      <c r="S8159" s="13"/>
      <c r="T8159" s="13"/>
      <c r="U8159" s="13"/>
      <c r="V8159" s="13"/>
      <c r="W8159" s="13"/>
    </row>
    <row r="8160" spans="18:23" x14ac:dyDescent="0.2">
      <c r="R8160" s="13"/>
      <c r="S8160" s="13"/>
      <c r="T8160" s="13"/>
      <c r="U8160" s="13"/>
      <c r="V8160" s="13"/>
      <c r="W8160" s="13"/>
    </row>
    <row r="8161" spans="18:23" x14ac:dyDescent="0.2">
      <c r="R8161" s="13"/>
      <c r="S8161" s="13"/>
      <c r="T8161" s="13"/>
      <c r="U8161" s="13"/>
      <c r="V8161" s="13"/>
      <c r="W8161" s="13"/>
    </row>
    <row r="8162" spans="18:23" x14ac:dyDescent="0.2">
      <c r="R8162" s="13"/>
      <c r="S8162" s="13"/>
      <c r="T8162" s="13"/>
      <c r="U8162" s="13"/>
      <c r="V8162" s="13"/>
      <c r="W8162" s="13"/>
    </row>
    <row r="8163" spans="18:23" x14ac:dyDescent="0.2">
      <c r="R8163" s="13"/>
      <c r="S8163" s="13"/>
      <c r="T8163" s="13"/>
      <c r="U8163" s="13"/>
      <c r="V8163" s="13"/>
      <c r="W8163" s="13"/>
    </row>
    <row r="8164" spans="18:23" x14ac:dyDescent="0.2">
      <c r="R8164" s="13"/>
      <c r="S8164" s="13"/>
      <c r="T8164" s="13"/>
      <c r="U8164" s="13"/>
      <c r="V8164" s="13"/>
      <c r="W8164" s="13"/>
    </row>
    <row r="8165" spans="18:23" x14ac:dyDescent="0.2">
      <c r="R8165" s="13"/>
      <c r="S8165" s="13"/>
      <c r="T8165" s="13"/>
      <c r="U8165" s="13"/>
      <c r="V8165" s="13"/>
      <c r="W8165" s="13"/>
    </row>
    <row r="8166" spans="18:23" x14ac:dyDescent="0.2">
      <c r="R8166" s="13"/>
      <c r="S8166" s="13"/>
      <c r="T8166" s="13"/>
      <c r="U8166" s="13"/>
      <c r="V8166" s="13"/>
      <c r="W8166" s="13"/>
    </row>
    <row r="8167" spans="18:23" x14ac:dyDescent="0.2">
      <c r="R8167" s="13"/>
      <c r="S8167" s="13"/>
      <c r="T8167" s="13"/>
      <c r="U8167" s="13"/>
      <c r="V8167" s="13"/>
      <c r="W8167" s="13"/>
    </row>
    <row r="8168" spans="18:23" x14ac:dyDescent="0.2">
      <c r="R8168" s="13"/>
      <c r="S8168" s="13"/>
      <c r="T8168" s="13"/>
      <c r="U8168" s="13"/>
      <c r="V8168" s="13"/>
      <c r="W8168" s="13"/>
    </row>
    <row r="8169" spans="18:23" x14ac:dyDescent="0.2">
      <c r="R8169" s="13"/>
      <c r="S8169" s="13"/>
      <c r="T8169" s="13"/>
      <c r="U8169" s="13"/>
      <c r="V8169" s="13"/>
      <c r="W8169" s="13"/>
    </row>
    <row r="8170" spans="18:23" x14ac:dyDescent="0.2">
      <c r="R8170" s="13"/>
      <c r="S8170" s="13"/>
      <c r="T8170" s="13"/>
      <c r="U8170" s="13"/>
      <c r="V8170" s="13"/>
      <c r="W8170" s="13"/>
    </row>
    <row r="8171" spans="18:23" x14ac:dyDescent="0.2">
      <c r="R8171" s="13"/>
      <c r="S8171" s="13"/>
      <c r="T8171" s="13"/>
      <c r="U8171" s="13"/>
      <c r="V8171" s="13"/>
      <c r="W8171" s="13"/>
    </row>
    <row r="8172" spans="18:23" x14ac:dyDescent="0.2">
      <c r="R8172" s="13"/>
      <c r="S8172" s="13"/>
      <c r="T8172" s="13"/>
      <c r="U8172" s="13"/>
      <c r="V8172" s="13"/>
      <c r="W8172" s="13"/>
    </row>
    <row r="8173" spans="18:23" x14ac:dyDescent="0.2">
      <c r="R8173" s="13"/>
      <c r="S8173" s="13"/>
      <c r="T8173" s="13"/>
      <c r="U8173" s="13"/>
      <c r="V8173" s="13"/>
      <c r="W8173" s="13"/>
    </row>
    <row r="8174" spans="18:23" x14ac:dyDescent="0.2">
      <c r="R8174" s="13"/>
      <c r="S8174" s="13"/>
      <c r="T8174" s="13"/>
      <c r="U8174" s="13"/>
      <c r="V8174" s="13"/>
      <c r="W8174" s="13"/>
    </row>
    <row r="8175" spans="18:23" x14ac:dyDescent="0.2">
      <c r="R8175" s="13"/>
      <c r="S8175" s="13"/>
      <c r="T8175" s="13"/>
      <c r="U8175" s="13"/>
      <c r="V8175" s="13"/>
      <c r="W8175" s="13"/>
    </row>
    <row r="8176" spans="18:23" x14ac:dyDescent="0.2">
      <c r="R8176" s="13"/>
      <c r="S8176" s="13"/>
      <c r="T8176" s="13"/>
      <c r="U8176" s="13"/>
      <c r="V8176" s="13"/>
      <c r="W8176" s="13"/>
    </row>
    <row r="8177" spans="18:23" x14ac:dyDescent="0.2">
      <c r="R8177" s="13"/>
      <c r="S8177" s="13"/>
      <c r="T8177" s="13"/>
      <c r="U8177" s="13"/>
      <c r="V8177" s="13"/>
      <c r="W8177" s="13"/>
    </row>
    <row r="8178" spans="18:23" x14ac:dyDescent="0.2">
      <c r="R8178" s="13"/>
      <c r="S8178" s="13"/>
      <c r="T8178" s="13"/>
      <c r="U8178" s="13"/>
      <c r="V8178" s="13"/>
      <c r="W8178" s="13"/>
    </row>
    <row r="8179" spans="18:23" x14ac:dyDescent="0.2">
      <c r="R8179" s="13"/>
      <c r="S8179" s="13"/>
      <c r="T8179" s="13"/>
      <c r="U8179" s="13"/>
      <c r="V8179" s="13"/>
      <c r="W8179" s="13"/>
    </row>
    <row r="8180" spans="18:23" x14ac:dyDescent="0.2">
      <c r="R8180" s="13"/>
      <c r="S8180" s="13"/>
      <c r="T8180" s="13"/>
      <c r="U8180" s="13"/>
      <c r="V8180" s="13"/>
      <c r="W8180" s="13"/>
    </row>
    <row r="8181" spans="18:23" x14ac:dyDescent="0.2">
      <c r="R8181" s="13"/>
      <c r="S8181" s="13"/>
      <c r="T8181" s="13"/>
      <c r="U8181" s="13"/>
      <c r="V8181" s="13"/>
      <c r="W8181" s="13"/>
    </row>
    <row r="8182" spans="18:23" x14ac:dyDescent="0.2">
      <c r="R8182" s="13"/>
      <c r="S8182" s="13"/>
      <c r="T8182" s="13"/>
      <c r="U8182" s="13"/>
      <c r="V8182" s="13"/>
      <c r="W8182" s="13"/>
    </row>
    <row r="8183" spans="18:23" x14ac:dyDescent="0.2">
      <c r="R8183" s="13"/>
      <c r="S8183" s="13"/>
      <c r="T8183" s="13"/>
      <c r="U8183" s="13"/>
      <c r="V8183" s="13"/>
      <c r="W8183" s="13"/>
    </row>
    <row r="8184" spans="18:23" x14ac:dyDescent="0.2">
      <c r="R8184" s="13"/>
      <c r="S8184" s="13"/>
      <c r="T8184" s="13"/>
      <c r="U8184" s="13"/>
      <c r="V8184" s="13"/>
      <c r="W8184" s="13"/>
    </row>
    <row r="8185" spans="18:23" x14ac:dyDescent="0.2">
      <c r="R8185" s="13"/>
      <c r="S8185" s="13"/>
      <c r="T8185" s="13"/>
      <c r="U8185" s="13"/>
      <c r="V8185" s="13"/>
      <c r="W8185" s="13"/>
    </row>
    <row r="8186" spans="18:23" x14ac:dyDescent="0.2">
      <c r="R8186" s="13"/>
      <c r="S8186" s="13"/>
      <c r="T8186" s="13"/>
      <c r="U8186" s="13"/>
      <c r="V8186" s="13"/>
      <c r="W8186" s="13"/>
    </row>
    <row r="8187" spans="18:23" x14ac:dyDescent="0.2">
      <c r="R8187" s="13"/>
      <c r="S8187" s="13"/>
      <c r="T8187" s="13"/>
      <c r="U8187" s="13"/>
      <c r="V8187" s="13"/>
      <c r="W8187" s="13"/>
    </row>
    <row r="8188" spans="18:23" x14ac:dyDescent="0.2">
      <c r="R8188" s="13"/>
      <c r="S8188" s="13"/>
      <c r="T8188" s="13"/>
      <c r="U8188" s="13"/>
      <c r="V8188" s="13"/>
      <c r="W8188" s="13"/>
    </row>
    <row r="8189" spans="18:23" x14ac:dyDescent="0.2">
      <c r="R8189" s="13"/>
      <c r="S8189" s="13"/>
      <c r="T8189" s="13"/>
      <c r="U8189" s="13"/>
      <c r="V8189" s="13"/>
      <c r="W8189" s="13"/>
    </row>
    <row r="8190" spans="18:23" x14ac:dyDescent="0.2">
      <c r="R8190" s="13"/>
      <c r="S8190" s="13"/>
      <c r="T8190" s="13"/>
      <c r="U8190" s="13"/>
      <c r="V8190" s="13"/>
      <c r="W8190" s="13"/>
    </row>
    <row r="8191" spans="18:23" x14ac:dyDescent="0.2">
      <c r="R8191" s="13"/>
      <c r="S8191" s="13"/>
      <c r="T8191" s="13"/>
      <c r="U8191" s="13"/>
      <c r="V8191" s="13"/>
      <c r="W8191" s="13"/>
    </row>
    <row r="8192" spans="18:23" x14ac:dyDescent="0.2">
      <c r="R8192" s="13"/>
      <c r="S8192" s="13"/>
      <c r="T8192" s="13"/>
      <c r="U8192" s="13"/>
      <c r="V8192" s="13"/>
      <c r="W8192" s="13"/>
    </row>
    <row r="8193" spans="18:23" x14ac:dyDescent="0.2">
      <c r="R8193" s="13"/>
      <c r="S8193" s="13"/>
      <c r="T8193" s="13"/>
      <c r="U8193" s="13"/>
      <c r="V8193" s="13"/>
      <c r="W8193" s="13"/>
    </row>
    <row r="8194" spans="18:23" x14ac:dyDescent="0.2">
      <c r="R8194" s="13"/>
      <c r="S8194" s="13"/>
      <c r="T8194" s="13"/>
      <c r="U8194" s="13"/>
      <c r="V8194" s="13"/>
      <c r="W8194" s="13"/>
    </row>
    <row r="8195" spans="18:23" x14ac:dyDescent="0.2">
      <c r="R8195" s="13"/>
      <c r="S8195" s="13"/>
      <c r="T8195" s="13"/>
      <c r="U8195" s="13"/>
      <c r="V8195" s="13"/>
      <c r="W8195" s="13"/>
    </row>
    <row r="8196" spans="18:23" x14ac:dyDescent="0.2">
      <c r="R8196" s="13"/>
      <c r="S8196" s="13"/>
      <c r="T8196" s="13"/>
      <c r="U8196" s="13"/>
      <c r="V8196" s="13"/>
      <c r="W8196" s="13"/>
    </row>
    <row r="8197" spans="18:23" x14ac:dyDescent="0.2">
      <c r="R8197" s="13"/>
      <c r="S8197" s="13"/>
      <c r="T8197" s="13"/>
      <c r="U8197" s="13"/>
      <c r="V8197" s="13"/>
      <c r="W8197" s="13"/>
    </row>
    <row r="8198" spans="18:23" x14ac:dyDescent="0.2">
      <c r="R8198" s="13"/>
      <c r="S8198" s="13"/>
      <c r="T8198" s="13"/>
      <c r="U8198" s="13"/>
      <c r="V8198" s="13"/>
      <c r="W8198" s="13"/>
    </row>
    <row r="8199" spans="18:23" x14ac:dyDescent="0.2">
      <c r="R8199" s="13"/>
      <c r="S8199" s="13"/>
      <c r="T8199" s="13"/>
      <c r="U8199" s="13"/>
      <c r="V8199" s="13"/>
      <c r="W8199" s="13"/>
    </row>
    <row r="8200" spans="18:23" x14ac:dyDescent="0.2">
      <c r="R8200" s="13"/>
      <c r="S8200" s="13"/>
      <c r="T8200" s="13"/>
      <c r="U8200" s="13"/>
      <c r="V8200" s="13"/>
      <c r="W8200" s="13"/>
    </row>
    <row r="8201" spans="18:23" x14ac:dyDescent="0.2">
      <c r="R8201" s="13"/>
      <c r="S8201" s="13"/>
      <c r="T8201" s="13"/>
      <c r="U8201" s="13"/>
      <c r="V8201" s="13"/>
      <c r="W8201" s="13"/>
    </row>
    <row r="8202" spans="18:23" x14ac:dyDescent="0.2">
      <c r="R8202" s="13"/>
      <c r="S8202" s="13"/>
      <c r="T8202" s="13"/>
      <c r="U8202" s="13"/>
      <c r="V8202" s="13"/>
      <c r="W8202" s="13"/>
    </row>
    <row r="8203" spans="18:23" x14ac:dyDescent="0.2">
      <c r="R8203" s="13"/>
      <c r="S8203" s="13"/>
      <c r="T8203" s="13"/>
      <c r="U8203" s="13"/>
      <c r="V8203" s="13"/>
      <c r="W8203" s="13"/>
    </row>
    <row r="8204" spans="18:23" x14ac:dyDescent="0.2">
      <c r="R8204" s="13"/>
      <c r="S8204" s="13"/>
      <c r="T8204" s="13"/>
      <c r="U8204" s="13"/>
      <c r="V8204" s="13"/>
      <c r="W8204" s="13"/>
    </row>
    <row r="8205" spans="18:23" x14ac:dyDescent="0.2">
      <c r="R8205" s="13"/>
      <c r="S8205" s="13"/>
      <c r="T8205" s="13"/>
      <c r="U8205" s="13"/>
      <c r="V8205" s="13"/>
      <c r="W8205" s="13"/>
    </row>
    <row r="8206" spans="18:23" x14ac:dyDescent="0.2">
      <c r="R8206" s="13"/>
      <c r="S8206" s="13"/>
      <c r="T8206" s="13"/>
      <c r="U8206" s="13"/>
      <c r="V8206" s="13"/>
      <c r="W8206" s="13"/>
    </row>
    <row r="8207" spans="18:23" x14ac:dyDescent="0.2">
      <c r="R8207" s="13"/>
      <c r="S8207" s="13"/>
      <c r="T8207" s="13"/>
      <c r="U8207" s="13"/>
      <c r="V8207" s="13"/>
      <c r="W8207" s="13"/>
    </row>
    <row r="8208" spans="18:23" x14ac:dyDescent="0.2">
      <c r="R8208" s="13"/>
      <c r="S8208" s="13"/>
      <c r="T8208" s="13"/>
      <c r="U8208" s="13"/>
      <c r="V8208" s="13"/>
      <c r="W8208" s="13"/>
    </row>
    <row r="8209" spans="18:23" x14ac:dyDescent="0.2">
      <c r="R8209" s="13"/>
      <c r="S8209" s="13"/>
      <c r="T8209" s="13"/>
      <c r="U8209" s="13"/>
      <c r="V8209" s="13"/>
      <c r="W8209" s="13"/>
    </row>
    <row r="8210" spans="18:23" x14ac:dyDescent="0.2">
      <c r="R8210" s="13"/>
      <c r="S8210" s="13"/>
      <c r="T8210" s="13"/>
      <c r="U8210" s="13"/>
      <c r="V8210" s="13"/>
      <c r="W8210" s="13"/>
    </row>
    <row r="8211" spans="18:23" x14ac:dyDescent="0.2">
      <c r="R8211" s="13"/>
      <c r="S8211" s="13"/>
      <c r="T8211" s="13"/>
      <c r="U8211" s="13"/>
      <c r="V8211" s="13"/>
      <c r="W8211" s="13"/>
    </row>
    <row r="8212" spans="18:23" x14ac:dyDescent="0.2">
      <c r="R8212" s="13"/>
      <c r="S8212" s="13"/>
      <c r="T8212" s="13"/>
      <c r="U8212" s="13"/>
      <c r="V8212" s="13"/>
      <c r="W8212" s="13"/>
    </row>
    <row r="8213" spans="18:23" x14ac:dyDescent="0.2">
      <c r="R8213" s="13"/>
      <c r="S8213" s="13"/>
      <c r="T8213" s="13"/>
      <c r="U8213" s="13"/>
      <c r="V8213" s="13"/>
      <c r="W8213" s="13"/>
    </row>
    <row r="8214" spans="18:23" x14ac:dyDescent="0.2">
      <c r="R8214" s="13"/>
      <c r="S8214" s="13"/>
      <c r="T8214" s="13"/>
      <c r="U8214" s="13"/>
      <c r="V8214" s="13"/>
      <c r="W8214" s="13"/>
    </row>
    <row r="8215" spans="18:23" x14ac:dyDescent="0.2">
      <c r="R8215" s="13"/>
      <c r="S8215" s="13"/>
      <c r="T8215" s="13"/>
      <c r="U8215" s="13"/>
      <c r="V8215" s="13"/>
      <c r="W8215" s="13"/>
    </row>
    <row r="8216" spans="18:23" x14ac:dyDescent="0.2">
      <c r="R8216" s="13"/>
      <c r="S8216" s="13"/>
      <c r="T8216" s="13"/>
      <c r="U8216" s="13"/>
      <c r="V8216" s="13"/>
      <c r="W8216" s="13"/>
    </row>
    <row r="8217" spans="18:23" x14ac:dyDescent="0.2">
      <c r="R8217" s="13"/>
      <c r="S8217" s="13"/>
      <c r="T8217" s="13"/>
      <c r="U8217" s="13"/>
      <c r="V8217" s="13"/>
      <c r="W8217" s="13"/>
    </row>
    <row r="8218" spans="18:23" x14ac:dyDescent="0.2">
      <c r="R8218" s="13"/>
      <c r="S8218" s="13"/>
      <c r="T8218" s="13"/>
      <c r="U8218" s="13"/>
      <c r="V8218" s="13"/>
      <c r="W8218" s="13"/>
    </row>
    <row r="8219" spans="18:23" x14ac:dyDescent="0.2">
      <c r="R8219" s="13"/>
      <c r="S8219" s="13"/>
      <c r="T8219" s="13"/>
      <c r="U8219" s="13"/>
      <c r="V8219" s="13"/>
      <c r="W8219" s="13"/>
    </row>
    <row r="8220" spans="18:23" x14ac:dyDescent="0.2">
      <c r="R8220" s="13"/>
      <c r="S8220" s="13"/>
      <c r="T8220" s="13"/>
      <c r="U8220" s="13"/>
      <c r="V8220" s="13"/>
      <c r="W8220" s="13"/>
    </row>
    <row r="8221" spans="18:23" x14ac:dyDescent="0.2">
      <c r="R8221" s="13"/>
      <c r="S8221" s="13"/>
      <c r="T8221" s="13"/>
      <c r="U8221" s="13"/>
      <c r="V8221" s="13"/>
      <c r="W8221" s="13"/>
    </row>
    <row r="8222" spans="18:23" x14ac:dyDescent="0.2">
      <c r="R8222" s="13"/>
      <c r="S8222" s="13"/>
      <c r="T8222" s="13"/>
      <c r="U8222" s="13"/>
      <c r="V8222" s="13"/>
      <c r="W8222" s="13"/>
    </row>
    <row r="8223" spans="18:23" x14ac:dyDescent="0.2">
      <c r="R8223" s="13"/>
      <c r="S8223" s="13"/>
      <c r="T8223" s="13"/>
      <c r="U8223" s="13"/>
      <c r="V8223" s="13"/>
      <c r="W8223" s="13"/>
    </row>
    <row r="8224" spans="18:23" x14ac:dyDescent="0.2">
      <c r="R8224" s="13"/>
      <c r="S8224" s="13"/>
      <c r="T8224" s="13"/>
      <c r="U8224" s="13"/>
      <c r="V8224" s="13"/>
      <c r="W8224" s="13"/>
    </row>
    <row r="8225" spans="18:23" x14ac:dyDescent="0.2">
      <c r="R8225" s="13"/>
      <c r="S8225" s="13"/>
      <c r="T8225" s="13"/>
      <c r="U8225" s="13"/>
      <c r="V8225" s="13"/>
      <c r="W8225" s="13"/>
    </row>
    <row r="8226" spans="18:23" x14ac:dyDescent="0.2">
      <c r="R8226" s="13"/>
      <c r="S8226" s="13"/>
      <c r="T8226" s="13"/>
      <c r="U8226" s="13"/>
      <c r="V8226" s="13"/>
      <c r="W8226" s="13"/>
    </row>
    <row r="8227" spans="18:23" x14ac:dyDescent="0.2">
      <c r="R8227" s="13"/>
      <c r="S8227" s="13"/>
      <c r="T8227" s="13"/>
      <c r="U8227" s="13"/>
      <c r="V8227" s="13"/>
      <c r="W8227" s="13"/>
    </row>
    <row r="8228" spans="18:23" x14ac:dyDescent="0.2">
      <c r="R8228" s="13"/>
      <c r="S8228" s="13"/>
      <c r="T8228" s="13"/>
      <c r="U8228" s="13"/>
      <c r="V8228" s="13"/>
      <c r="W8228" s="13"/>
    </row>
    <row r="8229" spans="18:23" x14ac:dyDescent="0.2">
      <c r="R8229" s="13"/>
      <c r="S8229" s="13"/>
      <c r="T8229" s="13"/>
      <c r="U8229" s="13"/>
      <c r="V8229" s="13"/>
      <c r="W8229" s="13"/>
    </row>
    <row r="8230" spans="18:23" x14ac:dyDescent="0.2">
      <c r="R8230" s="13"/>
      <c r="S8230" s="13"/>
      <c r="T8230" s="13"/>
      <c r="U8230" s="13"/>
      <c r="V8230" s="13"/>
      <c r="W8230" s="13"/>
    </row>
    <row r="8231" spans="18:23" x14ac:dyDescent="0.2">
      <c r="R8231" s="13"/>
      <c r="S8231" s="13"/>
      <c r="T8231" s="13"/>
      <c r="U8231" s="13"/>
      <c r="V8231" s="13"/>
      <c r="W8231" s="13"/>
    </row>
    <row r="8232" spans="18:23" x14ac:dyDescent="0.2">
      <c r="R8232" s="13"/>
      <c r="S8232" s="13"/>
      <c r="T8232" s="13"/>
      <c r="U8232" s="13"/>
      <c r="V8232" s="13"/>
      <c r="W8232" s="13"/>
    </row>
    <row r="8233" spans="18:23" x14ac:dyDescent="0.2">
      <c r="R8233" s="13"/>
      <c r="S8233" s="13"/>
      <c r="T8233" s="13"/>
      <c r="U8233" s="13"/>
      <c r="V8233" s="13"/>
      <c r="W8233" s="13"/>
    </row>
    <row r="8234" spans="18:23" x14ac:dyDescent="0.2">
      <c r="R8234" s="13"/>
      <c r="S8234" s="13"/>
      <c r="T8234" s="13"/>
      <c r="U8234" s="13"/>
      <c r="V8234" s="13"/>
      <c r="W8234" s="13"/>
    </row>
    <row r="8235" spans="18:23" x14ac:dyDescent="0.2">
      <c r="R8235" s="13"/>
      <c r="S8235" s="13"/>
      <c r="T8235" s="13"/>
      <c r="U8235" s="13"/>
      <c r="V8235" s="13"/>
      <c r="W8235" s="13"/>
    </row>
    <row r="8236" spans="18:23" x14ac:dyDescent="0.2">
      <c r="R8236" s="13"/>
      <c r="S8236" s="13"/>
      <c r="T8236" s="13"/>
      <c r="U8236" s="13"/>
      <c r="V8236" s="13"/>
      <c r="W8236" s="13"/>
    </row>
    <row r="8237" spans="18:23" x14ac:dyDescent="0.2">
      <c r="R8237" s="13"/>
      <c r="S8237" s="13"/>
      <c r="T8237" s="13"/>
      <c r="U8237" s="13"/>
      <c r="V8237" s="13"/>
      <c r="W8237" s="13"/>
    </row>
    <row r="8238" spans="18:23" x14ac:dyDescent="0.2">
      <c r="R8238" s="13"/>
      <c r="S8238" s="13"/>
      <c r="T8238" s="13"/>
      <c r="U8238" s="13"/>
      <c r="V8238" s="13"/>
      <c r="W8238" s="13"/>
    </row>
    <row r="8239" spans="18:23" x14ac:dyDescent="0.2">
      <c r="R8239" s="13"/>
      <c r="S8239" s="13"/>
      <c r="T8239" s="13"/>
      <c r="U8239" s="13"/>
      <c r="V8239" s="13"/>
      <c r="W8239" s="13"/>
    </row>
    <row r="8240" spans="18:23" x14ac:dyDescent="0.2">
      <c r="R8240" s="13"/>
      <c r="S8240" s="13"/>
      <c r="T8240" s="13"/>
      <c r="U8240" s="13"/>
      <c r="V8240" s="13"/>
      <c r="W8240" s="13"/>
    </row>
    <row r="8241" spans="18:23" x14ac:dyDescent="0.2">
      <c r="R8241" s="13"/>
      <c r="S8241" s="13"/>
      <c r="T8241" s="13"/>
      <c r="U8241" s="13"/>
      <c r="V8241" s="13"/>
      <c r="W8241" s="13"/>
    </row>
    <row r="8242" spans="18:23" x14ac:dyDescent="0.2">
      <c r="R8242" s="13"/>
      <c r="S8242" s="13"/>
      <c r="T8242" s="13"/>
      <c r="U8242" s="13"/>
      <c r="V8242" s="13"/>
      <c r="W8242" s="13"/>
    </row>
    <row r="8243" spans="18:23" x14ac:dyDescent="0.2">
      <c r="R8243" s="13"/>
      <c r="S8243" s="13"/>
      <c r="T8243" s="13"/>
      <c r="U8243" s="13"/>
      <c r="V8243" s="13"/>
      <c r="W8243" s="13"/>
    </row>
    <row r="8244" spans="18:23" x14ac:dyDescent="0.2">
      <c r="R8244" s="13"/>
      <c r="S8244" s="13"/>
      <c r="T8244" s="13"/>
      <c r="U8244" s="13"/>
      <c r="V8244" s="13"/>
      <c r="W8244" s="13"/>
    </row>
    <row r="8245" spans="18:23" x14ac:dyDescent="0.2">
      <c r="R8245" s="13"/>
      <c r="S8245" s="13"/>
      <c r="T8245" s="13"/>
      <c r="U8245" s="13"/>
      <c r="V8245" s="13"/>
      <c r="W8245" s="13"/>
    </row>
    <row r="8246" spans="18:23" x14ac:dyDescent="0.2">
      <c r="R8246" s="13"/>
      <c r="S8246" s="13"/>
      <c r="T8246" s="13"/>
      <c r="U8246" s="13"/>
      <c r="V8246" s="13"/>
      <c r="W8246" s="13"/>
    </row>
    <row r="8247" spans="18:23" x14ac:dyDescent="0.2">
      <c r="R8247" s="13"/>
      <c r="S8247" s="13"/>
      <c r="T8247" s="13"/>
      <c r="U8247" s="13"/>
      <c r="V8247" s="13"/>
      <c r="W8247" s="13"/>
    </row>
    <row r="8248" spans="18:23" x14ac:dyDescent="0.2">
      <c r="R8248" s="13"/>
      <c r="S8248" s="13"/>
      <c r="T8248" s="13"/>
      <c r="U8248" s="13"/>
      <c r="V8248" s="13"/>
      <c r="W8248" s="13"/>
    </row>
    <row r="8249" spans="18:23" x14ac:dyDescent="0.2">
      <c r="R8249" s="13"/>
      <c r="S8249" s="13"/>
      <c r="T8249" s="13"/>
      <c r="U8249" s="13"/>
      <c r="V8249" s="13"/>
      <c r="W8249" s="13"/>
    </row>
    <row r="8250" spans="18:23" x14ac:dyDescent="0.2">
      <c r="R8250" s="13"/>
      <c r="S8250" s="13"/>
      <c r="T8250" s="13"/>
      <c r="U8250" s="13"/>
      <c r="V8250" s="13"/>
      <c r="W8250" s="13"/>
    </row>
    <row r="8251" spans="18:23" x14ac:dyDescent="0.2">
      <c r="R8251" s="13"/>
      <c r="S8251" s="13"/>
      <c r="T8251" s="13"/>
      <c r="U8251" s="13"/>
      <c r="V8251" s="13"/>
      <c r="W8251" s="13"/>
    </row>
    <row r="8252" spans="18:23" x14ac:dyDescent="0.2">
      <c r="R8252" s="13"/>
      <c r="S8252" s="13"/>
      <c r="T8252" s="13"/>
      <c r="U8252" s="13"/>
      <c r="V8252" s="13"/>
      <c r="W8252" s="13"/>
    </row>
    <row r="8253" spans="18:23" x14ac:dyDescent="0.2">
      <c r="R8253" s="13"/>
      <c r="S8253" s="13"/>
      <c r="T8253" s="13"/>
      <c r="U8253" s="13"/>
      <c r="V8253" s="13"/>
      <c r="W8253" s="13"/>
    </row>
    <row r="8254" spans="18:23" x14ac:dyDescent="0.2">
      <c r="R8254" s="13"/>
      <c r="S8254" s="13"/>
      <c r="T8254" s="13"/>
      <c r="U8254" s="13"/>
      <c r="V8254" s="13"/>
      <c r="W8254" s="13"/>
    </row>
    <row r="8255" spans="18:23" x14ac:dyDescent="0.2">
      <c r="R8255" s="13"/>
      <c r="S8255" s="13"/>
      <c r="T8255" s="13"/>
      <c r="U8255" s="13"/>
      <c r="V8255" s="13"/>
      <c r="W8255" s="13"/>
    </row>
    <row r="8256" spans="18:23" x14ac:dyDescent="0.2">
      <c r="R8256" s="13"/>
      <c r="S8256" s="13"/>
      <c r="T8256" s="13"/>
      <c r="U8256" s="13"/>
      <c r="V8256" s="13"/>
      <c r="W8256" s="13"/>
    </row>
    <row r="8257" spans="18:23" x14ac:dyDescent="0.2">
      <c r="R8257" s="13"/>
      <c r="S8257" s="13"/>
      <c r="T8257" s="13"/>
      <c r="U8257" s="13"/>
      <c r="V8257" s="13"/>
      <c r="W8257" s="13"/>
    </row>
    <row r="8258" spans="18:23" x14ac:dyDescent="0.2">
      <c r="R8258" s="13"/>
      <c r="S8258" s="13"/>
      <c r="T8258" s="13"/>
      <c r="U8258" s="13"/>
      <c r="V8258" s="13"/>
      <c r="W8258" s="13"/>
    </row>
    <row r="8259" spans="18:23" x14ac:dyDescent="0.2">
      <c r="R8259" s="13"/>
      <c r="S8259" s="13"/>
      <c r="T8259" s="13"/>
      <c r="U8259" s="13"/>
      <c r="V8259" s="13"/>
      <c r="W8259" s="13"/>
    </row>
    <row r="8260" spans="18:23" x14ac:dyDescent="0.2">
      <c r="R8260" s="13"/>
      <c r="S8260" s="13"/>
      <c r="T8260" s="13"/>
      <c r="U8260" s="13"/>
      <c r="V8260" s="13"/>
      <c r="W8260" s="13"/>
    </row>
    <row r="8261" spans="18:23" x14ac:dyDescent="0.2">
      <c r="R8261" s="13"/>
      <c r="S8261" s="13"/>
      <c r="T8261" s="13"/>
      <c r="U8261" s="13"/>
      <c r="V8261" s="13"/>
      <c r="W8261" s="13"/>
    </row>
    <row r="8262" spans="18:23" x14ac:dyDescent="0.2">
      <c r="R8262" s="13"/>
      <c r="S8262" s="13"/>
      <c r="T8262" s="13"/>
      <c r="U8262" s="13"/>
      <c r="V8262" s="13"/>
      <c r="W8262" s="13"/>
    </row>
    <row r="8263" spans="18:23" x14ac:dyDescent="0.2">
      <c r="R8263" s="13"/>
      <c r="S8263" s="13"/>
      <c r="T8263" s="13"/>
      <c r="U8263" s="13"/>
      <c r="V8263" s="13"/>
      <c r="W8263" s="13"/>
    </row>
    <row r="8264" spans="18:23" x14ac:dyDescent="0.2">
      <c r="R8264" s="13"/>
      <c r="S8264" s="13"/>
      <c r="T8264" s="13"/>
      <c r="U8264" s="13"/>
      <c r="V8264" s="13"/>
      <c r="W8264" s="13"/>
    </row>
    <row r="8265" spans="18:23" x14ac:dyDescent="0.2">
      <c r="R8265" s="13"/>
      <c r="S8265" s="13"/>
      <c r="T8265" s="13"/>
      <c r="U8265" s="13"/>
      <c r="V8265" s="13"/>
      <c r="W8265" s="13"/>
    </row>
    <row r="8266" spans="18:23" x14ac:dyDescent="0.2">
      <c r="R8266" s="13"/>
      <c r="S8266" s="13"/>
      <c r="T8266" s="13"/>
      <c r="U8266" s="13"/>
      <c r="V8266" s="13"/>
      <c r="W8266" s="13"/>
    </row>
    <row r="8267" spans="18:23" x14ac:dyDescent="0.2">
      <c r="R8267" s="13"/>
      <c r="S8267" s="13"/>
      <c r="T8267" s="13"/>
      <c r="U8267" s="13"/>
      <c r="V8267" s="13"/>
      <c r="W8267" s="13"/>
    </row>
    <row r="8268" spans="18:23" x14ac:dyDescent="0.2">
      <c r="R8268" s="13"/>
      <c r="S8268" s="13"/>
      <c r="T8268" s="13"/>
      <c r="U8268" s="13"/>
      <c r="V8268" s="13"/>
      <c r="W8268" s="13"/>
    </row>
    <row r="8269" spans="18:23" x14ac:dyDescent="0.2">
      <c r="R8269" s="13"/>
      <c r="S8269" s="13"/>
      <c r="T8269" s="13"/>
      <c r="U8269" s="13"/>
      <c r="V8269" s="13"/>
      <c r="W8269" s="13"/>
    </row>
    <row r="8270" spans="18:23" x14ac:dyDescent="0.2">
      <c r="R8270" s="13"/>
      <c r="S8270" s="13"/>
      <c r="T8270" s="13"/>
      <c r="U8270" s="13"/>
      <c r="V8270" s="13"/>
      <c r="W8270" s="13"/>
    </row>
    <row r="8271" spans="18:23" x14ac:dyDescent="0.2">
      <c r="R8271" s="13"/>
      <c r="S8271" s="13"/>
      <c r="T8271" s="13"/>
      <c r="U8271" s="13"/>
      <c r="V8271" s="13"/>
      <c r="W8271" s="13"/>
    </row>
    <row r="8272" spans="18:23" x14ac:dyDescent="0.2">
      <c r="R8272" s="13"/>
      <c r="S8272" s="13"/>
      <c r="T8272" s="13"/>
      <c r="U8272" s="13"/>
      <c r="V8272" s="13"/>
      <c r="W8272" s="13"/>
    </row>
    <row r="8273" spans="18:23" x14ac:dyDescent="0.2">
      <c r="R8273" s="13"/>
      <c r="S8273" s="13"/>
      <c r="T8273" s="13"/>
      <c r="U8273" s="13"/>
      <c r="V8273" s="13"/>
      <c r="W8273" s="13"/>
    </row>
    <row r="8274" spans="18:23" x14ac:dyDescent="0.2">
      <c r="R8274" s="13"/>
      <c r="S8274" s="13"/>
      <c r="T8274" s="13"/>
      <c r="U8274" s="13"/>
      <c r="V8274" s="13"/>
      <c r="W8274" s="13"/>
    </row>
    <row r="8275" spans="18:23" x14ac:dyDescent="0.2">
      <c r="R8275" s="13"/>
      <c r="S8275" s="13"/>
      <c r="T8275" s="13"/>
      <c r="U8275" s="13"/>
      <c r="V8275" s="13"/>
      <c r="W8275" s="13"/>
    </row>
    <row r="8276" spans="18:23" x14ac:dyDescent="0.2">
      <c r="R8276" s="13"/>
      <c r="S8276" s="13"/>
      <c r="T8276" s="13"/>
      <c r="U8276" s="13"/>
      <c r="V8276" s="13"/>
      <c r="W8276" s="13"/>
    </row>
    <row r="8277" spans="18:23" x14ac:dyDescent="0.2">
      <c r="R8277" s="13"/>
      <c r="S8277" s="13"/>
      <c r="T8277" s="13"/>
      <c r="U8277" s="13"/>
      <c r="V8277" s="13"/>
      <c r="W8277" s="13"/>
    </row>
    <row r="8278" spans="18:23" x14ac:dyDescent="0.2">
      <c r="R8278" s="13"/>
      <c r="S8278" s="13"/>
      <c r="T8278" s="13"/>
      <c r="U8278" s="13"/>
      <c r="V8278" s="13"/>
      <c r="W8278" s="13"/>
    </row>
    <row r="8279" spans="18:23" x14ac:dyDescent="0.2">
      <c r="R8279" s="13"/>
      <c r="S8279" s="13"/>
      <c r="T8279" s="13"/>
      <c r="U8279" s="13"/>
      <c r="V8279" s="13"/>
      <c r="W8279" s="13"/>
    </row>
    <row r="8280" spans="18:23" x14ac:dyDescent="0.2">
      <c r="R8280" s="13"/>
      <c r="S8280" s="13"/>
      <c r="T8280" s="13"/>
      <c r="U8280" s="13"/>
      <c r="V8280" s="13"/>
      <c r="W8280" s="13"/>
    </row>
    <row r="8281" spans="18:23" x14ac:dyDescent="0.2">
      <c r="R8281" s="13"/>
      <c r="S8281" s="13"/>
      <c r="T8281" s="13"/>
      <c r="U8281" s="13"/>
      <c r="V8281" s="13"/>
      <c r="W8281" s="13"/>
    </row>
    <row r="8282" spans="18:23" x14ac:dyDescent="0.2">
      <c r="R8282" s="13"/>
      <c r="S8282" s="13"/>
      <c r="T8282" s="13"/>
      <c r="U8282" s="13"/>
      <c r="V8282" s="13"/>
      <c r="W8282" s="13"/>
    </row>
    <row r="8283" spans="18:23" x14ac:dyDescent="0.2">
      <c r="R8283" s="13"/>
      <c r="S8283" s="13"/>
      <c r="T8283" s="13"/>
      <c r="U8283" s="13"/>
      <c r="V8283" s="13"/>
      <c r="W8283" s="13"/>
    </row>
    <row r="8284" spans="18:23" x14ac:dyDescent="0.2">
      <c r="R8284" s="13"/>
      <c r="S8284" s="13"/>
      <c r="T8284" s="13"/>
      <c r="U8284" s="13"/>
      <c r="V8284" s="13"/>
      <c r="W8284" s="13"/>
    </row>
    <row r="8285" spans="18:23" x14ac:dyDescent="0.2">
      <c r="R8285" s="13"/>
      <c r="S8285" s="13"/>
      <c r="T8285" s="13"/>
      <c r="U8285" s="13"/>
      <c r="V8285" s="13"/>
      <c r="W8285" s="13"/>
    </row>
    <row r="8286" spans="18:23" x14ac:dyDescent="0.2">
      <c r="R8286" s="13"/>
      <c r="S8286" s="13"/>
      <c r="T8286" s="13"/>
      <c r="U8286" s="13"/>
      <c r="V8286" s="13"/>
      <c r="W8286" s="13"/>
    </row>
    <row r="8287" spans="18:23" x14ac:dyDescent="0.2">
      <c r="R8287" s="13"/>
      <c r="S8287" s="13"/>
      <c r="T8287" s="13"/>
      <c r="U8287" s="13"/>
      <c r="V8287" s="13"/>
      <c r="W8287" s="13"/>
    </row>
    <row r="8288" spans="18:23" x14ac:dyDescent="0.2">
      <c r="R8288" s="13"/>
      <c r="S8288" s="13"/>
      <c r="T8288" s="13"/>
      <c r="U8288" s="13"/>
      <c r="V8288" s="13"/>
      <c r="W8288" s="13"/>
    </row>
    <row r="8289" spans="18:23" x14ac:dyDescent="0.2">
      <c r="R8289" s="13"/>
      <c r="S8289" s="13"/>
      <c r="T8289" s="13"/>
      <c r="U8289" s="13"/>
      <c r="V8289" s="13"/>
      <c r="W8289" s="13"/>
    </row>
    <row r="8290" spans="18:23" x14ac:dyDescent="0.2">
      <c r="R8290" s="13"/>
      <c r="S8290" s="13"/>
      <c r="T8290" s="13"/>
      <c r="U8290" s="13"/>
      <c r="V8290" s="13"/>
      <c r="W8290" s="13"/>
    </row>
    <row r="8291" spans="18:23" x14ac:dyDescent="0.2">
      <c r="R8291" s="13"/>
      <c r="S8291" s="13"/>
      <c r="T8291" s="13"/>
      <c r="U8291" s="13"/>
      <c r="V8291" s="13"/>
      <c r="W8291" s="13"/>
    </row>
    <row r="8292" spans="18:23" x14ac:dyDescent="0.2">
      <c r="R8292" s="13"/>
      <c r="S8292" s="13"/>
      <c r="T8292" s="13"/>
      <c r="U8292" s="13"/>
      <c r="V8292" s="13"/>
      <c r="W8292" s="13"/>
    </row>
    <row r="8293" spans="18:23" x14ac:dyDescent="0.2">
      <c r="R8293" s="13"/>
      <c r="S8293" s="13"/>
      <c r="T8293" s="13"/>
      <c r="U8293" s="13"/>
      <c r="V8293" s="13"/>
      <c r="W8293" s="13"/>
    </row>
    <row r="8294" spans="18:23" x14ac:dyDescent="0.2">
      <c r="R8294" s="13"/>
      <c r="S8294" s="13"/>
      <c r="T8294" s="13"/>
      <c r="U8294" s="13"/>
      <c r="V8294" s="13"/>
      <c r="W8294" s="13"/>
    </row>
    <row r="8295" spans="18:23" x14ac:dyDescent="0.2">
      <c r="R8295" s="13"/>
      <c r="S8295" s="13"/>
      <c r="T8295" s="13"/>
      <c r="U8295" s="13"/>
      <c r="V8295" s="13"/>
      <c r="W8295" s="13"/>
    </row>
    <row r="8296" spans="18:23" x14ac:dyDescent="0.2">
      <c r="R8296" s="13"/>
      <c r="S8296" s="13"/>
      <c r="T8296" s="13"/>
      <c r="U8296" s="13"/>
      <c r="V8296" s="13"/>
      <c r="W8296" s="13"/>
    </row>
    <row r="8297" spans="18:23" x14ac:dyDescent="0.2">
      <c r="R8297" s="13"/>
      <c r="S8297" s="13"/>
      <c r="T8297" s="13"/>
      <c r="U8297" s="13"/>
      <c r="V8297" s="13"/>
      <c r="W8297" s="13"/>
    </row>
    <row r="8298" spans="18:23" x14ac:dyDescent="0.2">
      <c r="R8298" s="13"/>
      <c r="S8298" s="13"/>
      <c r="T8298" s="13"/>
      <c r="U8298" s="13"/>
      <c r="V8298" s="13"/>
      <c r="W8298" s="13"/>
    </row>
    <row r="8299" spans="18:23" x14ac:dyDescent="0.2">
      <c r="R8299" s="13"/>
      <c r="S8299" s="13"/>
      <c r="T8299" s="13"/>
      <c r="U8299" s="13"/>
      <c r="V8299" s="13"/>
      <c r="W8299" s="13"/>
    </row>
    <row r="8300" spans="18:23" x14ac:dyDescent="0.2">
      <c r="R8300" s="13"/>
      <c r="S8300" s="13"/>
      <c r="T8300" s="13"/>
      <c r="U8300" s="13"/>
      <c r="V8300" s="13"/>
      <c r="W8300" s="13"/>
    </row>
    <row r="8301" spans="18:23" x14ac:dyDescent="0.2">
      <c r="R8301" s="13"/>
      <c r="S8301" s="13"/>
      <c r="T8301" s="13"/>
      <c r="U8301" s="13"/>
      <c r="V8301" s="13"/>
      <c r="W8301" s="13"/>
    </row>
    <row r="8302" spans="18:23" x14ac:dyDescent="0.2">
      <c r="R8302" s="13"/>
      <c r="S8302" s="13"/>
      <c r="T8302" s="13"/>
      <c r="U8302" s="13"/>
      <c r="V8302" s="13"/>
      <c r="W8302" s="13"/>
    </row>
    <row r="8303" spans="18:23" x14ac:dyDescent="0.2">
      <c r="R8303" s="13"/>
      <c r="S8303" s="13"/>
      <c r="T8303" s="13"/>
      <c r="U8303" s="13"/>
      <c r="V8303" s="13"/>
      <c r="W8303" s="13"/>
    </row>
    <row r="8304" spans="18:23" x14ac:dyDescent="0.2">
      <c r="R8304" s="13"/>
      <c r="S8304" s="13"/>
      <c r="T8304" s="13"/>
      <c r="U8304" s="13"/>
      <c r="V8304" s="13"/>
      <c r="W8304" s="13"/>
    </row>
    <row r="8305" spans="18:23" x14ac:dyDescent="0.2">
      <c r="R8305" s="13"/>
      <c r="S8305" s="13"/>
      <c r="T8305" s="13"/>
      <c r="U8305" s="13"/>
      <c r="V8305" s="13"/>
      <c r="W8305" s="13"/>
    </row>
    <row r="8306" spans="18:23" x14ac:dyDescent="0.2">
      <c r="R8306" s="13"/>
      <c r="S8306" s="13"/>
      <c r="T8306" s="13"/>
      <c r="U8306" s="13"/>
      <c r="V8306" s="13"/>
      <c r="W8306" s="13"/>
    </row>
    <row r="8307" spans="18:23" x14ac:dyDescent="0.2">
      <c r="R8307" s="13"/>
      <c r="S8307" s="13"/>
      <c r="T8307" s="13"/>
      <c r="U8307" s="13"/>
      <c r="V8307" s="13"/>
      <c r="W8307" s="13"/>
    </row>
    <row r="8308" spans="18:23" x14ac:dyDescent="0.2">
      <c r="R8308" s="13"/>
      <c r="S8308" s="13"/>
      <c r="T8308" s="13"/>
      <c r="U8308" s="13"/>
      <c r="V8308" s="13"/>
      <c r="W8308" s="13"/>
    </row>
    <row r="8309" spans="18:23" x14ac:dyDescent="0.2">
      <c r="R8309" s="13"/>
      <c r="S8309" s="13"/>
      <c r="T8309" s="13"/>
      <c r="U8309" s="13"/>
      <c r="V8309" s="13"/>
      <c r="W8309" s="13"/>
    </row>
    <row r="8310" spans="18:23" x14ac:dyDescent="0.2">
      <c r="R8310" s="13"/>
      <c r="S8310" s="13"/>
      <c r="T8310" s="13"/>
      <c r="U8310" s="13"/>
      <c r="V8310" s="13"/>
      <c r="W8310" s="13"/>
    </row>
    <row r="8311" spans="18:23" x14ac:dyDescent="0.2">
      <c r="R8311" s="13"/>
      <c r="S8311" s="13"/>
      <c r="T8311" s="13"/>
      <c r="U8311" s="13"/>
      <c r="V8311" s="13"/>
      <c r="W8311" s="13"/>
    </row>
    <row r="8312" spans="18:23" x14ac:dyDescent="0.2">
      <c r="R8312" s="13"/>
      <c r="S8312" s="13"/>
      <c r="T8312" s="13"/>
      <c r="U8312" s="13"/>
      <c r="V8312" s="13"/>
      <c r="W8312" s="13"/>
    </row>
    <row r="8313" spans="18:23" x14ac:dyDescent="0.2">
      <c r="R8313" s="13"/>
      <c r="S8313" s="13"/>
      <c r="T8313" s="13"/>
      <c r="U8313" s="13"/>
      <c r="V8313" s="13"/>
      <c r="W8313" s="13"/>
    </row>
    <row r="8314" spans="18:23" x14ac:dyDescent="0.2">
      <c r="R8314" s="13"/>
      <c r="S8314" s="13"/>
      <c r="T8314" s="13"/>
      <c r="U8314" s="13"/>
      <c r="V8314" s="13"/>
      <c r="W8314" s="13"/>
    </row>
    <row r="8315" spans="18:23" x14ac:dyDescent="0.2">
      <c r="R8315" s="13"/>
      <c r="S8315" s="13"/>
      <c r="T8315" s="13"/>
      <c r="U8315" s="13"/>
      <c r="V8315" s="13"/>
      <c r="W8315" s="13"/>
    </row>
    <row r="8316" spans="18:23" x14ac:dyDescent="0.2">
      <c r="R8316" s="13"/>
      <c r="S8316" s="13"/>
      <c r="T8316" s="13"/>
      <c r="U8316" s="13"/>
      <c r="V8316" s="13"/>
      <c r="W8316" s="13"/>
    </row>
    <row r="8317" spans="18:23" x14ac:dyDescent="0.2">
      <c r="R8317" s="13"/>
      <c r="S8317" s="13"/>
      <c r="T8317" s="13"/>
      <c r="U8317" s="13"/>
      <c r="V8317" s="13"/>
      <c r="W8317" s="13"/>
    </row>
    <row r="8318" spans="18:23" x14ac:dyDescent="0.2">
      <c r="R8318" s="13"/>
      <c r="S8318" s="13"/>
      <c r="T8318" s="13"/>
      <c r="U8318" s="13"/>
      <c r="V8318" s="13"/>
      <c r="W8318" s="13"/>
    </row>
    <row r="8319" spans="18:23" x14ac:dyDescent="0.2">
      <c r="R8319" s="13"/>
      <c r="S8319" s="13"/>
      <c r="T8319" s="13"/>
      <c r="U8319" s="13"/>
      <c r="V8319" s="13"/>
      <c r="W8319" s="13"/>
    </row>
    <row r="8320" spans="18:23" x14ac:dyDescent="0.2">
      <c r="R8320" s="13"/>
      <c r="S8320" s="13"/>
      <c r="T8320" s="13"/>
      <c r="U8320" s="13"/>
      <c r="V8320" s="13"/>
      <c r="W8320" s="13"/>
    </row>
    <row r="8321" spans="18:23" x14ac:dyDescent="0.2">
      <c r="R8321" s="13"/>
      <c r="S8321" s="13"/>
      <c r="T8321" s="13"/>
      <c r="U8321" s="13"/>
      <c r="V8321" s="13"/>
      <c r="W8321" s="13"/>
    </row>
    <row r="8322" spans="18:23" x14ac:dyDescent="0.2">
      <c r="R8322" s="13"/>
      <c r="S8322" s="13"/>
      <c r="T8322" s="13"/>
      <c r="U8322" s="13"/>
      <c r="V8322" s="13"/>
      <c r="W8322" s="13"/>
    </row>
    <row r="8323" spans="18:23" x14ac:dyDescent="0.2">
      <c r="R8323" s="13"/>
      <c r="S8323" s="13"/>
      <c r="T8323" s="13"/>
      <c r="U8323" s="13"/>
      <c r="V8323" s="13"/>
      <c r="W8323" s="13"/>
    </row>
    <row r="8324" spans="18:23" x14ac:dyDescent="0.2">
      <c r="R8324" s="13"/>
      <c r="S8324" s="13"/>
      <c r="T8324" s="13"/>
      <c r="U8324" s="13"/>
      <c r="V8324" s="13"/>
      <c r="W8324" s="13"/>
    </row>
    <row r="8325" spans="18:23" x14ac:dyDescent="0.2">
      <c r="R8325" s="13"/>
      <c r="S8325" s="13"/>
      <c r="T8325" s="13"/>
      <c r="U8325" s="13"/>
      <c r="V8325" s="13"/>
      <c r="W8325" s="13"/>
    </row>
    <row r="8326" spans="18:23" x14ac:dyDescent="0.2">
      <c r="R8326" s="13"/>
      <c r="S8326" s="13"/>
      <c r="T8326" s="13"/>
      <c r="U8326" s="13"/>
      <c r="V8326" s="13"/>
      <c r="W8326" s="13"/>
    </row>
    <row r="8327" spans="18:23" x14ac:dyDescent="0.2">
      <c r="R8327" s="13"/>
      <c r="S8327" s="13"/>
      <c r="T8327" s="13"/>
      <c r="U8327" s="13"/>
      <c r="V8327" s="13"/>
      <c r="W8327" s="13"/>
    </row>
    <row r="8328" spans="18:23" x14ac:dyDescent="0.2">
      <c r="R8328" s="13"/>
      <c r="S8328" s="13"/>
      <c r="T8328" s="13"/>
      <c r="U8328" s="13"/>
      <c r="V8328" s="13"/>
      <c r="W8328" s="13"/>
    </row>
    <row r="8329" spans="18:23" x14ac:dyDescent="0.2">
      <c r="R8329" s="13"/>
      <c r="S8329" s="13"/>
      <c r="T8329" s="13"/>
      <c r="U8329" s="13"/>
      <c r="V8329" s="13"/>
      <c r="W8329" s="13"/>
    </row>
    <row r="8330" spans="18:23" x14ac:dyDescent="0.2">
      <c r="R8330" s="13"/>
      <c r="S8330" s="13"/>
      <c r="T8330" s="13"/>
      <c r="U8330" s="13"/>
      <c r="V8330" s="13"/>
      <c r="W8330" s="13"/>
    </row>
    <row r="8331" spans="18:23" x14ac:dyDescent="0.2">
      <c r="R8331" s="13"/>
      <c r="S8331" s="13"/>
      <c r="T8331" s="13"/>
      <c r="U8331" s="13"/>
      <c r="V8331" s="13"/>
      <c r="W8331" s="13"/>
    </row>
    <row r="8332" spans="18:23" x14ac:dyDescent="0.2">
      <c r="R8332" s="13"/>
      <c r="S8332" s="13"/>
      <c r="T8332" s="13"/>
      <c r="U8332" s="13"/>
      <c r="V8332" s="13"/>
      <c r="W8332" s="13"/>
    </row>
    <row r="8333" spans="18:23" x14ac:dyDescent="0.2">
      <c r="R8333" s="13"/>
      <c r="S8333" s="13"/>
      <c r="T8333" s="13"/>
      <c r="U8333" s="13"/>
      <c r="V8333" s="13"/>
      <c r="W8333" s="13"/>
    </row>
    <row r="8334" spans="18:23" x14ac:dyDescent="0.2">
      <c r="R8334" s="13"/>
      <c r="S8334" s="13"/>
      <c r="T8334" s="13"/>
      <c r="U8334" s="13"/>
      <c r="V8334" s="13"/>
      <c r="W8334" s="13"/>
    </row>
    <row r="8335" spans="18:23" x14ac:dyDescent="0.2">
      <c r="R8335" s="13"/>
      <c r="S8335" s="13"/>
      <c r="T8335" s="13"/>
      <c r="U8335" s="13"/>
      <c r="V8335" s="13"/>
      <c r="W8335" s="13"/>
    </row>
    <row r="8336" spans="18:23" x14ac:dyDescent="0.2">
      <c r="R8336" s="13"/>
      <c r="S8336" s="13"/>
      <c r="T8336" s="13"/>
      <c r="U8336" s="13"/>
      <c r="V8336" s="13"/>
      <c r="W8336" s="13"/>
    </row>
    <row r="8337" spans="18:23" x14ac:dyDescent="0.2">
      <c r="R8337" s="13"/>
      <c r="S8337" s="13"/>
      <c r="T8337" s="13"/>
      <c r="U8337" s="13"/>
      <c r="V8337" s="13"/>
      <c r="W8337" s="13"/>
    </row>
    <row r="8338" spans="18:23" x14ac:dyDescent="0.2">
      <c r="R8338" s="13"/>
      <c r="S8338" s="13"/>
      <c r="T8338" s="13"/>
      <c r="U8338" s="13"/>
      <c r="V8338" s="13"/>
      <c r="W8338" s="13"/>
    </row>
    <row r="8339" spans="18:23" x14ac:dyDescent="0.2">
      <c r="R8339" s="13"/>
      <c r="S8339" s="13"/>
      <c r="T8339" s="13"/>
      <c r="U8339" s="13"/>
      <c r="V8339" s="13"/>
      <c r="W8339" s="13"/>
    </row>
    <row r="8340" spans="18:23" x14ac:dyDescent="0.2">
      <c r="R8340" s="13"/>
      <c r="S8340" s="13"/>
      <c r="T8340" s="13"/>
      <c r="U8340" s="13"/>
      <c r="V8340" s="13"/>
      <c r="W8340" s="13"/>
    </row>
    <row r="8341" spans="18:23" x14ac:dyDescent="0.2">
      <c r="R8341" s="13"/>
      <c r="S8341" s="13"/>
      <c r="T8341" s="13"/>
      <c r="U8341" s="13"/>
      <c r="V8341" s="13"/>
      <c r="W8341" s="13"/>
    </row>
    <row r="8342" spans="18:23" x14ac:dyDescent="0.2">
      <c r="R8342" s="13"/>
      <c r="S8342" s="13"/>
      <c r="T8342" s="13"/>
      <c r="U8342" s="13"/>
      <c r="V8342" s="13"/>
      <c r="W8342" s="13"/>
    </row>
    <row r="8343" spans="18:23" x14ac:dyDescent="0.2">
      <c r="R8343" s="13"/>
      <c r="S8343" s="13"/>
      <c r="T8343" s="13"/>
      <c r="U8343" s="13"/>
      <c r="V8343" s="13"/>
      <c r="W8343" s="13"/>
    </row>
    <row r="8344" spans="18:23" x14ac:dyDescent="0.2">
      <c r="R8344" s="13"/>
      <c r="S8344" s="13"/>
      <c r="T8344" s="13"/>
      <c r="U8344" s="13"/>
      <c r="V8344" s="13"/>
      <c r="W8344" s="13"/>
    </row>
    <row r="8345" spans="18:23" x14ac:dyDescent="0.2">
      <c r="R8345" s="13"/>
      <c r="S8345" s="13"/>
      <c r="T8345" s="13"/>
      <c r="U8345" s="13"/>
      <c r="V8345" s="13"/>
      <c r="W8345" s="13"/>
    </row>
    <row r="8346" spans="18:23" x14ac:dyDescent="0.2">
      <c r="R8346" s="13"/>
      <c r="S8346" s="13"/>
      <c r="T8346" s="13"/>
      <c r="U8346" s="13"/>
      <c r="V8346" s="13"/>
      <c r="W8346" s="13"/>
    </row>
    <row r="8347" spans="18:23" x14ac:dyDescent="0.2">
      <c r="R8347" s="13"/>
      <c r="S8347" s="13"/>
      <c r="T8347" s="13"/>
      <c r="U8347" s="13"/>
      <c r="V8347" s="13"/>
      <c r="W8347" s="13"/>
    </row>
    <row r="8348" spans="18:23" x14ac:dyDescent="0.2">
      <c r="R8348" s="13"/>
      <c r="S8348" s="13"/>
      <c r="T8348" s="13"/>
      <c r="U8348" s="13"/>
      <c r="V8348" s="13"/>
      <c r="W8348" s="13"/>
    </row>
    <row r="8349" spans="18:23" x14ac:dyDescent="0.2">
      <c r="R8349" s="13"/>
      <c r="S8349" s="13"/>
      <c r="T8349" s="13"/>
      <c r="U8349" s="13"/>
      <c r="V8349" s="13"/>
      <c r="W8349" s="13"/>
    </row>
    <row r="8350" spans="18:23" x14ac:dyDescent="0.2">
      <c r="R8350" s="13"/>
      <c r="S8350" s="13"/>
      <c r="T8350" s="13"/>
      <c r="U8350" s="13"/>
      <c r="V8350" s="13"/>
      <c r="W8350" s="13"/>
    </row>
    <row r="8351" spans="18:23" x14ac:dyDescent="0.2">
      <c r="R8351" s="13"/>
      <c r="S8351" s="13"/>
      <c r="T8351" s="13"/>
      <c r="U8351" s="13"/>
      <c r="V8351" s="13"/>
      <c r="W8351" s="13"/>
    </row>
    <row r="8352" spans="18:23" x14ac:dyDescent="0.2">
      <c r="R8352" s="13"/>
      <c r="S8352" s="13"/>
      <c r="T8352" s="13"/>
      <c r="U8352" s="13"/>
      <c r="V8352" s="13"/>
      <c r="W8352" s="13"/>
    </row>
    <row r="8353" spans="18:23" x14ac:dyDescent="0.2">
      <c r="R8353" s="13"/>
      <c r="S8353" s="13"/>
      <c r="T8353" s="13"/>
      <c r="U8353" s="13"/>
      <c r="V8353" s="13"/>
      <c r="W8353" s="13"/>
    </row>
    <row r="8354" spans="18:23" x14ac:dyDescent="0.2">
      <c r="R8354" s="13"/>
      <c r="S8354" s="13"/>
      <c r="T8354" s="13"/>
      <c r="U8354" s="13"/>
      <c r="V8354" s="13"/>
      <c r="W8354" s="13"/>
    </row>
    <row r="8355" spans="18:23" x14ac:dyDescent="0.2">
      <c r="R8355" s="13"/>
      <c r="S8355" s="13"/>
      <c r="T8355" s="13"/>
      <c r="U8355" s="13"/>
      <c r="V8355" s="13"/>
      <c r="W8355" s="13"/>
    </row>
    <row r="8356" spans="18:23" x14ac:dyDescent="0.2">
      <c r="R8356" s="13"/>
      <c r="S8356" s="13"/>
      <c r="T8356" s="13"/>
      <c r="U8356" s="13"/>
      <c r="V8356" s="13"/>
      <c r="W8356" s="13"/>
    </row>
    <row r="8357" spans="18:23" x14ac:dyDescent="0.2">
      <c r="R8357" s="13"/>
      <c r="S8357" s="13"/>
      <c r="T8357" s="13"/>
      <c r="U8357" s="13"/>
      <c r="V8357" s="13"/>
      <c r="W8357" s="13"/>
    </row>
    <row r="8358" spans="18:23" x14ac:dyDescent="0.2">
      <c r="R8358" s="13"/>
      <c r="S8358" s="13"/>
      <c r="T8358" s="13"/>
      <c r="U8358" s="13"/>
      <c r="V8358" s="13"/>
      <c r="W8358" s="13"/>
    </row>
    <row r="8359" spans="18:23" x14ac:dyDescent="0.2">
      <c r="R8359" s="13"/>
    </row>
    <row r="8360" spans="18:23" x14ac:dyDescent="0.2">
      <c r="R8360" s="13"/>
    </row>
    <row r="8361" spans="18:23" x14ac:dyDescent="0.2">
      <c r="R8361" s="13"/>
    </row>
    <row r="8362" spans="18:23" x14ac:dyDescent="0.2">
      <c r="R8362" s="13"/>
    </row>
    <row r="8363" spans="18:23" x14ac:dyDescent="0.2">
      <c r="R8363" s="13"/>
    </row>
    <row r="8364" spans="18:23" x14ac:dyDescent="0.2">
      <c r="R8364" s="13"/>
    </row>
    <row r="8365" spans="18:23" x14ac:dyDescent="0.2">
      <c r="R8365" s="13"/>
    </row>
    <row r="8366" spans="18:23" x14ac:dyDescent="0.2">
      <c r="R8366" s="13"/>
    </row>
    <row r="8367" spans="18:23" x14ac:dyDescent="0.2">
      <c r="R8367" s="13"/>
    </row>
    <row r="8368" spans="18:23" x14ac:dyDescent="0.2">
      <c r="R8368" s="13"/>
    </row>
    <row r="8369" spans="18:18" x14ac:dyDescent="0.2">
      <c r="R8369" s="13"/>
    </row>
    <row r="8370" spans="18:18" x14ac:dyDescent="0.2">
      <c r="R8370" s="13"/>
    </row>
    <row r="8371" spans="18:18" x14ac:dyDescent="0.2">
      <c r="R8371" s="13"/>
    </row>
    <row r="8372" spans="18:18" x14ac:dyDescent="0.2">
      <c r="R8372" s="13"/>
    </row>
    <row r="8373" spans="18:18" x14ac:dyDescent="0.2">
      <c r="R8373" s="13"/>
    </row>
    <row r="8374" spans="18:18" x14ac:dyDescent="0.2">
      <c r="R8374" s="13"/>
    </row>
    <row r="8375" spans="18:18" x14ac:dyDescent="0.2">
      <c r="R8375" s="13"/>
    </row>
    <row r="8376" spans="18:18" x14ac:dyDescent="0.2">
      <c r="R8376" s="13"/>
    </row>
    <row r="8377" spans="18:18" x14ac:dyDescent="0.2">
      <c r="R8377" s="13"/>
    </row>
    <row r="8378" spans="18:18" x14ac:dyDescent="0.2">
      <c r="R8378" s="13"/>
    </row>
    <row r="8379" spans="18:18" x14ac:dyDescent="0.2">
      <c r="R8379" s="13"/>
    </row>
    <row r="8380" spans="18:18" x14ac:dyDescent="0.2">
      <c r="R8380" s="13"/>
    </row>
    <row r="8381" spans="18:18" x14ac:dyDescent="0.2">
      <c r="R8381" s="13"/>
    </row>
    <row r="8382" spans="18:18" x14ac:dyDescent="0.2">
      <c r="R8382" s="13"/>
    </row>
    <row r="8383" spans="18:18" x14ac:dyDescent="0.2">
      <c r="R8383" s="13"/>
    </row>
    <row r="8384" spans="18:18" x14ac:dyDescent="0.2">
      <c r="R8384" s="13"/>
    </row>
    <row r="8385" spans="18:18" x14ac:dyDescent="0.2">
      <c r="R8385" s="13"/>
    </row>
    <row r="8386" spans="18:18" x14ac:dyDescent="0.2">
      <c r="R8386" s="13"/>
    </row>
    <row r="8387" spans="18:18" x14ac:dyDescent="0.2">
      <c r="R8387" s="13"/>
    </row>
    <row r="8388" spans="18:18" x14ac:dyDescent="0.2">
      <c r="R8388" s="13"/>
    </row>
    <row r="8389" spans="18:18" x14ac:dyDescent="0.2">
      <c r="R8389" s="13"/>
    </row>
    <row r="8390" spans="18:18" x14ac:dyDescent="0.2">
      <c r="R8390" s="13"/>
    </row>
    <row r="8391" spans="18:18" x14ac:dyDescent="0.2">
      <c r="R8391" s="13"/>
    </row>
    <row r="8392" spans="18:18" x14ac:dyDescent="0.2">
      <c r="R8392" s="13"/>
    </row>
    <row r="8393" spans="18:18" x14ac:dyDescent="0.2">
      <c r="R8393" s="13"/>
    </row>
    <row r="8394" spans="18:18" x14ac:dyDescent="0.2">
      <c r="R8394" s="13"/>
    </row>
    <row r="8395" spans="18:18" x14ac:dyDescent="0.2">
      <c r="R8395" s="13"/>
    </row>
    <row r="8396" spans="18:18" x14ac:dyDescent="0.2">
      <c r="R8396" s="13"/>
    </row>
    <row r="8397" spans="18:18" x14ac:dyDescent="0.2">
      <c r="R8397" s="13"/>
    </row>
    <row r="8398" spans="18:18" x14ac:dyDescent="0.2">
      <c r="R8398" s="13"/>
    </row>
    <row r="8399" spans="18:18" x14ac:dyDescent="0.2">
      <c r="R8399" s="13"/>
    </row>
    <row r="8400" spans="18:18" x14ac:dyDescent="0.2">
      <c r="R8400" s="13"/>
    </row>
    <row r="8401" spans="18:18" x14ac:dyDescent="0.2">
      <c r="R8401" s="13"/>
    </row>
    <row r="8402" spans="18:18" x14ac:dyDescent="0.2">
      <c r="R8402" s="13"/>
    </row>
    <row r="8403" spans="18:18" x14ac:dyDescent="0.2">
      <c r="R8403" s="13"/>
    </row>
    <row r="8404" spans="18:18" x14ac:dyDescent="0.2">
      <c r="R8404" s="13"/>
    </row>
    <row r="8405" spans="18:18" x14ac:dyDescent="0.2">
      <c r="R8405" s="13"/>
    </row>
    <row r="8406" spans="18:18" x14ac:dyDescent="0.2">
      <c r="R8406" s="13"/>
    </row>
    <row r="8407" spans="18:18" x14ac:dyDescent="0.2">
      <c r="R8407" s="13"/>
    </row>
    <row r="8408" spans="18:18" x14ac:dyDescent="0.2">
      <c r="R8408" s="13"/>
    </row>
    <row r="8409" spans="18:18" x14ac:dyDescent="0.2">
      <c r="R8409" s="13"/>
    </row>
    <row r="8410" spans="18:18" x14ac:dyDescent="0.2">
      <c r="R8410" s="13"/>
    </row>
    <row r="8411" spans="18:18" x14ac:dyDescent="0.2">
      <c r="R8411" s="13"/>
    </row>
    <row r="8412" spans="18:18" x14ac:dyDescent="0.2">
      <c r="R8412" s="13"/>
    </row>
    <row r="8413" spans="18:18" x14ac:dyDescent="0.2">
      <c r="R8413" s="13"/>
    </row>
    <row r="8414" spans="18:18" x14ac:dyDescent="0.2">
      <c r="R8414" s="13"/>
    </row>
    <row r="8415" spans="18:18" x14ac:dyDescent="0.2">
      <c r="R8415" s="13"/>
    </row>
    <row r="8416" spans="18:18" x14ac:dyDescent="0.2">
      <c r="R8416" s="13"/>
    </row>
    <row r="8417" spans="18:18" x14ac:dyDescent="0.2">
      <c r="R8417" s="13"/>
    </row>
    <row r="8418" spans="18:18" x14ac:dyDescent="0.2">
      <c r="R8418" s="13"/>
    </row>
    <row r="8419" spans="18:18" x14ac:dyDescent="0.2">
      <c r="R8419" s="13"/>
    </row>
    <row r="8420" spans="18:18" x14ac:dyDescent="0.2">
      <c r="R8420" s="13"/>
    </row>
    <row r="8421" spans="18:18" x14ac:dyDescent="0.2">
      <c r="R8421" s="13"/>
    </row>
    <row r="8422" spans="18:18" x14ac:dyDescent="0.2">
      <c r="R8422" s="13"/>
    </row>
    <row r="8423" spans="18:18" x14ac:dyDescent="0.2">
      <c r="R8423" s="13"/>
    </row>
    <row r="8424" spans="18:18" x14ac:dyDescent="0.2">
      <c r="R8424" s="13"/>
    </row>
    <row r="8425" spans="18:18" x14ac:dyDescent="0.2">
      <c r="R8425" s="13"/>
    </row>
    <row r="8426" spans="18:18" x14ac:dyDescent="0.2">
      <c r="R8426" s="13"/>
    </row>
    <row r="8427" spans="18:18" x14ac:dyDescent="0.2">
      <c r="R8427" s="13"/>
    </row>
    <row r="8428" spans="18:18" x14ac:dyDescent="0.2">
      <c r="R8428" s="13"/>
    </row>
    <row r="8429" spans="18:18" x14ac:dyDescent="0.2">
      <c r="R8429" s="13"/>
    </row>
    <row r="8430" spans="18:18" x14ac:dyDescent="0.2">
      <c r="R8430" s="13"/>
    </row>
    <row r="8431" spans="18:18" x14ac:dyDescent="0.2">
      <c r="R8431" s="13"/>
    </row>
    <row r="8432" spans="18:18" x14ac:dyDescent="0.2">
      <c r="R8432" s="13"/>
    </row>
    <row r="8433" spans="18:18" x14ac:dyDescent="0.2">
      <c r="R8433" s="13"/>
    </row>
    <row r="8434" spans="18:18" x14ac:dyDescent="0.2">
      <c r="R8434" s="13"/>
    </row>
    <row r="8435" spans="18:18" x14ac:dyDescent="0.2">
      <c r="R8435" s="13"/>
    </row>
    <row r="8436" spans="18:18" x14ac:dyDescent="0.2">
      <c r="R8436" s="13"/>
    </row>
    <row r="8437" spans="18:18" x14ac:dyDescent="0.2">
      <c r="R8437" s="13"/>
    </row>
    <row r="8438" spans="18:18" x14ac:dyDescent="0.2">
      <c r="R8438" s="13"/>
    </row>
    <row r="8439" spans="18:18" x14ac:dyDescent="0.2">
      <c r="R8439" s="13"/>
    </row>
    <row r="8440" spans="18:18" x14ac:dyDescent="0.2">
      <c r="R8440" s="13"/>
    </row>
    <row r="8441" spans="18:18" x14ac:dyDescent="0.2">
      <c r="R8441" s="13"/>
    </row>
    <row r="8442" spans="18:18" x14ac:dyDescent="0.2">
      <c r="R8442" s="13"/>
    </row>
    <row r="8443" spans="18:18" x14ac:dyDescent="0.2">
      <c r="R8443" s="13"/>
    </row>
    <row r="8444" spans="18:18" x14ac:dyDescent="0.2">
      <c r="R8444" s="13"/>
    </row>
    <row r="8445" spans="18:18" x14ac:dyDescent="0.2">
      <c r="R8445" s="13"/>
    </row>
    <row r="8446" spans="18:18" x14ac:dyDescent="0.2">
      <c r="R8446" s="13"/>
    </row>
    <row r="8447" spans="18:18" x14ac:dyDescent="0.2">
      <c r="R8447" s="13"/>
    </row>
    <row r="8448" spans="18:18" x14ac:dyDescent="0.2">
      <c r="R8448" s="13"/>
    </row>
    <row r="8449" spans="18:18" x14ac:dyDescent="0.2">
      <c r="R8449" s="13"/>
    </row>
    <row r="8450" spans="18:18" x14ac:dyDescent="0.2">
      <c r="R8450" s="13"/>
    </row>
    <row r="8451" spans="18:18" x14ac:dyDescent="0.2">
      <c r="R8451" s="13"/>
    </row>
    <row r="8452" spans="18:18" x14ac:dyDescent="0.2">
      <c r="R8452" s="13"/>
    </row>
    <row r="8453" spans="18:18" x14ac:dyDescent="0.2">
      <c r="R8453" s="13"/>
    </row>
    <row r="8454" spans="18:18" x14ac:dyDescent="0.2">
      <c r="R8454" s="13"/>
    </row>
    <row r="8455" spans="18:18" x14ac:dyDescent="0.2">
      <c r="R8455" s="13"/>
    </row>
    <row r="8456" spans="18:18" x14ac:dyDescent="0.2">
      <c r="R8456" s="13"/>
    </row>
    <row r="8457" spans="18:18" x14ac:dyDescent="0.2">
      <c r="R8457" s="13"/>
    </row>
    <row r="8458" spans="18:18" x14ac:dyDescent="0.2">
      <c r="R8458" s="13"/>
    </row>
    <row r="8459" spans="18:18" x14ac:dyDescent="0.2">
      <c r="R8459" s="13"/>
    </row>
    <row r="8460" spans="18:18" x14ac:dyDescent="0.2">
      <c r="R8460" s="13"/>
    </row>
  </sheetData>
  <mergeCells count="3">
    <mergeCell ref="B3:F4"/>
    <mergeCell ref="B7:F7"/>
    <mergeCell ref="B9:F9"/>
  </mergeCells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område!$A:$A</xm:f>
          </x14:formula1>
          <xm:sqref>B7:F7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46"/>
  <sheetViews>
    <sheetView showGridLines="0" view="pageLayout" topLeftCell="B1" zoomScaleNormal="100" workbookViewId="0">
      <selection activeCell="J24" sqref="J24"/>
    </sheetView>
  </sheetViews>
  <sheetFormatPr defaultRowHeight="12.75" x14ac:dyDescent="0.2"/>
  <cols>
    <col min="1" max="1" width="0" hidden="1" customWidth="1"/>
    <col min="2" max="2" width="11.140625" customWidth="1"/>
    <col min="3" max="3" width="25.28515625" customWidth="1"/>
    <col min="4" max="4" width="9.85546875" customWidth="1"/>
    <col min="5" max="5" width="12.7109375" customWidth="1"/>
    <col min="6" max="7" width="13.85546875" customWidth="1"/>
    <col min="8" max="8" width="5.5703125" style="6" customWidth="1"/>
    <col min="9" max="9" width="0" hidden="1" customWidth="1"/>
    <col min="10" max="10" width="10.7109375" customWidth="1"/>
    <col min="11" max="11" width="22.28515625" customWidth="1"/>
    <col min="12" max="12" width="4.140625" bestFit="1" customWidth="1"/>
    <col min="13" max="13" width="7.28515625" bestFit="1" customWidth="1"/>
  </cols>
  <sheetData>
    <row r="1" spans="1:13" ht="14.25" x14ac:dyDescent="0.2">
      <c r="B1" s="32" t="s">
        <v>569</v>
      </c>
      <c r="C1" s="32"/>
      <c r="D1" s="32"/>
      <c r="E1" s="32"/>
      <c r="F1" s="32"/>
      <c r="G1" s="32"/>
    </row>
    <row r="2" spans="1:13" ht="14.25" x14ac:dyDescent="0.2">
      <c r="B2" s="33" t="str">
        <f>områdevalg!B7</f>
        <v>omraade</v>
      </c>
      <c r="C2" s="34"/>
      <c r="D2" s="34"/>
      <c r="E2" s="34"/>
      <c r="F2" s="34"/>
      <c r="G2" s="35"/>
      <c r="J2" s="36" t="str">
        <f>IF(J3&lt;&gt;"","Områdestørrelse:","")</f>
        <v/>
      </c>
      <c r="K2" s="36"/>
      <c r="L2" s="36"/>
    </row>
    <row r="3" spans="1:13" ht="14.25" x14ac:dyDescent="0.2">
      <c r="B3" s="8"/>
      <c r="C3" s="37" t="str">
        <f>IF(B2&lt;&gt;"omraade",VLOOKUP(B2,område!A:D,2,),"")</f>
        <v/>
      </c>
      <c r="D3" s="37"/>
      <c r="E3" s="37"/>
      <c r="F3" s="37"/>
      <c r="G3" s="37"/>
      <c r="J3" s="38" t="str">
        <f>IF(B2&lt;&gt;"omraade",VLOOKUP(B2,område!A:D,4,),"")</f>
        <v/>
      </c>
      <c r="K3" s="38"/>
      <c r="L3" s="38"/>
    </row>
    <row r="4" spans="1:13" ht="14.25" x14ac:dyDescent="0.2">
      <c r="B4" s="9" t="str">
        <f>IF(C4&lt;&gt;"","Adresse:","")</f>
        <v/>
      </c>
      <c r="C4" s="31" t="str">
        <f>IF(B2&lt;&gt;"omraade",VLOOKUP(B2,område!A:D,3,),"")</f>
        <v/>
      </c>
      <c r="D4" s="31"/>
      <c r="E4" s="31"/>
      <c r="F4" s="31"/>
      <c r="G4" s="31"/>
    </row>
    <row r="6" spans="1:13" s="7" customFormat="1" ht="13.5" thickBot="1" x14ac:dyDescent="0.25">
      <c r="B6" s="12" t="s">
        <v>568</v>
      </c>
      <c r="C6" s="12" t="s">
        <v>566</v>
      </c>
      <c r="D6" s="12" t="s">
        <v>562</v>
      </c>
      <c r="E6" s="12" t="s">
        <v>563</v>
      </c>
      <c r="F6" s="12" t="s">
        <v>564</v>
      </c>
      <c r="G6" s="12" t="s">
        <v>565</v>
      </c>
      <c r="H6" s="11"/>
      <c r="I6" s="10"/>
      <c r="J6" s="30" t="s">
        <v>567</v>
      </c>
      <c r="K6" s="30"/>
      <c r="L6" s="30"/>
      <c r="M6" s="30"/>
    </row>
    <row r="7" spans="1:13" hidden="1" x14ac:dyDescent="0.2">
      <c r="A7" t="s">
        <v>0</v>
      </c>
      <c r="B7" t="s">
        <v>379</v>
      </c>
      <c r="C7" t="s">
        <v>380</v>
      </c>
      <c r="D7" t="s">
        <v>355</v>
      </c>
      <c r="E7" t="s">
        <v>356</v>
      </c>
      <c r="F7" t="s">
        <v>3</v>
      </c>
      <c r="G7" t="s">
        <v>357</v>
      </c>
      <c r="I7" t="s">
        <v>0</v>
      </c>
      <c r="J7" t="s">
        <v>379</v>
      </c>
      <c r="K7" t="s">
        <v>546</v>
      </c>
      <c r="L7" t="s">
        <v>547</v>
      </c>
      <c r="M7" t="s">
        <v>548</v>
      </c>
    </row>
    <row r="8" spans="1:13" x14ac:dyDescent="0.2">
      <c r="A8" s="13"/>
      <c r="H8"/>
    </row>
    <row r="9" spans="1:13" x14ac:dyDescent="0.2">
      <c r="A9" s="13"/>
      <c r="H9"/>
    </row>
    <row r="10" spans="1:13" x14ac:dyDescent="0.2">
      <c r="A10" s="13"/>
      <c r="H10"/>
    </row>
    <row r="11" spans="1:13" x14ac:dyDescent="0.2">
      <c r="A11" s="13"/>
      <c r="H11"/>
    </row>
    <row r="12" spans="1:13" x14ac:dyDescent="0.2">
      <c r="A12" s="13"/>
      <c r="H12"/>
    </row>
    <row r="13" spans="1:13" x14ac:dyDescent="0.2">
      <c r="A13" s="13"/>
      <c r="H13"/>
    </row>
    <row r="14" spans="1:13" x14ac:dyDescent="0.2">
      <c r="A14" s="13"/>
      <c r="H14"/>
    </row>
    <row r="15" spans="1:13" x14ac:dyDescent="0.2">
      <c r="A15" s="13"/>
      <c r="H15"/>
    </row>
    <row r="16" spans="1:13" x14ac:dyDescent="0.2">
      <c r="A16" s="13"/>
      <c r="H16"/>
    </row>
    <row r="17" spans="1:8" x14ac:dyDescent="0.2">
      <c r="A17" s="13"/>
      <c r="H17"/>
    </row>
    <row r="18" spans="1:8" x14ac:dyDescent="0.2">
      <c r="A18" s="13"/>
      <c r="H18"/>
    </row>
    <row r="19" spans="1:8" x14ac:dyDescent="0.2">
      <c r="A19" s="13"/>
      <c r="H19"/>
    </row>
    <row r="20" spans="1:8" x14ac:dyDescent="0.2">
      <c r="A20" s="13"/>
      <c r="H20"/>
    </row>
    <row r="21" spans="1:8" x14ac:dyDescent="0.2">
      <c r="A21" s="13"/>
      <c r="H21"/>
    </row>
    <row r="22" spans="1:8" x14ac:dyDescent="0.2">
      <c r="A22" s="13"/>
      <c r="H22"/>
    </row>
    <row r="23" spans="1:8" x14ac:dyDescent="0.2">
      <c r="A23" s="13"/>
      <c r="H23"/>
    </row>
    <row r="24" spans="1:8" x14ac:dyDescent="0.2">
      <c r="A24" s="13"/>
      <c r="H24"/>
    </row>
    <row r="25" spans="1:8" x14ac:dyDescent="0.2">
      <c r="A25" s="13"/>
      <c r="H25"/>
    </row>
    <row r="26" spans="1:8" x14ac:dyDescent="0.2">
      <c r="A26" s="13"/>
      <c r="H26"/>
    </row>
    <row r="27" spans="1:8" x14ac:dyDescent="0.2">
      <c r="A27" s="13"/>
      <c r="H27"/>
    </row>
    <row r="28" spans="1:8" x14ac:dyDescent="0.2">
      <c r="A28" s="13"/>
      <c r="H28"/>
    </row>
    <row r="29" spans="1:8" x14ac:dyDescent="0.2">
      <c r="A29" s="13"/>
      <c r="H29"/>
    </row>
    <row r="30" spans="1:8" x14ac:dyDescent="0.2">
      <c r="A30" s="13"/>
      <c r="H30"/>
    </row>
    <row r="31" spans="1:8" x14ac:dyDescent="0.2">
      <c r="A31" s="13"/>
      <c r="H31"/>
    </row>
    <row r="32" spans="1:8" x14ac:dyDescent="0.2">
      <c r="A32" s="13"/>
      <c r="H32"/>
    </row>
    <row r="33" spans="1:8" x14ac:dyDescent="0.2">
      <c r="A33" s="13"/>
      <c r="H33"/>
    </row>
    <row r="34" spans="1:8" x14ac:dyDescent="0.2">
      <c r="A34" s="13"/>
      <c r="H34"/>
    </row>
    <row r="35" spans="1:8" x14ac:dyDescent="0.2">
      <c r="A35" s="13"/>
      <c r="H35"/>
    </row>
    <row r="36" spans="1:8" x14ac:dyDescent="0.2">
      <c r="A36" s="13"/>
      <c r="H36"/>
    </row>
    <row r="37" spans="1:8" x14ac:dyDescent="0.2">
      <c r="A37" s="13"/>
      <c r="H37"/>
    </row>
    <row r="38" spans="1:8" x14ac:dyDescent="0.2">
      <c r="A38" s="13"/>
      <c r="H38"/>
    </row>
    <row r="39" spans="1:8" x14ac:dyDescent="0.2">
      <c r="A39" s="13"/>
      <c r="H39"/>
    </row>
    <row r="40" spans="1:8" x14ac:dyDescent="0.2">
      <c r="A40" s="13"/>
      <c r="H40"/>
    </row>
    <row r="41" spans="1:8" x14ac:dyDescent="0.2">
      <c r="A41" s="13"/>
      <c r="H41"/>
    </row>
    <row r="42" spans="1:8" x14ac:dyDescent="0.2">
      <c r="A42" s="13"/>
      <c r="H42"/>
    </row>
    <row r="43" spans="1:8" x14ac:dyDescent="0.2">
      <c r="A43" s="13"/>
      <c r="H43"/>
    </row>
    <row r="44" spans="1:8" x14ac:dyDescent="0.2">
      <c r="A44" s="13"/>
      <c r="H44"/>
    </row>
    <row r="45" spans="1:8" x14ac:dyDescent="0.2">
      <c r="A45" s="13"/>
      <c r="H45"/>
    </row>
    <row r="46" spans="1:8" x14ac:dyDescent="0.2">
      <c r="A46" s="13"/>
      <c r="H46"/>
    </row>
  </sheetData>
  <mergeCells count="7">
    <mergeCell ref="J6:M6"/>
    <mergeCell ref="C4:G4"/>
    <mergeCell ref="B1:G1"/>
    <mergeCell ref="B2:G2"/>
    <mergeCell ref="J2:L2"/>
    <mergeCell ref="C3:G3"/>
    <mergeCell ref="J3:L3"/>
  </mergeCells>
  <conditionalFormatting sqref="C3:G3">
    <cfRule type="expression" dxfId="17" priority="15">
      <formula>$C$3&lt;&gt;""</formula>
    </cfRule>
  </conditionalFormatting>
  <conditionalFormatting sqref="B3">
    <cfRule type="expression" dxfId="16" priority="14">
      <formula>$C$3&lt;&gt;""</formula>
    </cfRule>
  </conditionalFormatting>
  <conditionalFormatting sqref="C4:G4">
    <cfRule type="expression" dxfId="15" priority="13">
      <formula>$C$4&lt;&gt;""</formula>
    </cfRule>
  </conditionalFormatting>
  <conditionalFormatting sqref="B4">
    <cfRule type="expression" dxfId="14" priority="12">
      <formula>$C$4&lt;&gt;""</formula>
    </cfRule>
  </conditionalFormatting>
  <conditionalFormatting sqref="J2:L2">
    <cfRule type="expression" dxfId="13" priority="11">
      <formula>$J$3&lt;&gt;""</formula>
    </cfRule>
  </conditionalFormatting>
  <conditionalFormatting sqref="J3:L3">
    <cfRule type="expression" dxfId="12" priority="10">
      <formula>$J$3&lt;&gt;""</formula>
    </cfRule>
  </conditionalFormatting>
  <conditionalFormatting sqref="J47:M100000">
    <cfRule type="expression" dxfId="11" priority="5">
      <formula>AND($J47&lt;&gt;"",$J48="")</formula>
    </cfRule>
    <cfRule type="expression" dxfId="10" priority="6">
      <formula>$J47=""</formula>
    </cfRule>
  </conditionalFormatting>
  <conditionalFormatting sqref="J6:M6">
    <cfRule type="expression" dxfId="9" priority="4">
      <formula>$J$8=""</formula>
    </cfRule>
  </conditionalFormatting>
  <conditionalFormatting sqref="B6:G6">
    <cfRule type="expression" dxfId="8" priority="3">
      <formula>$B$8=""</formula>
    </cfRule>
  </conditionalFormatting>
  <conditionalFormatting sqref="B2:G2">
    <cfRule type="expression" dxfId="7" priority="2">
      <formula>$B$2="omraade"</formula>
    </cfRule>
  </conditionalFormatting>
  <pageMargins left="0.7" right="0.7" top="0.75" bottom="0.75" header="0.3" footer="0.3"/>
  <pageSetup paperSize="9" orientation="landscape" r:id="rId1"/>
  <headerFooter>
    <oddHeader>&amp;LUdskriftsdato: &amp;D</oddHeader>
    <oddFooter>&amp;L&amp;P/&amp;N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3</vt:i4>
      </vt:variant>
      <vt:variant>
        <vt:lpstr>Navngivne områder</vt:lpstr>
      </vt:variant>
      <vt:variant>
        <vt:i4>1</vt:i4>
      </vt:variant>
    </vt:vector>
  </HeadingPairs>
  <TitlesOfParts>
    <vt:vector size="4" baseType="lpstr">
      <vt:lpstr>område</vt:lpstr>
      <vt:lpstr>områdevalg</vt:lpstr>
      <vt:lpstr>mængdekort</vt:lpstr>
      <vt:lpstr>mængdekort!Uddrag</vt:lpstr>
    </vt:vector>
  </TitlesOfParts>
  <Company>Frederikssund Kommune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 Bertelsen Jensen</dc:creator>
  <cp:lastModifiedBy>Casper Bertelsen Jensen</cp:lastModifiedBy>
  <cp:lastPrinted>2016-10-27T09:43:54Z</cp:lastPrinted>
  <dcterms:created xsi:type="dcterms:W3CDTF">2016-10-27T07:53:11Z</dcterms:created>
  <dcterms:modified xsi:type="dcterms:W3CDTF">2017-01-20T09:31:28Z</dcterms:modified>
</cp:coreProperties>
</file>